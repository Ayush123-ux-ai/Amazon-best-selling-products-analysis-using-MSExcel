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8_{4E5974E0-219E-48E3-9F73-68D4FBA3CF50}" xr6:coauthVersionLast="47" xr6:coauthVersionMax="47" xr10:uidLastSave="{00000000-0000-0000-0000-000000000000}"/>
  <bookViews>
    <workbookView xWindow="-60" yWindow="-60" windowWidth="20610" windowHeight="10920" xr2:uid="{E8ED6086-D833-4612-AFF1-6D3DDD0EE205}"/>
  </bookViews>
  <sheets>
    <sheet name="Sheet1" sheetId="1" r:id="rId1"/>
    <sheet name="Sheet2" sheetId="3" r:id="rId2"/>
    <sheet name="Sheet3" sheetId="4" r:id="rId3"/>
  </sheets>
  <definedNames>
    <definedName name="ExternalData_1" localSheetId="0" hidden="1">Sheet1!$A$1:$R$1501</definedName>
    <definedName name="Slicer_Product">#N/A</definedName>
    <definedName name="Slicer_Years__Order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16" i="3" l="1"/>
  <c r="B12" i="3"/>
  <c r="Q13" i="3"/>
  <c r="U5" i="1"/>
  <c r="T14" i="3"/>
  <c r="T3" i="1"/>
  <c r="T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40B8339-E62E-43E3-BD50-2F20E53EC56F}" keepAlive="1" name="Query - Sheet1" description="Connection to the 'Sheet1' query in the workbook." type="5" refreshedVersion="0" background="1">
    <dbPr connection="Provider=Microsoft.Mashup.OleDb.1;Data Source=$Workbook$;Location=Sheet1;Extended Properties=&quot;&quot;" command="SELECT * FROM [Sheet1]"/>
  </connection>
  <connection id="2" xr16:uid="{F3BD6E18-9336-4421-A3EC-AB34FBEEE07D}" keepAlive="1" name="Query - Sheet1 (2)" description="Connection to the 'Sheet1 (2)' query in the workbook." type="5" refreshedVersion="8" background="1" saveData="1">
    <dbPr connection="Provider=Microsoft.Mashup.OleDb.1;Data Source=$Workbook$;Location=&quot;Sheet1 (2)&quot;;Extended Properties=&quot;&quot;" command="SELECT * FROM [Sheet1 (2)]"/>
  </connection>
</connections>
</file>

<file path=xl/sharedStrings.xml><?xml version="1.0" encoding="utf-8"?>
<sst xmlns="http://schemas.openxmlformats.org/spreadsheetml/2006/main" count="13577" uniqueCount="2932">
  <si>
    <t>Date</t>
  </si>
  <si>
    <t>Region</t>
  </si>
  <si>
    <t>Product</t>
  </si>
  <si>
    <t>Quantity</t>
  </si>
  <si>
    <t>UnitPrice</t>
  </si>
  <si>
    <t>StoreLocation</t>
  </si>
  <si>
    <t>CustomerType</t>
  </si>
  <si>
    <t>Discount</t>
  </si>
  <si>
    <t>Salesperson</t>
  </si>
  <si>
    <t>PaymentMethod</t>
  </si>
  <si>
    <t>Returned</t>
  </si>
  <si>
    <t>OrderID</t>
  </si>
  <si>
    <t>CustomerName</t>
  </si>
  <si>
    <t>ShippingCost</t>
  </si>
  <si>
    <t>OrderDate</t>
  </si>
  <si>
    <t>DeliveryDate</t>
  </si>
  <si>
    <t>RegionManager</t>
  </si>
  <si>
    <t>East</t>
  </si>
  <si>
    <t>Laptop</t>
  </si>
  <si>
    <t>Store B</t>
  </si>
  <si>
    <t>Wholesale</t>
  </si>
  <si>
    <t>Eva</t>
  </si>
  <si>
    <t>Online</t>
  </si>
  <si>
    <t>REG100000</t>
  </si>
  <si>
    <t>Cust 6583</t>
  </si>
  <si>
    <t>Eric</t>
  </si>
  <si>
    <t>South</t>
  </si>
  <si>
    <t>Phone</t>
  </si>
  <si>
    <t>Store A</t>
  </si>
  <si>
    <t>Retail</t>
  </si>
  <si>
    <t>Alice</t>
  </si>
  <si>
    <t>Gift Card</t>
  </si>
  <si>
    <t>REG100001</t>
  </si>
  <si>
    <t>Cust 2144</t>
  </si>
  <si>
    <t>Sophie</t>
  </si>
  <si>
    <t>North</t>
  </si>
  <si>
    <t>Desk</t>
  </si>
  <si>
    <t>REG100002</t>
  </si>
  <si>
    <t>Cust 5998</t>
  </si>
  <si>
    <t>Ryan</t>
  </si>
  <si>
    <t>Central</t>
  </si>
  <si>
    <t>Chair</t>
  </si>
  <si>
    <t>Frank</t>
  </si>
  <si>
    <t>REG100003</t>
  </si>
  <si>
    <t>Cust 7136</t>
  </si>
  <si>
    <t>Cameron</t>
  </si>
  <si>
    <t>Store C</t>
  </si>
  <si>
    <t>Carlos</t>
  </si>
  <si>
    <t>REG100004</t>
  </si>
  <si>
    <t>Cust 6506</t>
  </si>
  <si>
    <t>Monitor</t>
  </si>
  <si>
    <t>Store D</t>
  </si>
  <si>
    <t>Diana</t>
  </si>
  <si>
    <t>Credit Card</t>
  </si>
  <si>
    <t>REG100005</t>
  </si>
  <si>
    <t>Cust 3909</t>
  </si>
  <si>
    <t>Debit Card</t>
  </si>
  <si>
    <t>REG100006</t>
  </si>
  <si>
    <t>Cust 7887</t>
  </si>
  <si>
    <t>Cash</t>
  </si>
  <si>
    <t>REG100007</t>
  </si>
  <si>
    <t>Cust 5301</t>
  </si>
  <si>
    <t>Bob</t>
  </si>
  <si>
    <t>REG100008</t>
  </si>
  <si>
    <t>Cust 2284</t>
  </si>
  <si>
    <t>West</t>
  </si>
  <si>
    <t>REG100009</t>
  </si>
  <si>
    <t>Cust 3732</t>
  </si>
  <si>
    <t>Wendy</t>
  </si>
  <si>
    <t>REG100010</t>
  </si>
  <si>
    <t>Cust 1462</t>
  </si>
  <si>
    <t>REG100011</t>
  </si>
  <si>
    <t>Cust 4330</t>
  </si>
  <si>
    <t>REG100012</t>
  </si>
  <si>
    <t>Cust 2372</t>
  </si>
  <si>
    <t>Tablet</t>
  </si>
  <si>
    <t>REG100013</t>
  </si>
  <si>
    <t>Cust 4672</t>
  </si>
  <si>
    <t>REG100014</t>
  </si>
  <si>
    <t>Cust 4548</t>
  </si>
  <si>
    <t>REG100015</t>
  </si>
  <si>
    <t>Cust 7037</t>
  </si>
  <si>
    <t>REG100016</t>
  </si>
  <si>
    <t>Cust 4975</t>
  </si>
  <si>
    <t>REG100017</t>
  </si>
  <si>
    <t>Cust 8014</t>
  </si>
  <si>
    <t>REG100018</t>
  </si>
  <si>
    <t>Cust 1228</t>
  </si>
  <si>
    <t>REG100019</t>
  </si>
  <si>
    <t>Cust 4247</t>
  </si>
  <si>
    <t>REG100020</t>
  </si>
  <si>
    <t>Cust 4199</t>
  </si>
  <si>
    <t>REG100021</t>
  </si>
  <si>
    <t>Cust 4186</t>
  </si>
  <si>
    <t>REG100022</t>
  </si>
  <si>
    <t>Cust 8137</t>
  </si>
  <si>
    <t>REG100023</t>
  </si>
  <si>
    <t>Cust 4638</t>
  </si>
  <si>
    <t>REG100024</t>
  </si>
  <si>
    <t>Cust 8538</t>
  </si>
  <si>
    <t>REG100025</t>
  </si>
  <si>
    <t>Cust 6322</t>
  </si>
  <si>
    <t>REG100026</t>
  </si>
  <si>
    <t>Cust 2609</t>
  </si>
  <si>
    <t>REG100027</t>
  </si>
  <si>
    <t>Cust 6880</t>
  </si>
  <si>
    <t>REG100028</t>
  </si>
  <si>
    <t>Cust 1997</t>
  </si>
  <si>
    <t>REG100029</t>
  </si>
  <si>
    <t>Cust 7072</t>
  </si>
  <si>
    <t>REG100030</t>
  </si>
  <si>
    <t>Cust 7201</t>
  </si>
  <si>
    <t>REG100031</t>
  </si>
  <si>
    <t>Cust 9923</t>
  </si>
  <si>
    <t>REG100032</t>
  </si>
  <si>
    <t>Cust 2205</t>
  </si>
  <si>
    <t>REG100033</t>
  </si>
  <si>
    <t>Cust 6403</t>
  </si>
  <si>
    <t>REG100034</t>
  </si>
  <si>
    <t>Cust 3953</t>
  </si>
  <si>
    <t>REG100035</t>
  </si>
  <si>
    <t>Cust 7902</t>
  </si>
  <si>
    <t>REG100036</t>
  </si>
  <si>
    <t>Cust 9968</t>
  </si>
  <si>
    <t>REG100037</t>
  </si>
  <si>
    <t>Cust 3787</t>
  </si>
  <si>
    <t>Printer</t>
  </si>
  <si>
    <t>REG100038</t>
  </si>
  <si>
    <t>Cust 2469</t>
  </si>
  <si>
    <t>REG100039</t>
  </si>
  <si>
    <t>Cust 6468</t>
  </si>
  <si>
    <t>REG100040</t>
  </si>
  <si>
    <t>Cust 5312</t>
  </si>
  <si>
    <t>REG100041</t>
  </si>
  <si>
    <t>Cust 1482</t>
  </si>
  <si>
    <t>REG100042</t>
  </si>
  <si>
    <t>Cust 7903</t>
  </si>
  <si>
    <t>REG100043</t>
  </si>
  <si>
    <t>Cust 9605</t>
  </si>
  <si>
    <t>REG100044</t>
  </si>
  <si>
    <t>Cust 3298</t>
  </si>
  <si>
    <t>REG100045</t>
  </si>
  <si>
    <t>Cust 5533</t>
  </si>
  <si>
    <t>REG100046</t>
  </si>
  <si>
    <t>Cust 6362</t>
  </si>
  <si>
    <t>REG100047</t>
  </si>
  <si>
    <t>Cust 4826</t>
  </si>
  <si>
    <t>REG100048</t>
  </si>
  <si>
    <t>Cust 2171</t>
  </si>
  <si>
    <t>REG100049</t>
  </si>
  <si>
    <t>Cust 4005</t>
  </si>
  <si>
    <t>REG100050</t>
  </si>
  <si>
    <t>Cust 7032</t>
  </si>
  <si>
    <t>REG100051</t>
  </si>
  <si>
    <t>Cust 7167</t>
  </si>
  <si>
    <t>REG100052</t>
  </si>
  <si>
    <t>Cust 5702</t>
  </si>
  <si>
    <t>REG100053</t>
  </si>
  <si>
    <t>Cust 4944</t>
  </si>
  <si>
    <t>REG100054</t>
  </si>
  <si>
    <t>Cust 8149</t>
  </si>
  <si>
    <t>REG100055</t>
  </si>
  <si>
    <t>Cust 3638</t>
  </si>
  <si>
    <t>REG100056</t>
  </si>
  <si>
    <t>Cust 9973</t>
  </si>
  <si>
    <t>REG100057</t>
  </si>
  <si>
    <t>Cust 4214</t>
  </si>
  <si>
    <t>REG100058</t>
  </si>
  <si>
    <t>Cust 2647</t>
  </si>
  <si>
    <t>REG100059</t>
  </si>
  <si>
    <t>Cust 3552</t>
  </si>
  <si>
    <t>REG100060</t>
  </si>
  <si>
    <t>Cust 3354</t>
  </si>
  <si>
    <t>REG100061</t>
  </si>
  <si>
    <t>Cust 3903</t>
  </si>
  <si>
    <t>REG100062</t>
  </si>
  <si>
    <t>Cust 5358</t>
  </si>
  <si>
    <t>REG100063</t>
  </si>
  <si>
    <t>Cust 8144</t>
  </si>
  <si>
    <t>REG100064</t>
  </si>
  <si>
    <t>Cust 6747</t>
  </si>
  <si>
    <t>REG100065</t>
  </si>
  <si>
    <t>Cust 8330</t>
  </si>
  <si>
    <t>REG100066</t>
  </si>
  <si>
    <t>Cust 7186</t>
  </si>
  <si>
    <t>REG100067</t>
  </si>
  <si>
    <t>Cust 8287</t>
  </si>
  <si>
    <t>REG100068</t>
  </si>
  <si>
    <t>Cust 3986</t>
  </si>
  <si>
    <t>REG100069</t>
  </si>
  <si>
    <t>Cust 3213</t>
  </si>
  <si>
    <t>REG100070</t>
  </si>
  <si>
    <t>Cust 1907</t>
  </si>
  <si>
    <t>REG100071</t>
  </si>
  <si>
    <t>Cust 4639</t>
  </si>
  <si>
    <t>REG100072</t>
  </si>
  <si>
    <t>Cust 4153</t>
  </si>
  <si>
    <t>REG100073</t>
  </si>
  <si>
    <t>Cust 7096</t>
  </si>
  <si>
    <t>REG100074</t>
  </si>
  <si>
    <t>Cust 3806</t>
  </si>
  <si>
    <t>REG100075</t>
  </si>
  <si>
    <t>Cust 9345</t>
  </si>
  <si>
    <t>REG100076</t>
  </si>
  <si>
    <t>Cust 4456</t>
  </si>
  <si>
    <t>REG100077</t>
  </si>
  <si>
    <t>Cust 1089</t>
  </si>
  <si>
    <t>REG100078</t>
  </si>
  <si>
    <t>Cust 7230</t>
  </si>
  <si>
    <t>REG100079</t>
  </si>
  <si>
    <t>Cust 6597</t>
  </si>
  <si>
    <t>REG100080</t>
  </si>
  <si>
    <t>Cust 4108</t>
  </si>
  <si>
    <t>REG100081</t>
  </si>
  <si>
    <t>Cust 2883</t>
  </si>
  <si>
    <t>REG100082</t>
  </si>
  <si>
    <t>Cust 5018</t>
  </si>
  <si>
    <t>REG100083</t>
  </si>
  <si>
    <t>Cust 1231</t>
  </si>
  <si>
    <t>REG100084</t>
  </si>
  <si>
    <t>Cust 2209</t>
  </si>
  <si>
    <t>REG100085</t>
  </si>
  <si>
    <t>Cust 6684</t>
  </si>
  <si>
    <t>REG100086</t>
  </si>
  <si>
    <t>Cust 5289</t>
  </si>
  <si>
    <t>REG100087</t>
  </si>
  <si>
    <t>Cust 9159</t>
  </si>
  <si>
    <t>REG100088</t>
  </si>
  <si>
    <t>Cust 4844</t>
  </si>
  <si>
    <t>REG100089</t>
  </si>
  <si>
    <t>Cust 3273</t>
  </si>
  <si>
    <t>REG100090</t>
  </si>
  <si>
    <t>Cust 8160</t>
  </si>
  <si>
    <t>REG100091</t>
  </si>
  <si>
    <t>Cust 4439</t>
  </si>
  <si>
    <t>REG100092</t>
  </si>
  <si>
    <t>Cust 1127</t>
  </si>
  <si>
    <t>REG100093</t>
  </si>
  <si>
    <t>Cust 4696</t>
  </si>
  <si>
    <t>REG100094</t>
  </si>
  <si>
    <t>Cust 3014</t>
  </si>
  <si>
    <t>REG100095</t>
  </si>
  <si>
    <t>Cust 2539</t>
  </si>
  <si>
    <t>REG100096</t>
  </si>
  <si>
    <t>Cust 3916</t>
  </si>
  <si>
    <t>REG100097</t>
  </si>
  <si>
    <t>Cust 6329</t>
  </si>
  <si>
    <t>REG100098</t>
  </si>
  <si>
    <t>Cust 4384</t>
  </si>
  <si>
    <t>REG100099</t>
  </si>
  <si>
    <t>Cust 7756</t>
  </si>
  <si>
    <t>REG100100</t>
  </si>
  <si>
    <t>Cust 6086</t>
  </si>
  <si>
    <t>REG100101</t>
  </si>
  <si>
    <t>Cust 3845</t>
  </si>
  <si>
    <t>REG100102</t>
  </si>
  <si>
    <t>Cust 9996</t>
  </si>
  <si>
    <t>REG100103</t>
  </si>
  <si>
    <t>Cust 1711</t>
  </si>
  <si>
    <t>REG100104</t>
  </si>
  <si>
    <t>Cust 4522</t>
  </si>
  <si>
    <t>REG100105</t>
  </si>
  <si>
    <t>Cust 4233</t>
  </si>
  <si>
    <t>REG100106</t>
  </si>
  <si>
    <t>Cust 4121</t>
  </si>
  <si>
    <t>REG100107</t>
  </si>
  <si>
    <t>Cust 9092</t>
  </si>
  <si>
    <t>REG100108</t>
  </si>
  <si>
    <t>Cust 9090</t>
  </si>
  <si>
    <t>REG100109</t>
  </si>
  <si>
    <t>Cust 1983</t>
  </si>
  <si>
    <t>REG100110</t>
  </si>
  <si>
    <t>Cust 8834</t>
  </si>
  <si>
    <t>REG100111</t>
  </si>
  <si>
    <t>Cust 9780</t>
  </si>
  <si>
    <t>REG100112</t>
  </si>
  <si>
    <t>Cust 1293</t>
  </si>
  <si>
    <t>REG100113</t>
  </si>
  <si>
    <t>Cust 3173</t>
  </si>
  <si>
    <t>REG100114</t>
  </si>
  <si>
    <t>Cust 8641</t>
  </si>
  <si>
    <t>REG100115</t>
  </si>
  <si>
    <t>Cust 7656</t>
  </si>
  <si>
    <t>REG100116</t>
  </si>
  <si>
    <t>Cust 5523</t>
  </si>
  <si>
    <t>REG100117</t>
  </si>
  <si>
    <t>Cust 2015</t>
  </si>
  <si>
    <t>REG100118</t>
  </si>
  <si>
    <t>Cust 6895</t>
  </si>
  <si>
    <t>REG100119</t>
  </si>
  <si>
    <t>Cust 1797</t>
  </si>
  <si>
    <t>REG100120</t>
  </si>
  <si>
    <t>Cust 9969</t>
  </si>
  <si>
    <t>REG100121</t>
  </si>
  <si>
    <t>Cust 1815</t>
  </si>
  <si>
    <t>REG100122</t>
  </si>
  <si>
    <t>Cust 7773</t>
  </si>
  <si>
    <t>REG100123</t>
  </si>
  <si>
    <t>Cust 1499</t>
  </si>
  <si>
    <t>REG100124</t>
  </si>
  <si>
    <t>Cust 3809</t>
  </si>
  <si>
    <t>REG100125</t>
  </si>
  <si>
    <t>Cust 7824</t>
  </si>
  <si>
    <t>REG100126</t>
  </si>
  <si>
    <t>Cust 7258</t>
  </si>
  <si>
    <t>REG100127</t>
  </si>
  <si>
    <t>Cust 1151</t>
  </si>
  <si>
    <t>REG100128</t>
  </si>
  <si>
    <t>Cust 6486</t>
  </si>
  <si>
    <t>REG100129</t>
  </si>
  <si>
    <t>Cust 4034</t>
  </si>
  <si>
    <t>REG100130</t>
  </si>
  <si>
    <t>Cust 9794</t>
  </si>
  <si>
    <t>REG100131</t>
  </si>
  <si>
    <t>Cust 2414</t>
  </si>
  <si>
    <t>REG100132</t>
  </si>
  <si>
    <t>Cust 9024</t>
  </si>
  <si>
    <t>REG100133</t>
  </si>
  <si>
    <t>Cust 2663</t>
  </si>
  <si>
    <t>REG100134</t>
  </si>
  <si>
    <t>Cust 2293</t>
  </si>
  <si>
    <t>REG100135</t>
  </si>
  <si>
    <t>Cust 8963</t>
  </si>
  <si>
    <t>REG100136</t>
  </si>
  <si>
    <t>Cust 9238</t>
  </si>
  <si>
    <t>REG100137</t>
  </si>
  <si>
    <t>Cust 1390</t>
  </si>
  <si>
    <t>REG100138</t>
  </si>
  <si>
    <t>Cust 8548</t>
  </si>
  <si>
    <t>REG100139</t>
  </si>
  <si>
    <t>Cust 2919</t>
  </si>
  <si>
    <t>REG100140</t>
  </si>
  <si>
    <t>Cust 5847</t>
  </si>
  <si>
    <t>REG100141</t>
  </si>
  <si>
    <t>Cust 5711</t>
  </si>
  <si>
    <t>REG100142</t>
  </si>
  <si>
    <t>Cust 5461</t>
  </si>
  <si>
    <t>REG100143</t>
  </si>
  <si>
    <t>Cust 8905</t>
  </si>
  <si>
    <t>REG100144</t>
  </si>
  <si>
    <t>Cust 9618</t>
  </si>
  <si>
    <t>REG100145</t>
  </si>
  <si>
    <t>Cust 5203</t>
  </si>
  <si>
    <t>REG100146</t>
  </si>
  <si>
    <t>Cust 1732</t>
  </si>
  <si>
    <t>REG100147</t>
  </si>
  <si>
    <t>Cust 4734</t>
  </si>
  <si>
    <t>REG100148</t>
  </si>
  <si>
    <t>Cust 5895</t>
  </si>
  <si>
    <t>REG100149</t>
  </si>
  <si>
    <t>Cust 9691</t>
  </si>
  <si>
    <t>REG100150</t>
  </si>
  <si>
    <t>Cust 5406</t>
  </si>
  <si>
    <t>REG100151</t>
  </si>
  <si>
    <t>Cust 5750</t>
  </si>
  <si>
    <t>REG100152</t>
  </si>
  <si>
    <t>REG100153</t>
  </si>
  <si>
    <t>Cust 8280</t>
  </si>
  <si>
    <t>REG100154</t>
  </si>
  <si>
    <t>Cust 4358</t>
  </si>
  <si>
    <t>REG100155</t>
  </si>
  <si>
    <t>Cust 3588</t>
  </si>
  <si>
    <t>REG100156</t>
  </si>
  <si>
    <t>Cust 4539</t>
  </si>
  <si>
    <t>REG100157</t>
  </si>
  <si>
    <t>Cust 7067</t>
  </si>
  <si>
    <t>REG100158</t>
  </si>
  <si>
    <t>Cust 7720</t>
  </si>
  <si>
    <t>REG100159</t>
  </si>
  <si>
    <t>Cust 5668</t>
  </si>
  <si>
    <t>REG100160</t>
  </si>
  <si>
    <t>Cust 8367</t>
  </si>
  <si>
    <t>REG100161</t>
  </si>
  <si>
    <t>Cust 4438</t>
  </si>
  <si>
    <t>REG100162</t>
  </si>
  <si>
    <t>Cust 3481</t>
  </si>
  <si>
    <t>REG100163</t>
  </si>
  <si>
    <t>Cust 1489</t>
  </si>
  <si>
    <t>REG100164</t>
  </si>
  <si>
    <t>Cust 6649</t>
  </si>
  <si>
    <t>REG100165</t>
  </si>
  <si>
    <t>Cust 6114</t>
  </si>
  <si>
    <t>REG100166</t>
  </si>
  <si>
    <t>Cust 9589</t>
  </si>
  <si>
    <t>REG100167</t>
  </si>
  <si>
    <t>Cust 8184</t>
  </si>
  <si>
    <t>REG100168</t>
  </si>
  <si>
    <t>Cust 2490</t>
  </si>
  <si>
    <t>REG100169</t>
  </si>
  <si>
    <t>Cust 1647</t>
  </si>
  <si>
    <t>REG100170</t>
  </si>
  <si>
    <t>Cust 2017</t>
  </si>
  <si>
    <t>REG100171</t>
  </si>
  <si>
    <t>Cust 3446</t>
  </si>
  <si>
    <t>REG100172</t>
  </si>
  <si>
    <t>Cust 4877</t>
  </si>
  <si>
    <t>REG100173</t>
  </si>
  <si>
    <t>Cust 9112</t>
  </si>
  <si>
    <t>REG100174</t>
  </si>
  <si>
    <t>Cust 8172</t>
  </si>
  <si>
    <t>REG100175</t>
  </si>
  <si>
    <t>Cust 4597</t>
  </si>
  <si>
    <t>REG100176</t>
  </si>
  <si>
    <t>Cust 3690</t>
  </si>
  <si>
    <t>REG100177</t>
  </si>
  <si>
    <t>Cust 2893</t>
  </si>
  <si>
    <t>REG100178</t>
  </si>
  <si>
    <t>Cust 5602</t>
  </si>
  <si>
    <t>REG100179</t>
  </si>
  <si>
    <t>Cust 5616</t>
  </si>
  <si>
    <t>REG100180</t>
  </si>
  <si>
    <t>Cust 1312</t>
  </si>
  <si>
    <t>REG100181</t>
  </si>
  <si>
    <t>Cust 6315</t>
  </si>
  <si>
    <t>REG100182</t>
  </si>
  <si>
    <t>Cust 1224</t>
  </si>
  <si>
    <t>REG100183</t>
  </si>
  <si>
    <t>Cust 7182</t>
  </si>
  <si>
    <t>REG100184</t>
  </si>
  <si>
    <t>Cust 7901</t>
  </si>
  <si>
    <t>REG100185</t>
  </si>
  <si>
    <t>Cust 1736</t>
  </si>
  <si>
    <t>REG100186</t>
  </si>
  <si>
    <t>Cust 7795</t>
  </si>
  <si>
    <t>REG100187</t>
  </si>
  <si>
    <t>Cust 2471</t>
  </si>
  <si>
    <t>REG100188</t>
  </si>
  <si>
    <t>Cust 3068</t>
  </si>
  <si>
    <t>REG100189</t>
  </si>
  <si>
    <t>Cust 3848</t>
  </si>
  <si>
    <t>REG100190</t>
  </si>
  <si>
    <t>Cust 7777</t>
  </si>
  <si>
    <t>REG100191</t>
  </si>
  <si>
    <t>Cust 6613</t>
  </si>
  <si>
    <t>REG100192</t>
  </si>
  <si>
    <t>Cust 2326</t>
  </si>
  <si>
    <t>REG100193</t>
  </si>
  <si>
    <t>Cust 8304</t>
  </si>
  <si>
    <t>REG100194</t>
  </si>
  <si>
    <t>Cust 3630</t>
  </si>
  <si>
    <t>REG100195</t>
  </si>
  <si>
    <t>Cust 8617</t>
  </si>
  <si>
    <t>REG100196</t>
  </si>
  <si>
    <t>Cust 3530</t>
  </si>
  <si>
    <t>REG100197</t>
  </si>
  <si>
    <t>Cust 3884</t>
  </si>
  <si>
    <t>REG100198</t>
  </si>
  <si>
    <t>Cust 5739</t>
  </si>
  <si>
    <t>REG100199</t>
  </si>
  <si>
    <t>Cust 9707</t>
  </si>
  <si>
    <t>REG100200</t>
  </si>
  <si>
    <t>Cust 9288</t>
  </si>
  <si>
    <t>REG100201</t>
  </si>
  <si>
    <t>Cust 1216</t>
  </si>
  <si>
    <t>REG100202</t>
  </si>
  <si>
    <t>Cust 2489</t>
  </si>
  <si>
    <t>REG100203</t>
  </si>
  <si>
    <t>Cust 7171</t>
  </si>
  <si>
    <t>REG100204</t>
  </si>
  <si>
    <t>Cust 9125</t>
  </si>
  <si>
    <t>REG100205</t>
  </si>
  <si>
    <t>Cust 9697</t>
  </si>
  <si>
    <t>REG100206</t>
  </si>
  <si>
    <t>Cust 8171</t>
  </si>
  <si>
    <t>REG100207</t>
  </si>
  <si>
    <t>Cust 2004</t>
  </si>
  <si>
    <t>REG100208</t>
  </si>
  <si>
    <t>REG100209</t>
  </si>
  <si>
    <t>Cust 9837</t>
  </si>
  <si>
    <t>REG100210</t>
  </si>
  <si>
    <t>Cust 2082</t>
  </si>
  <si>
    <t>REG100211</t>
  </si>
  <si>
    <t>Cust 3001</t>
  </si>
  <si>
    <t>REG100212</t>
  </si>
  <si>
    <t>Cust 6161</t>
  </si>
  <si>
    <t>REG100213</t>
  </si>
  <si>
    <t>Cust 5220</t>
  </si>
  <si>
    <t>REG100214</t>
  </si>
  <si>
    <t>Cust 3386</t>
  </si>
  <si>
    <t>REG100215</t>
  </si>
  <si>
    <t>Cust 1591</t>
  </si>
  <si>
    <t>REG100216</t>
  </si>
  <si>
    <t>Cust 3434</t>
  </si>
  <si>
    <t>REG100217</t>
  </si>
  <si>
    <t>Cust 1501</t>
  </si>
  <si>
    <t>REG100218</t>
  </si>
  <si>
    <t>Cust 9683</t>
  </si>
  <si>
    <t>REG100219</t>
  </si>
  <si>
    <t>Cust 5416</t>
  </si>
  <si>
    <t>REG100220</t>
  </si>
  <si>
    <t>Cust 2153</t>
  </si>
  <si>
    <t>REG100221</t>
  </si>
  <si>
    <t>Cust 3572</t>
  </si>
  <si>
    <t>REG100222</t>
  </si>
  <si>
    <t>Cust 6372</t>
  </si>
  <si>
    <t>REG100223</t>
  </si>
  <si>
    <t>Cust 6109</t>
  </si>
  <si>
    <t>REG100224</t>
  </si>
  <si>
    <t>Cust 5234</t>
  </si>
  <si>
    <t>REG100225</t>
  </si>
  <si>
    <t>Cust 5530</t>
  </si>
  <si>
    <t>REG100226</t>
  </si>
  <si>
    <t>Cust 5398</t>
  </si>
  <si>
    <t>REG100227</t>
  </si>
  <si>
    <t>Cust 3247</t>
  </si>
  <si>
    <t>REG100228</t>
  </si>
  <si>
    <t>Cust 7137</t>
  </si>
  <si>
    <t>REG100229</t>
  </si>
  <si>
    <t>Cust 4627</t>
  </si>
  <si>
    <t>REG100230</t>
  </si>
  <si>
    <t>Cust 4878</t>
  </si>
  <si>
    <t>REG100231</t>
  </si>
  <si>
    <t>Cust 2779</t>
  </si>
  <si>
    <t>REG100232</t>
  </si>
  <si>
    <t>Cust 8606</t>
  </si>
  <si>
    <t>REG100233</t>
  </si>
  <si>
    <t>Cust 9599</t>
  </si>
  <si>
    <t>REG100234</t>
  </si>
  <si>
    <t>Cust 4500</t>
  </si>
  <si>
    <t>REG100235</t>
  </si>
  <si>
    <t>Cust 4173</t>
  </si>
  <si>
    <t>REG100236</t>
  </si>
  <si>
    <t>Cust 7607</t>
  </si>
  <si>
    <t>REG100237</t>
  </si>
  <si>
    <t>Cust 4768</t>
  </si>
  <si>
    <t>REG100238</t>
  </si>
  <si>
    <t>Cust 5746</t>
  </si>
  <si>
    <t>REG100239</t>
  </si>
  <si>
    <t>Cust 3002</t>
  </si>
  <si>
    <t>REG100240</t>
  </si>
  <si>
    <t>Cust 3237</t>
  </si>
  <si>
    <t>REG100241</t>
  </si>
  <si>
    <t>Cust 6437</t>
  </si>
  <si>
    <t>REG100242</t>
  </si>
  <si>
    <t>Cust 8806</t>
  </si>
  <si>
    <t>REG100243</t>
  </si>
  <si>
    <t>Cust 8678</t>
  </si>
  <si>
    <t>REG100244</t>
  </si>
  <si>
    <t>Cust 9649</t>
  </si>
  <si>
    <t>REG100245</t>
  </si>
  <si>
    <t>Cust 1960</t>
  </si>
  <si>
    <t>REG100246</t>
  </si>
  <si>
    <t>Cust 3910</t>
  </si>
  <si>
    <t>REG100247</t>
  </si>
  <si>
    <t>REG100248</t>
  </si>
  <si>
    <t>REG100249</t>
  </si>
  <si>
    <t>Cust 2279</t>
  </si>
  <si>
    <t>REG100250</t>
  </si>
  <si>
    <t>Cust 4689</t>
  </si>
  <si>
    <t>REG100251</t>
  </si>
  <si>
    <t>Cust 7381</t>
  </si>
  <si>
    <t>REG100252</t>
  </si>
  <si>
    <t>Cust 2724</t>
  </si>
  <si>
    <t>REG100253</t>
  </si>
  <si>
    <t>Cust 2823</t>
  </si>
  <si>
    <t>REG100254</t>
  </si>
  <si>
    <t>Cust 9402</t>
  </si>
  <si>
    <t>REG100255</t>
  </si>
  <si>
    <t>Cust 6561</t>
  </si>
  <si>
    <t>REG100256</t>
  </si>
  <si>
    <t>Cust 3116</t>
  </si>
  <si>
    <t>REG100257</t>
  </si>
  <si>
    <t>Cust 1015</t>
  </si>
  <si>
    <t>REG100258</t>
  </si>
  <si>
    <t>Cust 1207</t>
  </si>
  <si>
    <t>REG100259</t>
  </si>
  <si>
    <t>Cust 2501</t>
  </si>
  <si>
    <t>REG100260</t>
  </si>
  <si>
    <t>Cust 2330</t>
  </si>
  <si>
    <t>REG100261</t>
  </si>
  <si>
    <t>Cust 7436</t>
  </si>
  <si>
    <t>REG100262</t>
  </si>
  <si>
    <t>Cust 2762</t>
  </si>
  <si>
    <t>REG100263</t>
  </si>
  <si>
    <t>Cust 3599</t>
  </si>
  <si>
    <t>REG100264</t>
  </si>
  <si>
    <t>Cust 4127</t>
  </si>
  <si>
    <t>REG100265</t>
  </si>
  <si>
    <t>Cust 6855</t>
  </si>
  <si>
    <t>REG100266</t>
  </si>
  <si>
    <t>Cust 7017</t>
  </si>
  <si>
    <t>REG100267</t>
  </si>
  <si>
    <t>Cust 6957</t>
  </si>
  <si>
    <t>REG100268</t>
  </si>
  <si>
    <t>Cust 9822</t>
  </si>
  <si>
    <t>REG100269</t>
  </si>
  <si>
    <t>Cust 7425</t>
  </si>
  <si>
    <t>REG100270</t>
  </si>
  <si>
    <t>REG100271</t>
  </si>
  <si>
    <t>Cust 8897</t>
  </si>
  <si>
    <t>REG100272</t>
  </si>
  <si>
    <t>Cust 9816</t>
  </si>
  <si>
    <t>REG100273</t>
  </si>
  <si>
    <t>Cust 8227</t>
  </si>
  <si>
    <t>REG100274</t>
  </si>
  <si>
    <t>Cust 4990</t>
  </si>
  <si>
    <t>REG100275</t>
  </si>
  <si>
    <t>Cust 5834</t>
  </si>
  <si>
    <t>REG100276</t>
  </si>
  <si>
    <t>Cust 7330</t>
  </si>
  <si>
    <t>REG100277</t>
  </si>
  <si>
    <t>Cust 5273</t>
  </si>
  <si>
    <t>REG100278</t>
  </si>
  <si>
    <t>Cust 6138</t>
  </si>
  <si>
    <t>REG100279</t>
  </si>
  <si>
    <t>Cust 2084</t>
  </si>
  <si>
    <t>REG100280</t>
  </si>
  <si>
    <t>Cust 2799</t>
  </si>
  <si>
    <t>REG100281</t>
  </si>
  <si>
    <t>REG100282</t>
  </si>
  <si>
    <t>Cust 3051</t>
  </si>
  <si>
    <t>REG100283</t>
  </si>
  <si>
    <t>Cust 5456</t>
  </si>
  <si>
    <t>REG100284</t>
  </si>
  <si>
    <t>Cust 6029</t>
  </si>
  <si>
    <t>REG100285</t>
  </si>
  <si>
    <t>Cust 4002</t>
  </si>
  <si>
    <t>REG100286</t>
  </si>
  <si>
    <t>Cust 5830</t>
  </si>
  <si>
    <t>REG100287</t>
  </si>
  <si>
    <t>Cust 8088</t>
  </si>
  <si>
    <t>REG100288</t>
  </si>
  <si>
    <t>Cust 6455</t>
  </si>
  <si>
    <t>REG100289</t>
  </si>
  <si>
    <t>Cust 4117</t>
  </si>
  <si>
    <t>REG100290</t>
  </si>
  <si>
    <t>Cust 1385</t>
  </si>
  <si>
    <t>REG100291</t>
  </si>
  <si>
    <t>Cust 5185</t>
  </si>
  <si>
    <t>REG100292</t>
  </si>
  <si>
    <t>Cust 8704</t>
  </si>
  <si>
    <t>REG100293</t>
  </si>
  <si>
    <t>Cust 3528</t>
  </si>
  <si>
    <t>REG100294</t>
  </si>
  <si>
    <t>Cust 3907</t>
  </si>
  <si>
    <t>REG100295</t>
  </si>
  <si>
    <t>Cust 9005</t>
  </si>
  <si>
    <t>REG100296</t>
  </si>
  <si>
    <t>Cust 3635</t>
  </si>
  <si>
    <t>REG100297</t>
  </si>
  <si>
    <t>Cust 2122</t>
  </si>
  <si>
    <t>REG100298</t>
  </si>
  <si>
    <t>Cust 4467</t>
  </si>
  <si>
    <t>REG100299</t>
  </si>
  <si>
    <t>Cust 6146</t>
  </si>
  <si>
    <t>REG100300</t>
  </si>
  <si>
    <t>Cust 4001</t>
  </si>
  <si>
    <t>REG100301</t>
  </si>
  <si>
    <t>Cust 3365</t>
  </si>
  <si>
    <t>REG100302</t>
  </si>
  <si>
    <t>Cust 2194</t>
  </si>
  <si>
    <t>REG100303</t>
  </si>
  <si>
    <t>Cust 7942</t>
  </si>
  <si>
    <t>REG100304</t>
  </si>
  <si>
    <t>Cust 8451</t>
  </si>
  <si>
    <t>REG100305</t>
  </si>
  <si>
    <t>Cust 4238</t>
  </si>
  <si>
    <t>REG100306</t>
  </si>
  <si>
    <t>Cust 2529</t>
  </si>
  <si>
    <t>REG100307</t>
  </si>
  <si>
    <t>Cust 7057</t>
  </si>
  <si>
    <t>REG100308</t>
  </si>
  <si>
    <t>Cust 9069</t>
  </si>
  <si>
    <t>REG100309</t>
  </si>
  <si>
    <t>Cust 5858</t>
  </si>
  <si>
    <t>REG100310</t>
  </si>
  <si>
    <t>Cust 2712</t>
  </si>
  <si>
    <t>REG100311</t>
  </si>
  <si>
    <t>Cust 7052</t>
  </si>
  <si>
    <t>REG100312</t>
  </si>
  <si>
    <t>Cust 9397</t>
  </si>
  <si>
    <t>REG100313</t>
  </si>
  <si>
    <t>Cust 4614</t>
  </si>
  <si>
    <t>REG100314</t>
  </si>
  <si>
    <t>Cust 1573</t>
  </si>
  <si>
    <t>REG100315</t>
  </si>
  <si>
    <t>Cust 5660</t>
  </si>
  <si>
    <t>REG100316</t>
  </si>
  <si>
    <t>Cust 3952</t>
  </si>
  <si>
    <t>REG100317</t>
  </si>
  <si>
    <t>Cust 5407</t>
  </si>
  <si>
    <t>REG100318</t>
  </si>
  <si>
    <t>Cust 9595</t>
  </si>
  <si>
    <t>REG100319</t>
  </si>
  <si>
    <t>Cust 3245</t>
  </si>
  <si>
    <t>REG100320</t>
  </si>
  <si>
    <t>Cust 7180</t>
  </si>
  <si>
    <t>REG100321</t>
  </si>
  <si>
    <t>Cust 5973</t>
  </si>
  <si>
    <t>REG100322</t>
  </si>
  <si>
    <t>Cust 4310</t>
  </si>
  <si>
    <t>REG100323</t>
  </si>
  <si>
    <t>Cust 6243</t>
  </si>
  <si>
    <t>REG100324</t>
  </si>
  <si>
    <t>Cust 2448</t>
  </si>
  <si>
    <t>REG100325</t>
  </si>
  <si>
    <t>Cust 9386</t>
  </si>
  <si>
    <t>REG100326</t>
  </si>
  <si>
    <t>Cust 2227</t>
  </si>
  <si>
    <t>REG100327</t>
  </si>
  <si>
    <t>Cust 3803</t>
  </si>
  <si>
    <t>REG100328</t>
  </si>
  <si>
    <t>Cust 1236</t>
  </si>
  <si>
    <t>REG100329</t>
  </si>
  <si>
    <t>Cust 2669</t>
  </si>
  <si>
    <t>REG100330</t>
  </si>
  <si>
    <t>Cust 3746</t>
  </si>
  <si>
    <t>REG100331</t>
  </si>
  <si>
    <t>Cust 9694</t>
  </si>
  <si>
    <t>REG100332</t>
  </si>
  <si>
    <t>Cust 4993</t>
  </si>
  <si>
    <t>REG100333</t>
  </si>
  <si>
    <t>Cust 1271</t>
  </si>
  <si>
    <t>REG100334</t>
  </si>
  <si>
    <t>Cust 3042</t>
  </si>
  <si>
    <t>REG100335</t>
  </si>
  <si>
    <t>Cust 6424</t>
  </si>
  <si>
    <t>REG100336</t>
  </si>
  <si>
    <t>Cust 1422</t>
  </si>
  <si>
    <t>REG100337</t>
  </si>
  <si>
    <t>Cust 5857</t>
  </si>
  <si>
    <t>REG100338</t>
  </si>
  <si>
    <t>Cust 6953</t>
  </si>
  <si>
    <t>REG100339</t>
  </si>
  <si>
    <t>Cust 2916</t>
  </si>
  <si>
    <t>REG100340</t>
  </si>
  <si>
    <t>REG100341</t>
  </si>
  <si>
    <t>Cust 8464</t>
  </si>
  <si>
    <t>REG100342</t>
  </si>
  <si>
    <t>Cust 9700</t>
  </si>
  <si>
    <t>REG100343</t>
  </si>
  <si>
    <t>Cust 7765</t>
  </si>
  <si>
    <t>REG100344</t>
  </si>
  <si>
    <t>Cust 8246</t>
  </si>
  <si>
    <t>REG100345</t>
  </si>
  <si>
    <t>Cust 6500</t>
  </si>
  <si>
    <t>REG100346</t>
  </si>
  <si>
    <t>Cust 1150</t>
  </si>
  <si>
    <t>REG100347</t>
  </si>
  <si>
    <t>Cust 7449</t>
  </si>
  <si>
    <t>REG100348</t>
  </si>
  <si>
    <t>Cust 1957</t>
  </si>
  <si>
    <t>REG100349</t>
  </si>
  <si>
    <t>Cust 3467</t>
  </si>
  <si>
    <t>REG100350</t>
  </si>
  <si>
    <t>Cust 5212</t>
  </si>
  <si>
    <t>REG100351</t>
  </si>
  <si>
    <t>Cust 3509</t>
  </si>
  <si>
    <t>REG100352</t>
  </si>
  <si>
    <t>Cust 5316</t>
  </si>
  <si>
    <t>REG100353</t>
  </si>
  <si>
    <t>Cust 9919</t>
  </si>
  <si>
    <t>REG100354</t>
  </si>
  <si>
    <t>Cust 7129</t>
  </si>
  <si>
    <t>REG100355</t>
  </si>
  <si>
    <t>Cust 9841</t>
  </si>
  <si>
    <t>REG100356</t>
  </si>
  <si>
    <t>REG100357</t>
  </si>
  <si>
    <t>Cust 4142</t>
  </si>
  <si>
    <t>REG100358</t>
  </si>
  <si>
    <t>Cust 9584</t>
  </si>
  <si>
    <t>REG100359</t>
  </si>
  <si>
    <t>Cust 2553</t>
  </si>
  <si>
    <t>REG100360</t>
  </si>
  <si>
    <t>Cust 1347</t>
  </si>
  <si>
    <t>REG100361</t>
  </si>
  <si>
    <t>Cust 8305</t>
  </si>
  <si>
    <t>REG100362</t>
  </si>
  <si>
    <t>Cust 7015</t>
  </si>
  <si>
    <t>REG100363</t>
  </si>
  <si>
    <t>Cust 4394</t>
  </si>
  <si>
    <t>REG100364</t>
  </si>
  <si>
    <t>Cust 3323</t>
  </si>
  <si>
    <t>REG100365</t>
  </si>
  <si>
    <t>Cust 4029</t>
  </si>
  <si>
    <t>REG100366</t>
  </si>
  <si>
    <t>Cust 1400</t>
  </si>
  <si>
    <t>REG100367</t>
  </si>
  <si>
    <t>Cust 6361</t>
  </si>
  <si>
    <t>REG100368</t>
  </si>
  <si>
    <t>Cust 5267</t>
  </si>
  <si>
    <t>REG100369</t>
  </si>
  <si>
    <t>Cust 9354</t>
  </si>
  <si>
    <t>REG100370</t>
  </si>
  <si>
    <t>Cust 9443</t>
  </si>
  <si>
    <t>REG100371</t>
  </si>
  <si>
    <t>Cust 2252</t>
  </si>
  <si>
    <t>REG100372</t>
  </si>
  <si>
    <t>Cust 1031</t>
  </si>
  <si>
    <t>REG100373</t>
  </si>
  <si>
    <t>REG100374</t>
  </si>
  <si>
    <t>Cust 1672</t>
  </si>
  <si>
    <t>REG100375</t>
  </si>
  <si>
    <t>Cust 9313</t>
  </si>
  <si>
    <t>REG100376</t>
  </si>
  <si>
    <t>Cust 4405</t>
  </si>
  <si>
    <t>REG100377</t>
  </si>
  <si>
    <t>Cust 6453</t>
  </si>
  <si>
    <t>REG100378</t>
  </si>
  <si>
    <t>Cust 4772</t>
  </si>
  <si>
    <t>REG100379</t>
  </si>
  <si>
    <t>Cust 1762</t>
  </si>
  <si>
    <t>REG100380</t>
  </si>
  <si>
    <t>Cust 1865</t>
  </si>
  <si>
    <t>REG100381</t>
  </si>
  <si>
    <t>Cust 9552</t>
  </si>
  <si>
    <t>REG100382</t>
  </si>
  <si>
    <t>Cust 4273</t>
  </si>
  <si>
    <t>REG100383</t>
  </si>
  <si>
    <t>Cust 8712</t>
  </si>
  <si>
    <t>REG100384</t>
  </si>
  <si>
    <t>Cust 9048</t>
  </si>
  <si>
    <t>REG100385</t>
  </si>
  <si>
    <t>Cust 7714</t>
  </si>
  <si>
    <t>REG100386</t>
  </si>
  <si>
    <t>Cust 4770</t>
  </si>
  <si>
    <t>REG100387</t>
  </si>
  <si>
    <t>Cust 2007</t>
  </si>
  <si>
    <t>REG100388</t>
  </si>
  <si>
    <t>Cust 8909</t>
  </si>
  <si>
    <t>REG100389</t>
  </si>
  <si>
    <t>Cust 4196</t>
  </si>
  <si>
    <t>REG100390</t>
  </si>
  <si>
    <t>Cust 4189</t>
  </si>
  <si>
    <t>REG100391</t>
  </si>
  <si>
    <t>Cust 7226</t>
  </si>
  <si>
    <t>REG100392</t>
  </si>
  <si>
    <t>Cust 5015</t>
  </si>
  <si>
    <t>REG100393</t>
  </si>
  <si>
    <t>Cust 9904</t>
  </si>
  <si>
    <t>REG100394</t>
  </si>
  <si>
    <t>Cust 7687</t>
  </si>
  <si>
    <t>REG100395</t>
  </si>
  <si>
    <t>Cust 6511</t>
  </si>
  <si>
    <t>REG100396</t>
  </si>
  <si>
    <t>Cust 2412</t>
  </si>
  <si>
    <t>REG100397</t>
  </si>
  <si>
    <t>Cust 1664</t>
  </si>
  <si>
    <t>REG100398</t>
  </si>
  <si>
    <t>Cust 6033</t>
  </si>
  <si>
    <t>REG100399</t>
  </si>
  <si>
    <t>Cust 4019</t>
  </si>
  <si>
    <t>REG100400</t>
  </si>
  <si>
    <t>Cust 4515</t>
  </si>
  <si>
    <t>REG100401</t>
  </si>
  <si>
    <t>Cust 7532</t>
  </si>
  <si>
    <t>REG100402</t>
  </si>
  <si>
    <t>Cust 8756</t>
  </si>
  <si>
    <t>REG100403</t>
  </si>
  <si>
    <t>Cust 7620</t>
  </si>
  <si>
    <t>REG100404</t>
  </si>
  <si>
    <t>Cust 7368</t>
  </si>
  <si>
    <t>REG100405</t>
  </si>
  <si>
    <t>Cust 1319</t>
  </si>
  <si>
    <t>REG100406</t>
  </si>
  <si>
    <t>Cust 9597</t>
  </si>
  <si>
    <t>REG100407</t>
  </si>
  <si>
    <t>Cust 7369</t>
  </si>
  <si>
    <t>REG100408</t>
  </si>
  <si>
    <t>Cust 8592</t>
  </si>
  <si>
    <t>REG100409</t>
  </si>
  <si>
    <t>Cust 2337</t>
  </si>
  <si>
    <t>REG100410</t>
  </si>
  <si>
    <t>REG100411</t>
  </si>
  <si>
    <t>REG100412</t>
  </si>
  <si>
    <t>Cust 9097</t>
  </si>
  <si>
    <t>REG100413</t>
  </si>
  <si>
    <t>Cust 5938</t>
  </si>
  <si>
    <t>REG100414</t>
  </si>
  <si>
    <t>Cust 6928</t>
  </si>
  <si>
    <t>REG100415</t>
  </si>
  <si>
    <t>Cust 6223</t>
  </si>
  <si>
    <t>REG100416</t>
  </si>
  <si>
    <t>Cust 7614</t>
  </si>
  <si>
    <t>REG100417</t>
  </si>
  <si>
    <t>Cust 3231</t>
  </si>
  <si>
    <t>REG100418</t>
  </si>
  <si>
    <t>Cust 9123</t>
  </si>
  <si>
    <t>REG100419</t>
  </si>
  <si>
    <t>Cust 7054</t>
  </si>
  <si>
    <t>REG100420</t>
  </si>
  <si>
    <t>Cust 4240</t>
  </si>
  <si>
    <t>REG100421</t>
  </si>
  <si>
    <t>Cust 1237</t>
  </si>
  <si>
    <t>REG100422</t>
  </si>
  <si>
    <t>Cust 5513</t>
  </si>
  <si>
    <t>REG100423</t>
  </si>
  <si>
    <t>Cust 1835</t>
  </si>
  <si>
    <t>REG100424</t>
  </si>
  <si>
    <t>Cust 8492</t>
  </si>
  <si>
    <t>REG100425</t>
  </si>
  <si>
    <t>Cust 2451</t>
  </si>
  <si>
    <t>REG100426</t>
  </si>
  <si>
    <t>Cust 4509</t>
  </si>
  <si>
    <t>REG100427</t>
  </si>
  <si>
    <t>Cust 6643</t>
  </si>
  <si>
    <t>REG100428</t>
  </si>
  <si>
    <t>Cust 2559</t>
  </si>
  <si>
    <t>REG100429</t>
  </si>
  <si>
    <t>Cust 4423</t>
  </si>
  <si>
    <t>REG100430</t>
  </si>
  <si>
    <t>Cust 9139</t>
  </si>
  <si>
    <t>REG100431</t>
  </si>
  <si>
    <t>Cust 6668</t>
  </si>
  <si>
    <t>REG100432</t>
  </si>
  <si>
    <t>Cust 4315</t>
  </si>
  <si>
    <t>REG100433</t>
  </si>
  <si>
    <t>Cust 8000</t>
  </si>
  <si>
    <t>REG100434</t>
  </si>
  <si>
    <t>Cust 7585</t>
  </si>
  <si>
    <t>REG100435</t>
  </si>
  <si>
    <t>Cust 3127</t>
  </si>
  <si>
    <t>REG100436</t>
  </si>
  <si>
    <t>Cust 4130</t>
  </si>
  <si>
    <t>REG100437</t>
  </si>
  <si>
    <t>Cust 6956</t>
  </si>
  <si>
    <t>REG100438</t>
  </si>
  <si>
    <t>Cust 8155</t>
  </si>
  <si>
    <t>REG100439</t>
  </si>
  <si>
    <t>Cust 8852</t>
  </si>
  <si>
    <t>REG100440</t>
  </si>
  <si>
    <t>Cust 2850</t>
  </si>
  <si>
    <t>REG100441</t>
  </si>
  <si>
    <t>Cust 9572</t>
  </si>
  <si>
    <t>REG100442</t>
  </si>
  <si>
    <t>Cust 6253</t>
  </si>
  <si>
    <t>REG100443</t>
  </si>
  <si>
    <t>Cust 4154</t>
  </si>
  <si>
    <t>REG100444</t>
  </si>
  <si>
    <t>Cust 2137</t>
  </si>
  <si>
    <t>REG100445</t>
  </si>
  <si>
    <t>Cust 8157</t>
  </si>
  <si>
    <t>REG100446</t>
  </si>
  <si>
    <t>Cust 4861</t>
  </si>
  <si>
    <t>REG100447</t>
  </si>
  <si>
    <t>Cust 7493</t>
  </si>
  <si>
    <t>REG100448</t>
  </si>
  <si>
    <t>Cust 7073</t>
  </si>
  <si>
    <t>REG100449</t>
  </si>
  <si>
    <t>Cust 9085</t>
  </si>
  <si>
    <t>REG100450</t>
  </si>
  <si>
    <t>REG100451</t>
  </si>
  <si>
    <t>Cust 8504</t>
  </si>
  <si>
    <t>REG100452</t>
  </si>
  <si>
    <t>Cust 4164</t>
  </si>
  <si>
    <t>REG100453</t>
  </si>
  <si>
    <t>Cust 9592</t>
  </si>
  <si>
    <t>REG100454</t>
  </si>
  <si>
    <t>Cust 7450</t>
  </si>
  <si>
    <t>REG100455</t>
  </si>
  <si>
    <t>REG100456</t>
  </si>
  <si>
    <t>Cust 3305</t>
  </si>
  <si>
    <t>REG100457</t>
  </si>
  <si>
    <t>Cust 9768</t>
  </si>
  <si>
    <t>REG100458</t>
  </si>
  <si>
    <t>Cust 1179</t>
  </si>
  <si>
    <t>REG100459</t>
  </si>
  <si>
    <t>Cust 2546</t>
  </si>
  <si>
    <t>REG100460</t>
  </si>
  <si>
    <t>Cust 2672</t>
  </si>
  <si>
    <t>REG100461</t>
  </si>
  <si>
    <t>Cust 3394</t>
  </si>
  <si>
    <t>REG100462</t>
  </si>
  <si>
    <t>Cust 1649</t>
  </si>
  <si>
    <t>REG100463</t>
  </si>
  <si>
    <t>Cust 6994</t>
  </si>
  <si>
    <t>REG100464</t>
  </si>
  <si>
    <t>Cust 9879</t>
  </si>
  <si>
    <t>REG100465</t>
  </si>
  <si>
    <t>REG100466</t>
  </si>
  <si>
    <t>Cust 3712</t>
  </si>
  <si>
    <t>REG100467</t>
  </si>
  <si>
    <t>Cust 3829</t>
  </si>
  <si>
    <t>REG100468</t>
  </si>
  <si>
    <t>Cust 1623</t>
  </si>
  <si>
    <t>REG100469</t>
  </si>
  <si>
    <t>Cust 3532</t>
  </si>
  <si>
    <t>REG100470</t>
  </si>
  <si>
    <t>Cust 4712</t>
  </si>
  <si>
    <t>REG100471</t>
  </si>
  <si>
    <t>Cust 6211</t>
  </si>
  <si>
    <t>REG100472</t>
  </si>
  <si>
    <t>Cust 1222</t>
  </si>
  <si>
    <t>REG100473</t>
  </si>
  <si>
    <t>Cust 6208</t>
  </si>
  <si>
    <t>REG100474</t>
  </si>
  <si>
    <t>Cust 5942</t>
  </si>
  <si>
    <t>REG100475</t>
  </si>
  <si>
    <t>Cust 1745</t>
  </si>
  <si>
    <t>REG100476</t>
  </si>
  <si>
    <t>Cust 2679</t>
  </si>
  <si>
    <t>REG100477</t>
  </si>
  <si>
    <t>Cust 9907</t>
  </si>
  <si>
    <t>REG100478</t>
  </si>
  <si>
    <t>REG100479</t>
  </si>
  <si>
    <t>Cust 5717</t>
  </si>
  <si>
    <t>REG100480</t>
  </si>
  <si>
    <t>Cust 7995</t>
  </si>
  <si>
    <t>REG100481</t>
  </si>
  <si>
    <t>Cust 5572</t>
  </si>
  <si>
    <t>REG100482</t>
  </si>
  <si>
    <t>Cust 1721</t>
  </si>
  <si>
    <t>REG100483</t>
  </si>
  <si>
    <t>Cust 2641</t>
  </si>
  <si>
    <t>REG100484</t>
  </si>
  <si>
    <t>Cust 9769</t>
  </si>
  <si>
    <t>REG100485</t>
  </si>
  <si>
    <t>Cust 1718</t>
  </si>
  <si>
    <t>REG100486</t>
  </si>
  <si>
    <t>Cust 1210</t>
  </si>
  <si>
    <t>REG100487</t>
  </si>
  <si>
    <t>Cust 7710</t>
  </si>
  <si>
    <t>REG100488</t>
  </si>
  <si>
    <t>Cust 1428</t>
  </si>
  <si>
    <t>REG100489</t>
  </si>
  <si>
    <t>Cust 2810</t>
  </si>
  <si>
    <t>REG100490</t>
  </si>
  <si>
    <t>Cust 2234</t>
  </si>
  <si>
    <t>REG100491</t>
  </si>
  <si>
    <t>Cust 9602</t>
  </si>
  <si>
    <t>REG100492</t>
  </si>
  <si>
    <t>REG100493</t>
  </si>
  <si>
    <t>Cust 5032</t>
  </si>
  <si>
    <t>REG100494</t>
  </si>
  <si>
    <t>Cust 4297</t>
  </si>
  <si>
    <t>REG100495</t>
  </si>
  <si>
    <t>Cust 6944</t>
  </si>
  <si>
    <t>REG100496</t>
  </si>
  <si>
    <t>Cust 4136</t>
  </si>
  <si>
    <t>REG100497</t>
  </si>
  <si>
    <t>Cust 7460</t>
  </si>
  <si>
    <t>REG100498</t>
  </si>
  <si>
    <t>Cust 3960</t>
  </si>
  <si>
    <t>REG100499</t>
  </si>
  <si>
    <t>REG100500</t>
  </si>
  <si>
    <t>Cust 3160</t>
  </si>
  <si>
    <t>REG100501</t>
  </si>
  <si>
    <t>Cust 9641</t>
  </si>
  <si>
    <t>REG100502</t>
  </si>
  <si>
    <t>Cust 9742</t>
  </si>
  <si>
    <t>REG100503</t>
  </si>
  <si>
    <t>Cust 1144</t>
  </si>
  <si>
    <t>REG100504</t>
  </si>
  <si>
    <t>Cust 2936</t>
  </si>
  <si>
    <t>REG100505</t>
  </si>
  <si>
    <t>Cust 3035</t>
  </si>
  <si>
    <t>REG100506</t>
  </si>
  <si>
    <t>Cust 1717</t>
  </si>
  <si>
    <t>REG100507</t>
  </si>
  <si>
    <t>REG100508</t>
  </si>
  <si>
    <t>Cust 6435</t>
  </si>
  <si>
    <t>REG100509</t>
  </si>
  <si>
    <t>Cust 9352</t>
  </si>
  <si>
    <t>REG100510</t>
  </si>
  <si>
    <t>Cust 6746</t>
  </si>
  <si>
    <t>REG100511</t>
  </si>
  <si>
    <t>Cust 8189</t>
  </si>
  <si>
    <t>REG100512</t>
  </si>
  <si>
    <t>Cust 8470</t>
  </si>
  <si>
    <t>REG100513</t>
  </si>
  <si>
    <t>Cust 1044</t>
  </si>
  <si>
    <t>REG100514</t>
  </si>
  <si>
    <t>Cust 4010</t>
  </si>
  <si>
    <t>REG100515</t>
  </si>
  <si>
    <t>REG100516</t>
  </si>
  <si>
    <t>Cust 1904</t>
  </si>
  <si>
    <t>REG100517</t>
  </si>
  <si>
    <t>Cust 6034</t>
  </si>
  <si>
    <t>REG100518</t>
  </si>
  <si>
    <t>Cust 9239</t>
  </si>
  <si>
    <t>REG100519</t>
  </si>
  <si>
    <t>Cust 5678</t>
  </si>
  <si>
    <t>REG100520</t>
  </si>
  <si>
    <t>Cust 3696</t>
  </si>
  <si>
    <t>REG100521</t>
  </si>
  <si>
    <t>Cust 9025</t>
  </si>
  <si>
    <t>REG100522</t>
  </si>
  <si>
    <t>Cust 9924</t>
  </si>
  <si>
    <t>REG100523</t>
  </si>
  <si>
    <t>Cust 3887</t>
  </si>
  <si>
    <t>REG100524</t>
  </si>
  <si>
    <t>Cust 5302</t>
  </si>
  <si>
    <t>REG100525</t>
  </si>
  <si>
    <t>Cust 2290</t>
  </si>
  <si>
    <t>REG100526</t>
  </si>
  <si>
    <t>REG100527</t>
  </si>
  <si>
    <t>Cust 1726</t>
  </si>
  <si>
    <t>REG100528</t>
  </si>
  <si>
    <t>Cust 9874</t>
  </si>
  <si>
    <t>REG100529</t>
  </si>
  <si>
    <t>Cust 1774</t>
  </si>
  <si>
    <t>REG100530</t>
  </si>
  <si>
    <t>REG100531</t>
  </si>
  <si>
    <t>Cust 6534</t>
  </si>
  <si>
    <t>REG100532</t>
  </si>
  <si>
    <t>Cust 3170</t>
  </si>
  <si>
    <t>REG100533</t>
  </si>
  <si>
    <t>Cust 5438</t>
  </si>
  <si>
    <t>REG100534</t>
  </si>
  <si>
    <t>Cust 2670</t>
  </si>
  <si>
    <t>REG100535</t>
  </si>
  <si>
    <t>Cust 8949</t>
  </si>
  <si>
    <t>REG100536</t>
  </si>
  <si>
    <t>Cust 9748</t>
  </si>
  <si>
    <t>REG100537</t>
  </si>
  <si>
    <t>Cust 1220</t>
  </si>
  <si>
    <t>REG100538</t>
  </si>
  <si>
    <t>Cust 5645</t>
  </si>
  <si>
    <t>REG100539</t>
  </si>
  <si>
    <t>Cust 6577</t>
  </si>
  <si>
    <t>REG100540</t>
  </si>
  <si>
    <t>Cust 9506</t>
  </si>
  <si>
    <t>REG100541</t>
  </si>
  <si>
    <t>Cust 9302</t>
  </si>
  <si>
    <t>REG100542</t>
  </si>
  <si>
    <t>Cust 3030</t>
  </si>
  <si>
    <t>REG100543</t>
  </si>
  <si>
    <t>Cust 5896</t>
  </si>
  <si>
    <t>REG100544</t>
  </si>
  <si>
    <t>Cust 3763</t>
  </si>
  <si>
    <t>REG100545</t>
  </si>
  <si>
    <t>Cust 9510</t>
  </si>
  <si>
    <t>REG100546</t>
  </si>
  <si>
    <t>Cust 7637</t>
  </si>
  <si>
    <t>REG100547</t>
  </si>
  <si>
    <t>Cust 8382</t>
  </si>
  <si>
    <t>REG100548</t>
  </si>
  <si>
    <t>Cust 4015</t>
  </si>
  <si>
    <t>REG100549</t>
  </si>
  <si>
    <t>Cust 5172</t>
  </si>
  <si>
    <t>REG100550</t>
  </si>
  <si>
    <t>Cust 7584</t>
  </si>
  <si>
    <t>REG100551</t>
  </si>
  <si>
    <t>Cust 6809</t>
  </si>
  <si>
    <t>REG100552</t>
  </si>
  <si>
    <t>Cust 7540</t>
  </si>
  <si>
    <t>REG100553</t>
  </si>
  <si>
    <t>Cust 6888</t>
  </si>
  <si>
    <t>REG100554</t>
  </si>
  <si>
    <t>Cust 3304</t>
  </si>
  <si>
    <t>REG100555</t>
  </si>
  <si>
    <t>REG100556</t>
  </si>
  <si>
    <t>Cust 6596</t>
  </si>
  <si>
    <t>REG100557</t>
  </si>
  <si>
    <t>Cust 5588</t>
  </si>
  <si>
    <t>REG100558</t>
  </si>
  <si>
    <t>Cust 1518</t>
  </si>
  <si>
    <t>REG100559</t>
  </si>
  <si>
    <t>Cust 2819</t>
  </si>
  <si>
    <t>REG100560</t>
  </si>
  <si>
    <t>Cust 1947</t>
  </si>
  <si>
    <t>REG100561</t>
  </si>
  <si>
    <t>Cust 7332</t>
  </si>
  <si>
    <t>REG100562</t>
  </si>
  <si>
    <t>Cust 7314</t>
  </si>
  <si>
    <t>REG100563</t>
  </si>
  <si>
    <t>Cust 5296</t>
  </si>
  <si>
    <t>REG100564</t>
  </si>
  <si>
    <t>Cust 2964</t>
  </si>
  <si>
    <t>REG100565</t>
  </si>
  <si>
    <t>Cust 5381</t>
  </si>
  <si>
    <t>REG100566</t>
  </si>
  <si>
    <t>Cust 5436</t>
  </si>
  <si>
    <t>REG100567</t>
  </si>
  <si>
    <t>Cust 1494</t>
  </si>
  <si>
    <t>REG100568</t>
  </si>
  <si>
    <t>Cust 4380</t>
  </si>
  <si>
    <t>REG100569</t>
  </si>
  <si>
    <t>REG100570</t>
  </si>
  <si>
    <t>Cust 1375</t>
  </si>
  <si>
    <t>REG100571</t>
  </si>
  <si>
    <t>Cust 5698</t>
  </si>
  <si>
    <t>REG100572</t>
  </si>
  <si>
    <t>Cust 3259</t>
  </si>
  <si>
    <t>REG100573</t>
  </si>
  <si>
    <t>Cust 9295</t>
  </si>
  <si>
    <t>REG100574</t>
  </si>
  <si>
    <t>Cust 7035</t>
  </si>
  <si>
    <t>REG100575</t>
  </si>
  <si>
    <t>Cust 9049</t>
  </si>
  <si>
    <t>REG100576</t>
  </si>
  <si>
    <t>Cust 6173</t>
  </si>
  <si>
    <t>REG100577</t>
  </si>
  <si>
    <t>Cust 3447</t>
  </si>
  <si>
    <t>REG100578</t>
  </si>
  <si>
    <t>Cust 2218</t>
  </si>
  <si>
    <t>REG100579</t>
  </si>
  <si>
    <t>Cust 8882</t>
  </si>
  <si>
    <t>REG100580</t>
  </si>
  <si>
    <t>Cust 6709</t>
  </si>
  <si>
    <t>REG100581</t>
  </si>
  <si>
    <t>Cust 8727</t>
  </si>
  <si>
    <t>REG100582</t>
  </si>
  <si>
    <t>Cust 8359</t>
  </si>
  <si>
    <t>REG100583</t>
  </si>
  <si>
    <t>Cust 1514</t>
  </si>
  <si>
    <t>REG100584</t>
  </si>
  <si>
    <t>Cust 2774</t>
  </si>
  <si>
    <t>REG100585</t>
  </si>
  <si>
    <t>Cust 4270</t>
  </si>
  <si>
    <t>REG100586</t>
  </si>
  <si>
    <t>Cust 3123</t>
  </si>
  <si>
    <t>REG100587</t>
  </si>
  <si>
    <t>Cust 7414</t>
  </si>
  <si>
    <t>REG100588</t>
  </si>
  <si>
    <t>Cust 5051</t>
  </si>
  <si>
    <t>REG100589</t>
  </si>
  <si>
    <t>Cust 5975</t>
  </si>
  <si>
    <t>REG100590</t>
  </si>
  <si>
    <t>Cust 6948</t>
  </si>
  <si>
    <t>REG100591</t>
  </si>
  <si>
    <t>Cust 8253</t>
  </si>
  <si>
    <t>REG100592</t>
  </si>
  <si>
    <t>Cust 7238</t>
  </si>
  <si>
    <t>REG100593</t>
  </si>
  <si>
    <t>Cust 2219</t>
  </si>
  <si>
    <t>REG100594</t>
  </si>
  <si>
    <t>REG100595</t>
  </si>
  <si>
    <t>Cust 6665</t>
  </si>
  <si>
    <t>REG100596</t>
  </si>
  <si>
    <t>Cust 4252</t>
  </si>
  <si>
    <t>REG100597</t>
  </si>
  <si>
    <t>Cust 6104</t>
  </si>
  <si>
    <t>REG100598</t>
  </si>
  <si>
    <t>Cust 6407</t>
  </si>
  <si>
    <t>REG100599</t>
  </si>
  <si>
    <t>Cust 3573</t>
  </si>
  <si>
    <t>REG100600</t>
  </si>
  <si>
    <t>Cust 5280</t>
  </si>
  <si>
    <t>REG100601</t>
  </si>
  <si>
    <t>Cust 2365</t>
  </si>
  <si>
    <t>REG100602</t>
  </si>
  <si>
    <t>Cust 7130</t>
  </si>
  <si>
    <t>REG100603</t>
  </si>
  <si>
    <t>Cust 6539</t>
  </si>
  <si>
    <t>REG100604</t>
  </si>
  <si>
    <t>Cust 1656</t>
  </si>
  <si>
    <t>REG100605</t>
  </si>
  <si>
    <t>Cust 1932</t>
  </si>
  <si>
    <t>REG100606</t>
  </si>
  <si>
    <t>Cust 7367</t>
  </si>
  <si>
    <t>REG100607</t>
  </si>
  <si>
    <t>Cust 1116</t>
  </si>
  <si>
    <t>REG100608</t>
  </si>
  <si>
    <t>Cust 4464</t>
  </si>
  <si>
    <t>REG100609</t>
  </si>
  <si>
    <t>Cust 2543</t>
  </si>
  <si>
    <t>REG100610</t>
  </si>
  <si>
    <t>Cust 7948</t>
  </si>
  <si>
    <t>REG100611</t>
  </si>
  <si>
    <t>Cust 3199</t>
  </si>
  <si>
    <t>REG100612</t>
  </si>
  <si>
    <t>Cust 2800</t>
  </si>
  <si>
    <t>REG100613</t>
  </si>
  <si>
    <t>Cust 3863</t>
  </si>
  <si>
    <t>REG100614</t>
  </si>
  <si>
    <t>Cust 8391</t>
  </si>
  <si>
    <t>REG100615</t>
  </si>
  <si>
    <t>Cust 6711</t>
  </si>
  <si>
    <t>REG100616</t>
  </si>
  <si>
    <t>Cust 8653</t>
  </si>
  <si>
    <t>REG100617</t>
  </si>
  <si>
    <t>Cust 7937</t>
  </si>
  <si>
    <t>REG100618</t>
  </si>
  <si>
    <t>Cust 5972</t>
  </si>
  <si>
    <t>REG100619</t>
  </si>
  <si>
    <t>Cust 8597</t>
  </si>
  <si>
    <t>REG100620</t>
  </si>
  <si>
    <t>Cust 5382</t>
  </si>
  <si>
    <t>REG100621</t>
  </si>
  <si>
    <t>Cust 4323</t>
  </si>
  <si>
    <t>REG100622</t>
  </si>
  <si>
    <t>Cust 1767</t>
  </si>
  <si>
    <t>REG100623</t>
  </si>
  <si>
    <t>REG100624</t>
  </si>
  <si>
    <t>Cust 5912</t>
  </si>
  <si>
    <t>REG100625</t>
  </si>
  <si>
    <t>Cust 4446</t>
  </si>
  <si>
    <t>REG100626</t>
  </si>
  <si>
    <t>Cust 6107</t>
  </si>
  <si>
    <t>REG100627</t>
  </si>
  <si>
    <t>Cust 3330</t>
  </si>
  <si>
    <t>REG100628</t>
  </si>
  <si>
    <t>Cust 3604</t>
  </si>
  <si>
    <t>REG100629</t>
  </si>
  <si>
    <t>Cust 7412</t>
  </si>
  <si>
    <t>REG100630</t>
  </si>
  <si>
    <t>Cust 5183</t>
  </si>
  <si>
    <t>REG100631</t>
  </si>
  <si>
    <t>Cust 4825</t>
  </si>
  <si>
    <t>REG100632</t>
  </si>
  <si>
    <t>Cust 2123</t>
  </si>
  <si>
    <t>REG100633</t>
  </si>
  <si>
    <t>Cust 8684</t>
  </si>
  <si>
    <t>REG100634</t>
  </si>
  <si>
    <t>Cust 5964</t>
  </si>
  <si>
    <t>REG100635</t>
  </si>
  <si>
    <t>Cust 1810</t>
  </si>
  <si>
    <t>REG100636</t>
  </si>
  <si>
    <t>Cust 2685</t>
  </si>
  <si>
    <t>REG100637</t>
  </si>
  <si>
    <t>Cust 7855</t>
  </si>
  <si>
    <t>REG100638</t>
  </si>
  <si>
    <t>Cust 4101</t>
  </si>
  <si>
    <t>REG100639</t>
  </si>
  <si>
    <t>Cust 7964</t>
  </si>
  <si>
    <t>REG100640</t>
  </si>
  <si>
    <t>REG100641</t>
  </si>
  <si>
    <t>Cust 7010</t>
  </si>
  <si>
    <t>REG100642</t>
  </si>
  <si>
    <t>Cust 7917</t>
  </si>
  <si>
    <t>REG100643</t>
  </si>
  <si>
    <t>Cust 8111</t>
  </si>
  <si>
    <t>REG100644</t>
  </si>
  <si>
    <t>Cust 4715</t>
  </si>
  <si>
    <t>REG100645</t>
  </si>
  <si>
    <t>Cust 8720</t>
  </si>
  <si>
    <t>REG100646</t>
  </si>
  <si>
    <t>Cust 8216</t>
  </si>
  <si>
    <t>REG100647</t>
  </si>
  <si>
    <t>Cust 6946</t>
  </si>
  <si>
    <t>REG100648</t>
  </si>
  <si>
    <t>Cust 9888</t>
  </si>
  <si>
    <t>REG100649</t>
  </si>
  <si>
    <t>Cust 4009</t>
  </si>
  <si>
    <t>REG100650</t>
  </si>
  <si>
    <t>Cust 9489</t>
  </si>
  <si>
    <t>REG100651</t>
  </si>
  <si>
    <t>Cust 2446</t>
  </si>
  <si>
    <t>REG100652</t>
  </si>
  <si>
    <t>Cust 4150</t>
  </si>
  <si>
    <t>REG100653</t>
  </si>
  <si>
    <t>Cust 3569</t>
  </si>
  <si>
    <t>REG100654</t>
  </si>
  <si>
    <t>Cust 1023</t>
  </si>
  <si>
    <t>REG100655</t>
  </si>
  <si>
    <t>Cust 3748</t>
  </si>
  <si>
    <t>REG100656</t>
  </si>
  <si>
    <t>Cust 4798</t>
  </si>
  <si>
    <t>REG100657</t>
  </si>
  <si>
    <t>REG100658</t>
  </si>
  <si>
    <t>Cust 3864</t>
  </si>
  <si>
    <t>REG100659</t>
  </si>
  <si>
    <t>Cust 3459</t>
  </si>
  <si>
    <t>REG100660</t>
  </si>
  <si>
    <t>Cust 1187</t>
  </si>
  <si>
    <t>REG100661</t>
  </si>
  <si>
    <t>Cust 7509</t>
  </si>
  <si>
    <t>REG100662</t>
  </si>
  <si>
    <t>Cust 1869</t>
  </si>
  <si>
    <t>REG100663</t>
  </si>
  <si>
    <t>Cust 5943</t>
  </si>
  <si>
    <t>REG100664</t>
  </si>
  <si>
    <t>Cust 8364</t>
  </si>
  <si>
    <t>REG100665</t>
  </si>
  <si>
    <t>Cust 8401</t>
  </si>
  <si>
    <t>REG100666</t>
  </si>
  <si>
    <t>Cust 4047</t>
  </si>
  <si>
    <t>REG100667</t>
  </si>
  <si>
    <t>Cust 6019</t>
  </si>
  <si>
    <t>REG100668</t>
  </si>
  <si>
    <t>Cust 8750</t>
  </si>
  <si>
    <t>REG100669</t>
  </si>
  <si>
    <t>Cust 5782</t>
  </si>
  <si>
    <t>REG100670</t>
  </si>
  <si>
    <t>Cust 4090</t>
  </si>
  <si>
    <t>REG100671</t>
  </si>
  <si>
    <t>Cust 4730</t>
  </si>
  <si>
    <t>REG100672</t>
  </si>
  <si>
    <t>Cust 5648</t>
  </si>
  <si>
    <t>REG100673</t>
  </si>
  <si>
    <t>Cust 8933</t>
  </si>
  <si>
    <t>REG100674</t>
  </si>
  <si>
    <t>Cust 9280</t>
  </si>
  <si>
    <t>REG100675</t>
  </si>
  <si>
    <t>Cust 8696</t>
  </si>
  <si>
    <t>REG100676</t>
  </si>
  <si>
    <t>Cust 1944</t>
  </si>
  <si>
    <t>REG100677</t>
  </si>
  <si>
    <t>Cust 7780</t>
  </si>
  <si>
    <t>REG100678</t>
  </si>
  <si>
    <t>Cust 8055</t>
  </si>
  <si>
    <t>REG100679</t>
  </si>
  <si>
    <t>Cust 4707</t>
  </si>
  <si>
    <t>REG100680</t>
  </si>
  <si>
    <t>REG100681</t>
  </si>
  <si>
    <t>Cust 7806</t>
  </si>
  <si>
    <t>REG100682</t>
  </si>
  <si>
    <t>Cust 7033</t>
  </si>
  <si>
    <t>REG100683</t>
  </si>
  <si>
    <t>Cust 8372</t>
  </si>
  <si>
    <t>REG100684</t>
  </si>
  <si>
    <t>Cust 1935</t>
  </si>
  <si>
    <t>REG100685</t>
  </si>
  <si>
    <t>Cust 8417</t>
  </si>
  <si>
    <t>REG100686</t>
  </si>
  <si>
    <t>Cust 3370</t>
  </si>
  <si>
    <t>REG100687</t>
  </si>
  <si>
    <t>Cust 3664</t>
  </si>
  <si>
    <t>REG100688</t>
  </si>
  <si>
    <t>Cust 5760</t>
  </si>
  <si>
    <t>REG100689</t>
  </si>
  <si>
    <t>Cust 3037</t>
  </si>
  <si>
    <t>REG100690</t>
  </si>
  <si>
    <t>Cust 9828</t>
  </si>
  <si>
    <t>REG100691</t>
  </si>
  <si>
    <t>Cust 5297</t>
  </si>
  <si>
    <t>REG100692</t>
  </si>
  <si>
    <t>Cust 6785</t>
  </si>
  <si>
    <t>REG100693</t>
  </si>
  <si>
    <t>Cust 1344</t>
  </si>
  <si>
    <t>REG100694</t>
  </si>
  <si>
    <t>Cust 4023</t>
  </si>
  <si>
    <t>REG100695</t>
  </si>
  <si>
    <t>Cust 3721</t>
  </si>
  <si>
    <t>REG100696</t>
  </si>
  <si>
    <t>Cust 1486</t>
  </si>
  <si>
    <t>REG100697</t>
  </si>
  <si>
    <t>Cust 3958</t>
  </si>
  <si>
    <t>REG100698</t>
  </si>
  <si>
    <t>Cust 6914</t>
  </si>
  <si>
    <t>REG100699</t>
  </si>
  <si>
    <t>Cust 3287</t>
  </si>
  <si>
    <t>REG100700</t>
  </si>
  <si>
    <t>Cust 9072</t>
  </si>
  <si>
    <t>REG100701</t>
  </si>
  <si>
    <t>Cust 3098</t>
  </si>
  <si>
    <t>REG100702</t>
  </si>
  <si>
    <t>REG100703</t>
  </si>
  <si>
    <t>Cust 4307</t>
  </si>
  <si>
    <t>REG100704</t>
  </si>
  <si>
    <t>Cust 4618</t>
  </si>
  <si>
    <t>REG100705</t>
  </si>
  <si>
    <t>Cust 5322</t>
  </si>
  <si>
    <t>REG100706</t>
  </si>
  <si>
    <t>Cust 9873</t>
  </si>
  <si>
    <t>REG100707</t>
  </si>
  <si>
    <t>Cust 3652</t>
  </si>
  <si>
    <t>REG100708</t>
  </si>
  <si>
    <t>Cust 5569</t>
  </si>
  <si>
    <t>REG100709</t>
  </si>
  <si>
    <t>Cust 5369</t>
  </si>
  <si>
    <t>REG100710</t>
  </si>
  <si>
    <t>Cust 9044</t>
  </si>
  <si>
    <t>REG100711</t>
  </si>
  <si>
    <t>Cust 1887</t>
  </si>
  <si>
    <t>REG100712</t>
  </si>
  <si>
    <t>Cust 1559</t>
  </si>
  <si>
    <t>REG100713</t>
  </si>
  <si>
    <t>Cust 1722</t>
  </si>
  <si>
    <t>REG100714</t>
  </si>
  <si>
    <t>Cust 9029</t>
  </si>
  <si>
    <t>REG100715</t>
  </si>
  <si>
    <t>Cust 9555</t>
  </si>
  <si>
    <t>REG100716</t>
  </si>
  <si>
    <t>Cust 2484</t>
  </si>
  <si>
    <t>REG100717</t>
  </si>
  <si>
    <t>Cust 4763</t>
  </si>
  <si>
    <t>REG100718</t>
  </si>
  <si>
    <t>Cust 5016</t>
  </si>
  <si>
    <t>REG100719</t>
  </si>
  <si>
    <t>Cust 5528</t>
  </si>
  <si>
    <t>REG100720</t>
  </si>
  <si>
    <t>Cust 6922</t>
  </si>
  <si>
    <t>REG100721</t>
  </si>
  <si>
    <t>Cust 4807</t>
  </si>
  <si>
    <t>REG100722</t>
  </si>
  <si>
    <t>Cust 3368</t>
  </si>
  <si>
    <t>REG100723</t>
  </si>
  <si>
    <t>Cust 2871</t>
  </si>
  <si>
    <t>REG100724</t>
  </si>
  <si>
    <t>Cust 6229</t>
  </si>
  <si>
    <t>REG100725</t>
  </si>
  <si>
    <t>Cust 4560</t>
  </si>
  <si>
    <t>REG100726</t>
  </si>
  <si>
    <t>Cust 7099</t>
  </si>
  <si>
    <t>REG100727</t>
  </si>
  <si>
    <t>Cust 6333</t>
  </si>
  <si>
    <t>REG100728</t>
  </si>
  <si>
    <t>Cust 4678</t>
  </si>
  <si>
    <t>REG100729</t>
  </si>
  <si>
    <t>Cust 6657</t>
  </si>
  <si>
    <t>REG100730</t>
  </si>
  <si>
    <t>Cust 1267</t>
  </si>
  <si>
    <t>REG100731</t>
  </si>
  <si>
    <t>Cust 8150</t>
  </si>
  <si>
    <t>REG100732</t>
  </si>
  <si>
    <t>Cust 3668</t>
  </si>
  <si>
    <t>REG100733</t>
  </si>
  <si>
    <t>Cust 4803</t>
  </si>
  <si>
    <t>REG100734</t>
  </si>
  <si>
    <t>Cust 8633</t>
  </si>
  <si>
    <t>REG100735</t>
  </si>
  <si>
    <t>Cust 7235</t>
  </si>
  <si>
    <t>REG100736</t>
  </si>
  <si>
    <t>Cust 8992</t>
  </si>
  <si>
    <t>REG100737</t>
  </si>
  <si>
    <t>Cust 1889</t>
  </si>
  <si>
    <t>REG100738</t>
  </si>
  <si>
    <t>Cust 5411</t>
  </si>
  <si>
    <t>REG100739</t>
  </si>
  <si>
    <t>Cust 3411</t>
  </si>
  <si>
    <t>REG100740</t>
  </si>
  <si>
    <t>REG100741</t>
  </si>
  <si>
    <t>Cust 4788</t>
  </si>
  <si>
    <t>REG100742</t>
  </si>
  <si>
    <t>Cust 3564</t>
  </si>
  <si>
    <t>REG100743</t>
  </si>
  <si>
    <t>Cust 8018</t>
  </si>
  <si>
    <t>REG100744</t>
  </si>
  <si>
    <t>Cust 3045</t>
  </si>
  <si>
    <t>REG100745</t>
  </si>
  <si>
    <t>Cust 7020</t>
  </si>
  <si>
    <t>REG100746</t>
  </si>
  <si>
    <t>Cust 1905</t>
  </si>
  <si>
    <t>REG100747</t>
  </si>
  <si>
    <t>Cust 4592</t>
  </si>
  <si>
    <t>REG100748</t>
  </si>
  <si>
    <t>Cust 5482</t>
  </si>
  <si>
    <t>REG100749</t>
  </si>
  <si>
    <t>REG100750</t>
  </si>
  <si>
    <t>Cust 2801</t>
  </si>
  <si>
    <t>REG100751</t>
  </si>
  <si>
    <t>Cust 8206</t>
  </si>
  <si>
    <t>REG100752</t>
  </si>
  <si>
    <t>Cust 5277</t>
  </si>
  <si>
    <t>REG100753</t>
  </si>
  <si>
    <t>Cust 8900</t>
  </si>
  <si>
    <t>REG100754</t>
  </si>
  <si>
    <t>Cust 9387</t>
  </si>
  <si>
    <t>REG100755</t>
  </si>
  <si>
    <t>Cust 7013</t>
  </si>
  <si>
    <t>REG100756</t>
  </si>
  <si>
    <t>Cust 4868</t>
  </si>
  <si>
    <t>REG100757</t>
  </si>
  <si>
    <t>Cust 5239</t>
  </si>
  <si>
    <t>REG100758</t>
  </si>
  <si>
    <t>Cust 4703</t>
  </si>
  <si>
    <t>REG100759</t>
  </si>
  <si>
    <t>Cust 7224</t>
  </si>
  <si>
    <t>REG100760</t>
  </si>
  <si>
    <t>Cust 4751</t>
  </si>
  <si>
    <t>REG100761</t>
  </si>
  <si>
    <t>Cust 1201</t>
  </si>
  <si>
    <t>REG100762</t>
  </si>
  <si>
    <t>REG100763</t>
  </si>
  <si>
    <t>Cust 6980</t>
  </si>
  <si>
    <t>REG100764</t>
  </si>
  <si>
    <t>Cust 2835</t>
  </si>
  <si>
    <t>REG100765</t>
  </si>
  <si>
    <t>Cust 4286</t>
  </si>
  <si>
    <t>REG100766</t>
  </si>
  <si>
    <t>Cust 7876</t>
  </si>
  <si>
    <t>REG100767</t>
  </si>
  <si>
    <t>Cust 5926</t>
  </si>
  <si>
    <t>REG100768</t>
  </si>
  <si>
    <t>Cust 4478</t>
  </si>
  <si>
    <t>REG100769</t>
  </si>
  <si>
    <t>Cust 4711</t>
  </si>
  <si>
    <t>REG100770</t>
  </si>
  <si>
    <t>Cust 9227</t>
  </si>
  <si>
    <t>REG100771</t>
  </si>
  <si>
    <t>Cust 2830</t>
  </si>
  <si>
    <t>REG100772</t>
  </si>
  <si>
    <t>Cust 3767</t>
  </si>
  <si>
    <t>REG100773</t>
  </si>
  <si>
    <t>Cust 1561</t>
  </si>
  <si>
    <t>REG100774</t>
  </si>
  <si>
    <t>Cust 8569</t>
  </si>
  <si>
    <t>REG100775</t>
  </si>
  <si>
    <t>Cust 1254</t>
  </si>
  <si>
    <t>REG100776</t>
  </si>
  <si>
    <t>Cust 8556</t>
  </si>
  <si>
    <t>REG100777</t>
  </si>
  <si>
    <t>Cust 7204</t>
  </si>
  <si>
    <t>REG100778</t>
  </si>
  <si>
    <t>Cust 7725</t>
  </si>
  <si>
    <t>REG100779</t>
  </si>
  <si>
    <t>Cust 9210</t>
  </si>
  <si>
    <t>REG100780</t>
  </si>
  <si>
    <t>REG100781</t>
  </si>
  <si>
    <t>Cust 4937</t>
  </si>
  <si>
    <t>REG100782</t>
  </si>
  <si>
    <t>Cust 3606</t>
  </si>
  <si>
    <t>REG100783</t>
  </si>
  <si>
    <t>Cust 5865</t>
  </si>
  <si>
    <t>REG100784</t>
  </si>
  <si>
    <t>Cust 7195</t>
  </si>
  <si>
    <t>REG100785</t>
  </si>
  <si>
    <t>Cust 6113</t>
  </si>
  <si>
    <t>REG100786</t>
  </si>
  <si>
    <t>Cust 9878</t>
  </si>
  <si>
    <t>REG100787</t>
  </si>
  <si>
    <t>Cust 3936</t>
  </si>
  <si>
    <t>REG100788</t>
  </si>
  <si>
    <t>Cust 3937</t>
  </si>
  <si>
    <t>REG100789</t>
  </si>
  <si>
    <t>Cust 5262</t>
  </si>
  <si>
    <t>REG100790</t>
  </si>
  <si>
    <t>Cust 3892</t>
  </si>
  <si>
    <t>REG100791</t>
  </si>
  <si>
    <t>Cust 8826</t>
  </si>
  <si>
    <t>REG100792</t>
  </si>
  <si>
    <t>Cust 1119</t>
  </si>
  <si>
    <t>REG100793</t>
  </si>
  <si>
    <t>REG100794</t>
  </si>
  <si>
    <t>Cust 5939</t>
  </si>
  <si>
    <t>REG100795</t>
  </si>
  <si>
    <t>Cust 1791</t>
  </si>
  <si>
    <t>REG100796</t>
  </si>
  <si>
    <t>Cust 8530</t>
  </si>
  <si>
    <t>REG100797</t>
  </si>
  <si>
    <t>REG100798</t>
  </si>
  <si>
    <t>Cust 9619</t>
  </si>
  <si>
    <t>REG100799</t>
  </si>
  <si>
    <t>Cust 1637</t>
  </si>
  <si>
    <t>REG100800</t>
  </si>
  <si>
    <t>REG100801</t>
  </si>
  <si>
    <t>Cust 5737</t>
  </si>
  <si>
    <t>REG100802</t>
  </si>
  <si>
    <t>REG100803</t>
  </si>
  <si>
    <t>Cust 2524</t>
  </si>
  <si>
    <t>REG100804</t>
  </si>
  <si>
    <t>Cust 8480</t>
  </si>
  <si>
    <t>REG100805</t>
  </si>
  <si>
    <t>Cust 2595</t>
  </si>
  <si>
    <t>REG100806</t>
  </si>
  <si>
    <t>Cust 7132</t>
  </si>
  <si>
    <t>REG100807</t>
  </si>
  <si>
    <t>REG100808</t>
  </si>
  <si>
    <t>Cust 4644</t>
  </si>
  <si>
    <t>REG100809</t>
  </si>
  <si>
    <t>Cust 5133</t>
  </si>
  <si>
    <t>REG100810</t>
  </si>
  <si>
    <t>Cust 1731</t>
  </si>
  <si>
    <t>REG100811</t>
  </si>
  <si>
    <t>Cust 3739</t>
  </si>
  <si>
    <t>REG100812</t>
  </si>
  <si>
    <t>Cust 3853</t>
  </si>
  <si>
    <t>REG100813</t>
  </si>
  <si>
    <t>Cust 6830</t>
  </si>
  <si>
    <t>REG100814</t>
  </si>
  <si>
    <t>Cust 5351</t>
  </si>
  <si>
    <t>REG100815</t>
  </si>
  <si>
    <t>Cust 5845</t>
  </si>
  <si>
    <t>REG100816</t>
  </si>
  <si>
    <t>Cust 7004</t>
  </si>
  <si>
    <t>REG100817</t>
  </si>
  <si>
    <t>Cust 4095</t>
  </si>
  <si>
    <t>REG100818</t>
  </si>
  <si>
    <t>Cust 7833</t>
  </si>
  <si>
    <t>REG100819</t>
  </si>
  <si>
    <t>Cust 5826</t>
  </si>
  <si>
    <t>REG100820</t>
  </si>
  <si>
    <t>Cust 9410</t>
  </si>
  <si>
    <t>REG100821</t>
  </si>
  <si>
    <t>REG100822</t>
  </si>
  <si>
    <t>REG100823</t>
  </si>
  <si>
    <t>Cust 2590</t>
  </si>
  <si>
    <t>REG100824</t>
  </si>
  <si>
    <t>Cust 4599</t>
  </si>
  <si>
    <t>REG100825</t>
  </si>
  <si>
    <t>Cust 7166</t>
  </si>
  <si>
    <t>REG100826</t>
  </si>
  <si>
    <t>Cust 6177</t>
  </si>
  <si>
    <t>REG100827</t>
  </si>
  <si>
    <t>REG100828</t>
  </si>
  <si>
    <t>Cust 2899</t>
  </si>
  <si>
    <t>REG100829</t>
  </si>
  <si>
    <t>REG100830</t>
  </si>
  <si>
    <t>Cust 7063</t>
  </si>
  <si>
    <t>REG100831</t>
  </si>
  <si>
    <t>Cust 7487</t>
  </si>
  <si>
    <t>REG100832</t>
  </si>
  <si>
    <t>Cust 5481</t>
  </si>
  <si>
    <t>REG100833</t>
  </si>
  <si>
    <t>Cust 3150</t>
  </si>
  <si>
    <t>REG100834</t>
  </si>
  <si>
    <t>Cust 5099</t>
  </si>
  <si>
    <t>REG100835</t>
  </si>
  <si>
    <t>Cust 6615</t>
  </si>
  <si>
    <t>REG100836</t>
  </si>
  <si>
    <t>Cust 6924</t>
  </si>
  <si>
    <t>REG100837</t>
  </si>
  <si>
    <t>Cust 2411</t>
  </si>
  <si>
    <t>REG100838</t>
  </si>
  <si>
    <t>Cust 9648</t>
  </si>
  <si>
    <t>REG100839</t>
  </si>
  <si>
    <t>Cust 1974</t>
  </si>
  <si>
    <t>REG100840</t>
  </si>
  <si>
    <t>Cust 9452</t>
  </si>
  <si>
    <t>REG100841</t>
  </si>
  <si>
    <t>Cust 4558</t>
  </si>
  <si>
    <t>REG100842</t>
  </si>
  <si>
    <t>Cust 8811</t>
  </si>
  <si>
    <t>REG100843</t>
  </si>
  <si>
    <t>Cust 7788</t>
  </si>
  <si>
    <t>REG100844</t>
  </si>
  <si>
    <t>Cust 2788</t>
  </si>
  <si>
    <t>REG100845</t>
  </si>
  <si>
    <t>Cust 6621</t>
  </si>
  <si>
    <t>REG100846</t>
  </si>
  <si>
    <t>Cust 8575</t>
  </si>
  <si>
    <t>REG100847</t>
  </si>
  <si>
    <t>Cust 8799</t>
  </si>
  <si>
    <t>REG100848</t>
  </si>
  <si>
    <t>Cust 1699</t>
  </si>
  <si>
    <t>REG100849</t>
  </si>
  <si>
    <t>Cust 5606</t>
  </si>
  <si>
    <t>REG100850</t>
  </si>
  <si>
    <t>Cust 4933</t>
  </si>
  <si>
    <t>REG100851</t>
  </si>
  <si>
    <t>Cust 9517</t>
  </si>
  <si>
    <t>REG100852</t>
  </si>
  <si>
    <t>Cust 6740</t>
  </si>
  <si>
    <t>REG100853</t>
  </si>
  <si>
    <t>Cust 1301</t>
  </si>
  <si>
    <t>REG100854</t>
  </si>
  <si>
    <t>REG100855</t>
  </si>
  <si>
    <t>Cust 6864</t>
  </si>
  <si>
    <t>REG100856</t>
  </si>
  <si>
    <t>Cust 5207</t>
  </si>
  <si>
    <t>REG100857</t>
  </si>
  <si>
    <t>Cust 6525</t>
  </si>
  <si>
    <t>REG100858</t>
  </si>
  <si>
    <t>Cust 8298</t>
  </si>
  <si>
    <t>REG100859</t>
  </si>
  <si>
    <t>Cust 8204</t>
  </si>
  <si>
    <t>REG100860</t>
  </si>
  <si>
    <t>Cust 4035</t>
  </si>
  <si>
    <t>REG100861</t>
  </si>
  <si>
    <t>Cust 1654</t>
  </si>
  <si>
    <t>REG100862</t>
  </si>
  <si>
    <t>Cust 1823</t>
  </si>
  <si>
    <t>REG100863</t>
  </si>
  <si>
    <t>Cust 1423</t>
  </si>
  <si>
    <t>REG100864</t>
  </si>
  <si>
    <t>Cust 7282</t>
  </si>
  <si>
    <t>REG100865</t>
  </si>
  <si>
    <t>Cust 8437</t>
  </si>
  <si>
    <t>REG100866</t>
  </si>
  <si>
    <t>Cust 9508</t>
  </si>
  <si>
    <t>REG100867</t>
  </si>
  <si>
    <t>Cust 1186</t>
  </si>
  <si>
    <t>REG100868</t>
  </si>
  <si>
    <t>Cust 4362</t>
  </si>
  <si>
    <t>REG100869</t>
  </si>
  <si>
    <t>Cust 9388</t>
  </si>
  <si>
    <t>REG100870</t>
  </si>
  <si>
    <t>REG100871</t>
  </si>
  <si>
    <t>Cust 6428</t>
  </si>
  <si>
    <t>REG100872</t>
  </si>
  <si>
    <t>Cust 2570</t>
  </si>
  <si>
    <t>REG100873</t>
  </si>
  <si>
    <t>Cust 5132</t>
  </si>
  <si>
    <t>REG100874</t>
  </si>
  <si>
    <t>Cust 4929</t>
  </si>
  <si>
    <t>REG100875</t>
  </si>
  <si>
    <t>Cust 4018</t>
  </si>
  <si>
    <t>REG100876</t>
  </si>
  <si>
    <t>Cust 8069</t>
  </si>
  <si>
    <t>REG100877</t>
  </si>
  <si>
    <t>Cust 6741</t>
  </si>
  <si>
    <t>REG100878</t>
  </si>
  <si>
    <t>Cust 8050</t>
  </si>
  <si>
    <t>REG100879</t>
  </si>
  <si>
    <t>Cust 2434</t>
  </si>
  <si>
    <t>REG100880</t>
  </si>
  <si>
    <t>Cust 9089</t>
  </si>
  <si>
    <t>REG100881</t>
  </si>
  <si>
    <t>Cust 1091</t>
  </si>
  <si>
    <t>REG100882</t>
  </si>
  <si>
    <t>REG100883</t>
  </si>
  <si>
    <t>Cust 6326</t>
  </si>
  <si>
    <t>REG100884</t>
  </si>
  <si>
    <t>Cust 1327</t>
  </si>
  <si>
    <t>REG100885</t>
  </si>
  <si>
    <t>Cust 8602</t>
  </si>
  <si>
    <t>REG100886</t>
  </si>
  <si>
    <t>Cust 9131</t>
  </si>
  <si>
    <t>REG100887</t>
  </si>
  <si>
    <t>Cust 6716</t>
  </si>
  <si>
    <t>REG100888</t>
  </si>
  <si>
    <t>Cust 2071</t>
  </si>
  <si>
    <t>REG100889</t>
  </si>
  <si>
    <t>Cust 4472</t>
  </si>
  <si>
    <t>REG100890</t>
  </si>
  <si>
    <t>Cust 3899</t>
  </si>
  <si>
    <t>REG100891</t>
  </si>
  <si>
    <t>Cust 9467</t>
  </si>
  <si>
    <t>REG100892</t>
  </si>
  <si>
    <t>Cust 3824</t>
  </si>
  <si>
    <t>REG100893</t>
  </si>
  <si>
    <t>Cust 3511</t>
  </si>
  <si>
    <t>REG100894</t>
  </si>
  <si>
    <t>Cust 3356</t>
  </si>
  <si>
    <t>REG100895</t>
  </si>
  <si>
    <t>Cust 2840</t>
  </si>
  <si>
    <t>REG100896</t>
  </si>
  <si>
    <t>Cust 3811</t>
  </si>
  <si>
    <t>REG100897</t>
  </si>
  <si>
    <t>Cust 9960</t>
  </si>
  <si>
    <t>REG100898</t>
  </si>
  <si>
    <t>Cust 5906</t>
  </si>
  <si>
    <t>REG100899</t>
  </si>
  <si>
    <t>Cust 6579</t>
  </si>
  <si>
    <t>REG100900</t>
  </si>
  <si>
    <t>Cust 1756</t>
  </si>
  <si>
    <t>REG100901</t>
  </si>
  <si>
    <t>REG100902</t>
  </si>
  <si>
    <t>Cust 8999</t>
  </si>
  <si>
    <t>REG100903</t>
  </si>
  <si>
    <t>Cust 4277</t>
  </si>
  <si>
    <t>REG100904</t>
  </si>
  <si>
    <t>Cust 8751</t>
  </si>
  <si>
    <t>REG100905</t>
  </si>
  <si>
    <t>Cust 2482</t>
  </si>
  <si>
    <t>REG100906</t>
  </si>
  <si>
    <t>Cust 4078</t>
  </si>
  <si>
    <t>REG100907</t>
  </si>
  <si>
    <t>Cust 9091</t>
  </si>
  <si>
    <t>REG100908</t>
  </si>
  <si>
    <t>Cust 8706</t>
  </si>
  <si>
    <t>REG100909</t>
  </si>
  <si>
    <t>Cust 5042</t>
  </si>
  <si>
    <t>REG100910</t>
  </si>
  <si>
    <t>Cust 3319</t>
  </si>
  <si>
    <t>REG100911</t>
  </si>
  <si>
    <t>Cust 4139</t>
  </si>
  <si>
    <t>REG100912</t>
  </si>
  <si>
    <t>Cust 6993</t>
  </si>
  <si>
    <t>REG100913</t>
  </si>
  <si>
    <t>Cust 8397</t>
  </si>
  <si>
    <t>REG100914</t>
  </si>
  <si>
    <t>Cust 3082</t>
  </si>
  <si>
    <t>REG100915</t>
  </si>
  <si>
    <t>Cust 1156</t>
  </si>
  <si>
    <t>REG100916</t>
  </si>
  <si>
    <t>Cust 4720</t>
  </si>
  <si>
    <t>REG100917</t>
  </si>
  <si>
    <t>Cust 7034</t>
  </si>
  <si>
    <t>REG100918</t>
  </si>
  <si>
    <t>Cust 7218</t>
  </si>
  <si>
    <t>REG100919</t>
  </si>
  <si>
    <t>Cust 2651</t>
  </si>
  <si>
    <t>REG100920</t>
  </si>
  <si>
    <t>Cust 1252</t>
  </si>
  <si>
    <t>REG100921</t>
  </si>
  <si>
    <t>Cust 6679</t>
  </si>
  <si>
    <t>REG100922</t>
  </si>
  <si>
    <t>REG100923</t>
  </si>
  <si>
    <t>Cust 9361</t>
  </si>
  <si>
    <t>REG100924</t>
  </si>
  <si>
    <t>REG100925</t>
  </si>
  <si>
    <t>Cust 3049</t>
  </si>
  <si>
    <t>REG100926</t>
  </si>
  <si>
    <t>Cust 6415</t>
  </si>
  <si>
    <t>REG100927</t>
  </si>
  <si>
    <t>Cust 9856</t>
  </si>
  <si>
    <t>REG100928</t>
  </si>
  <si>
    <t>Cust 3106</t>
  </si>
  <si>
    <t>REG100929</t>
  </si>
  <si>
    <t>REG100930</t>
  </si>
  <si>
    <t>Cust 7107</t>
  </si>
  <si>
    <t>REG100931</t>
  </si>
  <si>
    <t>Cust 7542</t>
  </si>
  <si>
    <t>REG100932</t>
  </si>
  <si>
    <t>Cust 6330</t>
  </si>
  <si>
    <t>REG100933</t>
  </si>
  <si>
    <t>Cust 1469</t>
  </si>
  <si>
    <t>REG100934</t>
  </si>
  <si>
    <t>Cust 3698</t>
  </si>
  <si>
    <t>REG100935</t>
  </si>
  <si>
    <t>Cust 9833</t>
  </si>
  <si>
    <t>REG100936</t>
  </si>
  <si>
    <t>Cust 1074</t>
  </si>
  <si>
    <t>REG100937</t>
  </si>
  <si>
    <t>Cust 7891</t>
  </si>
  <si>
    <t>REG100938</t>
  </si>
  <si>
    <t>Cust 3373</t>
  </si>
  <si>
    <t>REG100939</t>
  </si>
  <si>
    <t>Cust 9045</t>
  </si>
  <si>
    <t>REG100940</t>
  </si>
  <si>
    <t>Cust 9197</t>
  </si>
  <si>
    <t>REG100941</t>
  </si>
  <si>
    <t>Cust 6920</t>
  </si>
  <si>
    <t>REG100942</t>
  </si>
  <si>
    <t>Cust 9652</t>
  </si>
  <si>
    <t>REG100943</t>
  </si>
  <si>
    <t>REG100944</t>
  </si>
  <si>
    <t>Cust 6267</t>
  </si>
  <si>
    <t>REG100945</t>
  </si>
  <si>
    <t>Cust 7753</t>
  </si>
  <si>
    <t>REG100946</t>
  </si>
  <si>
    <t>Cust 2789</t>
  </si>
  <si>
    <t>REG100947</t>
  </si>
  <si>
    <t>Cust 3527</t>
  </si>
  <si>
    <t>REG100948</t>
  </si>
  <si>
    <t>Cust 9538</t>
  </si>
  <si>
    <t>REG100949</t>
  </si>
  <si>
    <t>REG100950</t>
  </si>
  <si>
    <t>Cust 8929</t>
  </si>
  <si>
    <t>REG100951</t>
  </si>
  <si>
    <t>Cust 8931</t>
  </si>
  <si>
    <t>REG100952</t>
  </si>
  <si>
    <t>Cust 1424</t>
  </si>
  <si>
    <t>REG100953</t>
  </si>
  <si>
    <t>Cust 6723</t>
  </si>
  <si>
    <t>REG100954</t>
  </si>
  <si>
    <t>Cust 8850</t>
  </si>
  <si>
    <t>REG100955</t>
  </si>
  <si>
    <t>REG100956</t>
  </si>
  <si>
    <t>Cust 1211</t>
  </si>
  <si>
    <t>REG100957</t>
  </si>
  <si>
    <t>Cust 9384</t>
  </si>
  <si>
    <t>REG100958</t>
  </si>
  <si>
    <t>REG100959</t>
  </si>
  <si>
    <t>Cust 9338</t>
  </si>
  <si>
    <t>REG100960</t>
  </si>
  <si>
    <t>Cust 1822</t>
  </si>
  <si>
    <t>REG100961</t>
  </si>
  <si>
    <t>Cust 8260</t>
  </si>
  <si>
    <t>REG100962</t>
  </si>
  <si>
    <t>Cust 7088</t>
  </si>
  <si>
    <t>REG100963</t>
  </si>
  <si>
    <t>Cust 4969</t>
  </si>
  <si>
    <t>REG100964</t>
  </si>
  <si>
    <t>Cust 9046</t>
  </si>
  <si>
    <t>REG100965</t>
  </si>
  <si>
    <t>Cust 6859</t>
  </si>
  <si>
    <t>REG100966</t>
  </si>
  <si>
    <t>REG100967</t>
  </si>
  <si>
    <t>Cust 1146</t>
  </si>
  <si>
    <t>REG100968</t>
  </si>
  <si>
    <t>Cust 6447</t>
  </si>
  <si>
    <t>REG100969</t>
  </si>
  <si>
    <t>Cust 8519</t>
  </si>
  <si>
    <t>REG100970</t>
  </si>
  <si>
    <t>Cust 3422</t>
  </si>
  <si>
    <t>REG100971</t>
  </si>
  <si>
    <t>Cust 9638</t>
  </si>
  <si>
    <t>REG100972</t>
  </si>
  <si>
    <t>Cust 6438</t>
  </si>
  <si>
    <t>REG100973</t>
  </si>
  <si>
    <t>Cust 1724</t>
  </si>
  <si>
    <t>REG100974</t>
  </si>
  <si>
    <t>Cust 7808</t>
  </si>
  <si>
    <t>REG100975</t>
  </si>
  <si>
    <t>REG100976</t>
  </si>
  <si>
    <t>Cust 7348</t>
  </si>
  <si>
    <t>REG100977</t>
  </si>
  <si>
    <t>Cust 5666</t>
  </si>
  <si>
    <t>REG100978</t>
  </si>
  <si>
    <t>REG100979</t>
  </si>
  <si>
    <t>Cust 6675</t>
  </si>
  <si>
    <t>REG100980</t>
  </si>
  <si>
    <t>Cust 5462</t>
  </si>
  <si>
    <t>REG100981</t>
  </si>
  <si>
    <t>Cust 3471</t>
  </si>
  <si>
    <t>REG100982</t>
  </si>
  <si>
    <t>Cust 1603</t>
  </si>
  <si>
    <t>REG100983</t>
  </si>
  <si>
    <t>Cust 7758</t>
  </si>
  <si>
    <t>REG100984</t>
  </si>
  <si>
    <t>Cust 3396</t>
  </si>
  <si>
    <t>REG100985</t>
  </si>
  <si>
    <t>Cust 4797</t>
  </si>
  <si>
    <t>REG100986</t>
  </si>
  <si>
    <t>Cust 1113</t>
  </si>
  <si>
    <t>REG100987</t>
  </si>
  <si>
    <t>Cust 8843</t>
  </si>
  <si>
    <t>REG100988</t>
  </si>
  <si>
    <t>Cust 7505</t>
  </si>
  <si>
    <t>REG100989</t>
  </si>
  <si>
    <t>Cust 9490</t>
  </si>
  <si>
    <t>REG100990</t>
  </si>
  <si>
    <t>Cust 8631</t>
  </si>
  <si>
    <t>REG100991</t>
  </si>
  <si>
    <t>Cust 6986</t>
  </si>
  <si>
    <t>REG100992</t>
  </si>
  <si>
    <t>Cust 9636</t>
  </si>
  <si>
    <t>REG100993</t>
  </si>
  <si>
    <t>REG100994</t>
  </si>
  <si>
    <t>Cust 1943</t>
  </si>
  <si>
    <t>REG100995</t>
  </si>
  <si>
    <t>Cust 6368</t>
  </si>
  <si>
    <t>REG100996</t>
  </si>
  <si>
    <t>Cust 9724</t>
  </si>
  <si>
    <t>REG100997</t>
  </si>
  <si>
    <t>REG100998</t>
  </si>
  <si>
    <t>Cust 8723</t>
  </si>
  <si>
    <t>REG100999</t>
  </si>
  <si>
    <t>Cust 1901</t>
  </si>
  <si>
    <t>REG101000</t>
  </si>
  <si>
    <t>Cust 9682</t>
  </si>
  <si>
    <t>REG101001</t>
  </si>
  <si>
    <t>Cust 5413</t>
  </si>
  <si>
    <t>REG101002</t>
  </si>
  <si>
    <t>Cust 9590</t>
  </si>
  <si>
    <t>REG101003</t>
  </si>
  <si>
    <t>Cust 9379</t>
  </si>
  <si>
    <t>REG101004</t>
  </si>
  <si>
    <t>Cust 4722</t>
  </si>
  <si>
    <t>REG101005</t>
  </si>
  <si>
    <t>Cust 7152</t>
  </si>
  <si>
    <t>REG101006</t>
  </si>
  <si>
    <t>Cust 7255</t>
  </si>
  <si>
    <t>REG101007</t>
  </si>
  <si>
    <t>Cust 9593</t>
  </si>
  <si>
    <t>REG101008</t>
  </si>
  <si>
    <t>REG101009</t>
  </si>
  <si>
    <t>Cust 2561</t>
  </si>
  <si>
    <t>REG101010</t>
  </si>
  <si>
    <t>Cust 8387</t>
  </si>
  <si>
    <t>REG101011</t>
  </si>
  <si>
    <t>Cust 2860</t>
  </si>
  <si>
    <t>REG101012</t>
  </si>
  <si>
    <t>Cust 7794</t>
  </si>
  <si>
    <t>REG101013</t>
  </si>
  <si>
    <t>Cust 6075</t>
  </si>
  <si>
    <t>REG101014</t>
  </si>
  <si>
    <t>Cust 4337</t>
  </si>
  <si>
    <t>REG101015</t>
  </si>
  <si>
    <t>Cust 2540</t>
  </si>
  <si>
    <t>REG101016</t>
  </si>
  <si>
    <t>Cust 3944</t>
  </si>
  <si>
    <t>REG101017</t>
  </si>
  <si>
    <t>Cust 8876</t>
  </si>
  <si>
    <t>REG101018</t>
  </si>
  <si>
    <t>Cust 3286</t>
  </si>
  <si>
    <t>REG101019</t>
  </si>
  <si>
    <t>REG101020</t>
  </si>
  <si>
    <t>REG101021</t>
  </si>
  <si>
    <t>Cust 2608</t>
  </si>
  <si>
    <t>REG101022</t>
  </si>
  <si>
    <t>Cust 3290</t>
  </si>
  <si>
    <t>REG101023</t>
  </si>
  <si>
    <t>REG101024</t>
  </si>
  <si>
    <t>Cust 6979</t>
  </si>
  <si>
    <t>REG101025</t>
  </si>
  <si>
    <t>Cust 9375</t>
  </si>
  <si>
    <t>REG101026</t>
  </si>
  <si>
    <t>Cust 9311</t>
  </si>
  <si>
    <t>REG101027</t>
  </si>
  <si>
    <t>Cust 4097</t>
  </si>
  <si>
    <t>REG101028</t>
  </si>
  <si>
    <t>Cust 6145</t>
  </si>
  <si>
    <t>REG101029</t>
  </si>
  <si>
    <t>Cust 8124</t>
  </si>
  <si>
    <t>REG101030</t>
  </si>
  <si>
    <t>Cust 7826</t>
  </si>
  <si>
    <t>REG101031</t>
  </si>
  <si>
    <t>Cust 3472</t>
  </si>
  <si>
    <t>REG101032</t>
  </si>
  <si>
    <t>Cust 4266</t>
  </si>
  <si>
    <t>REG101033</t>
  </si>
  <si>
    <t>REG101034</t>
  </si>
  <si>
    <t>Cust 7354</t>
  </si>
  <si>
    <t>REG101035</t>
  </si>
  <si>
    <t>Cust 6672</t>
  </si>
  <si>
    <t>REG101036</t>
  </si>
  <si>
    <t>Cust 5589</t>
  </si>
  <si>
    <t>REG101037</t>
  </si>
  <si>
    <t>Cust 2770</t>
  </si>
  <si>
    <t>REG101038</t>
  </si>
  <si>
    <t>Cust 7206</t>
  </si>
  <si>
    <t>REG101039</t>
  </si>
  <si>
    <t>Cust 1580</t>
  </si>
  <si>
    <t>REG101040</t>
  </si>
  <si>
    <t>Cust 5313</t>
  </si>
  <si>
    <t>REG101041</t>
  </si>
  <si>
    <t>Cust 4209</t>
  </si>
  <si>
    <t>REG101042</t>
  </si>
  <si>
    <t>Cust 5861</t>
  </si>
  <si>
    <t>REG101043</t>
  </si>
  <si>
    <t>Cust 6348</t>
  </si>
  <si>
    <t>REG101044</t>
  </si>
  <si>
    <t>Cust 5210</t>
  </si>
  <si>
    <t>REG101045</t>
  </si>
  <si>
    <t>Cust 7325</t>
  </si>
  <si>
    <t>REG101046</t>
  </si>
  <si>
    <t>Cust 5818</t>
  </si>
  <si>
    <t>REG101047</t>
  </si>
  <si>
    <t>REG101048</t>
  </si>
  <si>
    <t>REG101049</t>
  </si>
  <si>
    <t>Cust 4496</t>
  </si>
  <si>
    <t>REG101050</t>
  </si>
  <si>
    <t>Cust 3875</t>
  </si>
  <si>
    <t>REG101051</t>
  </si>
  <si>
    <t>Cust 7232</t>
  </si>
  <si>
    <t>REG101052</t>
  </si>
  <si>
    <t>REG101053</t>
  </si>
  <si>
    <t>Cust 4537</t>
  </si>
  <si>
    <t>REG101054</t>
  </si>
  <si>
    <t>Cust 6274</t>
  </si>
  <si>
    <t>REG101055</t>
  </si>
  <si>
    <t>Cust 3810</t>
  </si>
  <si>
    <t>REG101056</t>
  </si>
  <si>
    <t>Cust 5002</t>
  </si>
  <si>
    <t>REG101057</t>
  </si>
  <si>
    <t>Cust 8551</t>
  </si>
  <si>
    <t>REG101058</t>
  </si>
  <si>
    <t>Cust 8837</t>
  </si>
  <si>
    <t>REG101059</t>
  </si>
  <si>
    <t>Cust 6523</t>
  </si>
  <si>
    <t>REG101060</t>
  </si>
  <si>
    <t>REG101061</t>
  </si>
  <si>
    <t>Cust 3440</t>
  </si>
  <si>
    <t>REG101062</t>
  </si>
  <si>
    <t>Cust 4102</t>
  </si>
  <si>
    <t>REG101063</t>
  </si>
  <si>
    <t>Cust 4145</t>
  </si>
  <si>
    <t>REG101064</t>
  </si>
  <si>
    <t>Cust 5206</t>
  </si>
  <si>
    <t>REG101065</t>
  </si>
  <si>
    <t>Cust 4022</t>
  </si>
  <si>
    <t>REG101066</t>
  </si>
  <si>
    <t>Cust 8676</t>
  </si>
  <si>
    <t>REG101067</t>
  </si>
  <si>
    <t>Cust 7492</t>
  </si>
  <si>
    <t>REG101068</t>
  </si>
  <si>
    <t>REG101069</t>
  </si>
  <si>
    <t>Cust 7872</t>
  </si>
  <si>
    <t>REG101070</t>
  </si>
  <si>
    <t>Cust 8762</t>
  </si>
  <si>
    <t>REG101071</t>
  </si>
  <si>
    <t>Cust 4004</t>
  </si>
  <si>
    <t>REG101072</t>
  </si>
  <si>
    <t>Cust 2781</t>
  </si>
  <si>
    <t>REG101073</t>
  </si>
  <si>
    <t>Cust 9982</t>
  </si>
  <si>
    <t>REG101074</t>
  </si>
  <si>
    <t>Cust 9561</t>
  </si>
  <si>
    <t>REG101075</t>
  </si>
  <si>
    <t>Cust 3496</t>
  </si>
  <si>
    <t>REG101076</t>
  </si>
  <si>
    <t>Cust 4085</t>
  </si>
  <si>
    <t>REG101077</t>
  </si>
  <si>
    <t>Cust 1921</t>
  </si>
  <si>
    <t>REG101078</t>
  </si>
  <si>
    <t>Cust 9053</t>
  </si>
  <si>
    <t>REG101079</t>
  </si>
  <si>
    <t>REG101080</t>
  </si>
  <si>
    <t>Cust 3559</t>
  </si>
  <si>
    <t>REG101081</t>
  </si>
  <si>
    <t>REG101082</t>
  </si>
  <si>
    <t>Cust 7060</t>
  </si>
  <si>
    <t>REG101083</t>
  </si>
  <si>
    <t>Cust 8796</t>
  </si>
  <si>
    <t>REG101084</t>
  </si>
  <si>
    <t>Cust 6055</t>
  </si>
  <si>
    <t>REG101085</t>
  </si>
  <si>
    <t>Cust 5779</t>
  </si>
  <si>
    <t>REG101086</t>
  </si>
  <si>
    <t>Cust 9330</t>
  </si>
  <si>
    <t>REG101087</t>
  </si>
  <si>
    <t>Cust 5374</t>
  </si>
  <si>
    <t>REG101088</t>
  </si>
  <si>
    <t>Cust 3321</t>
  </si>
  <si>
    <t>REG101089</t>
  </si>
  <si>
    <t>Cust 6554</t>
  </si>
  <si>
    <t>REG101090</t>
  </si>
  <si>
    <t>REG101091</t>
  </si>
  <si>
    <t>Cust 9955</t>
  </si>
  <si>
    <t>REG101092</t>
  </si>
  <si>
    <t>Cust 3320</t>
  </si>
  <si>
    <t>REG101093</t>
  </si>
  <si>
    <t>Cust 8177</t>
  </si>
  <si>
    <t>REG101094</t>
  </si>
  <si>
    <t>Cust 1743</t>
  </si>
  <si>
    <t>REG101095</t>
  </si>
  <si>
    <t>Cust 3719</t>
  </si>
  <si>
    <t>REG101096</t>
  </si>
  <si>
    <t>Cust 9323</t>
  </si>
  <si>
    <t>REG101097</t>
  </si>
  <si>
    <t>Cust 1914</t>
  </si>
  <si>
    <t>REG101098</t>
  </si>
  <si>
    <t>Cust 5928</t>
  </si>
  <si>
    <t>REG101099</t>
  </si>
  <si>
    <t>REG101100</t>
  </si>
  <si>
    <t>Cust 8062</t>
  </si>
  <si>
    <t>REG101101</t>
  </si>
  <si>
    <t>REG101102</t>
  </si>
  <si>
    <t>Cust 3275</t>
  </si>
  <si>
    <t>REG101103</t>
  </si>
  <si>
    <t>Cust 3854</t>
  </si>
  <si>
    <t>REG101104</t>
  </si>
  <si>
    <t>Cust 8398</t>
  </si>
  <si>
    <t>REG101105</t>
  </si>
  <si>
    <t>Cust 4026</t>
  </si>
  <si>
    <t>REG101106</t>
  </si>
  <si>
    <t>Cust 5794</t>
  </si>
  <si>
    <t>REG101107</t>
  </si>
  <si>
    <t>Cust 2917</t>
  </si>
  <si>
    <t>REG101108</t>
  </si>
  <si>
    <t>Cust 5659</t>
  </si>
  <si>
    <t>REG101109</t>
  </si>
  <si>
    <t>Cust 1857</t>
  </si>
  <si>
    <t>REG101110</t>
  </si>
  <si>
    <t>Cust 6718</t>
  </si>
  <si>
    <t>REG101111</t>
  </si>
  <si>
    <t>Cust 8378</t>
  </si>
  <si>
    <t>REG101112</t>
  </si>
  <si>
    <t>Cust 3069</t>
  </si>
  <si>
    <t>REG101113</t>
  </si>
  <si>
    <t>Cust 7619</t>
  </si>
  <si>
    <t>REG101114</t>
  </si>
  <si>
    <t>Cust 6167</t>
  </si>
  <si>
    <t>REG101115</t>
  </si>
  <si>
    <t>Cust 2453</t>
  </si>
  <si>
    <t>REG101116</t>
  </si>
  <si>
    <t>Cust 8896</t>
  </si>
  <si>
    <t>REG101117</t>
  </si>
  <si>
    <t>Cust 8800</t>
  </si>
  <si>
    <t>REG101118</t>
  </si>
  <si>
    <t>Cust 1819</t>
  </si>
  <si>
    <t>REG101119</t>
  </si>
  <si>
    <t>Cust 1300</t>
  </si>
  <si>
    <t>REG101120</t>
  </si>
  <si>
    <t>Cust 3807</t>
  </si>
  <si>
    <t>REG101121</t>
  </si>
  <si>
    <t>Cust 6633</t>
  </si>
  <si>
    <t>REG101122</t>
  </si>
  <si>
    <t>Cust 6573</t>
  </si>
  <si>
    <t>REG101123</t>
  </si>
  <si>
    <t>Cust 8600</t>
  </si>
  <si>
    <t>REG101124</t>
  </si>
  <si>
    <t>Cust 8654</t>
  </si>
  <si>
    <t>REG101125</t>
  </si>
  <si>
    <t>Cust 3708</t>
  </si>
  <si>
    <t>REG101126</t>
  </si>
  <si>
    <t>Cust 1268</t>
  </si>
  <si>
    <t>REG101127</t>
  </si>
  <si>
    <t>Cust 5600</t>
  </si>
  <si>
    <t>REG101128</t>
  </si>
  <si>
    <t>Cust 2438</t>
  </si>
  <si>
    <t>REG101129</t>
  </si>
  <si>
    <t>Cust 4293</t>
  </si>
  <si>
    <t>REG101130</t>
  </si>
  <si>
    <t>REG101131</t>
  </si>
  <si>
    <t>Cust 2616</t>
  </si>
  <si>
    <t>REG101132</t>
  </si>
  <si>
    <t>Cust 5362</t>
  </si>
  <si>
    <t>REG101133</t>
  </si>
  <si>
    <t>Cust 1670</t>
  </si>
  <si>
    <t>REG101134</t>
  </si>
  <si>
    <t>Cust 2254</t>
  </si>
  <si>
    <t>REG101135</t>
  </si>
  <si>
    <t>Cust 9521</t>
  </si>
  <si>
    <t>REG101136</t>
  </si>
  <si>
    <t>Cust 3921</t>
  </si>
  <si>
    <t>REG101137</t>
  </si>
  <si>
    <t>Cust 7628</t>
  </si>
  <si>
    <t>REG101138</t>
  </si>
  <si>
    <t>REG101139</t>
  </si>
  <si>
    <t>Cust 4210</t>
  </si>
  <si>
    <t>REG101140</t>
  </si>
  <si>
    <t>Cust 1951</t>
  </si>
  <si>
    <t>REG101141</t>
  </si>
  <si>
    <t>Cust 9405</t>
  </si>
  <si>
    <t>REG101142</t>
  </si>
  <si>
    <t>Cust 8769</t>
  </si>
  <si>
    <t>REG101143</t>
  </si>
  <si>
    <t>REG101144</t>
  </si>
  <si>
    <t>Cust 4068</t>
  </si>
  <si>
    <t>REG101145</t>
  </si>
  <si>
    <t>Cust 3523</t>
  </si>
  <si>
    <t>REG101146</t>
  </si>
  <si>
    <t>Cust 3377</t>
  </si>
  <si>
    <t>REG101147</t>
  </si>
  <si>
    <t>Cust 3125</t>
  </si>
  <si>
    <t>REG101148</t>
  </si>
  <si>
    <t>Cust 4623</t>
  </si>
  <si>
    <t>REG101149</t>
  </si>
  <si>
    <t>Cust 4571</t>
  </si>
  <si>
    <t>REG101150</t>
  </si>
  <si>
    <t>REG101151</t>
  </si>
  <si>
    <t>Cust 6982</t>
  </si>
  <si>
    <t>REG101152</t>
  </si>
  <si>
    <t>Cust 6824</t>
  </si>
  <si>
    <t>REG101153</t>
  </si>
  <si>
    <t>Cust 3172</t>
  </si>
  <si>
    <t>REG101154</t>
  </si>
  <si>
    <t>Cust 8146</t>
  </si>
  <si>
    <t>REG101155</t>
  </si>
  <si>
    <t>Cust 3299</t>
  </si>
  <si>
    <t>REG101156</t>
  </si>
  <si>
    <t>Cust 6476</t>
  </si>
  <si>
    <t>REG101157</t>
  </si>
  <si>
    <t>Cust 9835</t>
  </si>
  <si>
    <t>REG101158</t>
  </si>
  <si>
    <t>Cust 1003</t>
  </si>
  <si>
    <t>REG101159</t>
  </si>
  <si>
    <t>Cust 9705</t>
  </si>
  <si>
    <t>REG101160</t>
  </si>
  <si>
    <t>Cust 3421</t>
  </si>
  <si>
    <t>REG101161</t>
  </si>
  <si>
    <t>Cust 1690</t>
  </si>
  <si>
    <t>REG101162</t>
  </si>
  <si>
    <t>Cust 2507</t>
  </si>
  <si>
    <t>REG101163</t>
  </si>
  <si>
    <t>Cust 9880</t>
  </si>
  <si>
    <t>REG101164</t>
  </si>
  <si>
    <t>Cust 3972</t>
  </si>
  <si>
    <t>REG101165</t>
  </si>
  <si>
    <t>REG101166</t>
  </si>
  <si>
    <t>Cust 4205</t>
  </si>
  <si>
    <t>REG101167</t>
  </si>
  <si>
    <t>Cust 2579</t>
  </si>
  <si>
    <t>REG101168</t>
  </si>
  <si>
    <t>Cust 7265</t>
  </si>
  <si>
    <t>REG101169</t>
  </si>
  <si>
    <t>Cust 1199</t>
  </si>
  <si>
    <t>REG101170</t>
  </si>
  <si>
    <t>Cust 2928</t>
  </si>
  <si>
    <t>REG101171</t>
  </si>
  <si>
    <t>Cust 9447</t>
  </si>
  <si>
    <t>REG101172</t>
  </si>
  <si>
    <t>Cust 9095</t>
  </si>
  <si>
    <t>REG101173</t>
  </si>
  <si>
    <t>Cust 7587</t>
  </si>
  <si>
    <t>REG101174</t>
  </si>
  <si>
    <t>Cust 2611</t>
  </si>
  <si>
    <t>REG101175</t>
  </si>
  <si>
    <t>Cust 8284</t>
  </si>
  <si>
    <t>REG101176</t>
  </si>
  <si>
    <t>Cust 8154</t>
  </si>
  <si>
    <t>REG101177</t>
  </si>
  <si>
    <t>Cust 5215</t>
  </si>
  <si>
    <t>REG101178</t>
  </si>
  <si>
    <t>Cust 5309</t>
  </si>
  <si>
    <t>REG101179</t>
  </si>
  <si>
    <t>Cust 2016</t>
  </si>
  <si>
    <t>REG101180</t>
  </si>
  <si>
    <t>Cust 2676</t>
  </si>
  <si>
    <t>REG101181</t>
  </si>
  <si>
    <t>Cust 7529</t>
  </si>
  <si>
    <t>REG101182</t>
  </si>
  <si>
    <t>Cust 6172</t>
  </si>
  <si>
    <t>REG101183</t>
  </si>
  <si>
    <t>Cust 2527</t>
  </si>
  <si>
    <t>REG101184</t>
  </si>
  <si>
    <t>Cust 1970</t>
  </si>
  <si>
    <t>REG101185</t>
  </si>
  <si>
    <t>Cust 9543</t>
  </si>
  <si>
    <t>REG101186</t>
  </si>
  <si>
    <t>Cust 2957</t>
  </si>
  <si>
    <t>REG101187</t>
  </si>
  <si>
    <t>Cust 2852</t>
  </si>
  <si>
    <t>REG101188</t>
  </si>
  <si>
    <t>Cust 6365</t>
  </si>
  <si>
    <t>REG101189</t>
  </si>
  <si>
    <t>REG101190</t>
  </si>
  <si>
    <t>Cust 3252</t>
  </si>
  <si>
    <t>REG101191</t>
  </si>
  <si>
    <t>Cust 8679</t>
  </si>
  <si>
    <t>REG101192</t>
  </si>
  <si>
    <t>Cust 5547</t>
  </si>
  <si>
    <t>REG101193</t>
  </si>
  <si>
    <t>Cust 9438</t>
  </si>
  <si>
    <t>REG101194</t>
  </si>
  <si>
    <t>REG101195</t>
  </si>
  <si>
    <t>Cust 7007</t>
  </si>
  <si>
    <t>REG101196</t>
  </si>
  <si>
    <t>REG101197</t>
  </si>
  <si>
    <t>Cust 5771</t>
  </si>
  <si>
    <t>REG101198</t>
  </si>
  <si>
    <t>Cust 4317</t>
  </si>
  <si>
    <t>REG101199</t>
  </si>
  <si>
    <t>Cust 3627</t>
  </si>
  <si>
    <t>REG101200</t>
  </si>
  <si>
    <t>Cust 4433</t>
  </si>
  <si>
    <t>REG101201</t>
  </si>
  <si>
    <t>Cust 6231</t>
  </si>
  <si>
    <t>REG101202</t>
  </si>
  <si>
    <t>Cust 8987</t>
  </si>
  <si>
    <t>REG101203</t>
  </si>
  <si>
    <t>Cust 4510</t>
  </si>
  <si>
    <t>REG101204</t>
  </si>
  <si>
    <t>Cust 7003</t>
  </si>
  <si>
    <t>REG101205</t>
  </si>
  <si>
    <t>Cust 6546</t>
  </si>
  <si>
    <t>REG101206</t>
  </si>
  <si>
    <t>Cust 2951</t>
  </si>
  <si>
    <t>REG101207</t>
  </si>
  <si>
    <t>Cust 4673</t>
  </si>
  <si>
    <t>REG101208</t>
  </si>
  <si>
    <t>Cust 5988</t>
  </si>
  <si>
    <t>REG101209</t>
  </si>
  <si>
    <t>Cust 3922</t>
  </si>
  <si>
    <t>REG101210</t>
  </si>
  <si>
    <t>Cust 9853</t>
  </si>
  <si>
    <t>REG101211</t>
  </si>
  <si>
    <t>Cust 6168</t>
  </si>
  <si>
    <t>REG101212</t>
  </si>
  <si>
    <t>Cust 3175</t>
  </si>
  <si>
    <t>REG101213</t>
  </si>
  <si>
    <t>Cust 1813</t>
  </si>
  <si>
    <t>REG101214</t>
  </si>
  <si>
    <t>Cust 7749</t>
  </si>
  <si>
    <t>REG101215</t>
  </si>
  <si>
    <t>Cust 3416</t>
  </si>
  <si>
    <t>REG101216</t>
  </si>
  <si>
    <t>Cust 7066</t>
  </si>
  <si>
    <t>REG101217</t>
  </si>
  <si>
    <t>Cust 5180</t>
  </si>
  <si>
    <t>REG101218</t>
  </si>
  <si>
    <t>Cust 6246</t>
  </si>
  <si>
    <t>REG101219</t>
  </si>
  <si>
    <t>Cust 4182</t>
  </si>
  <si>
    <t>REG101220</t>
  </si>
  <si>
    <t>Cust 6843</t>
  </si>
  <si>
    <t>REG101221</t>
  </si>
  <si>
    <t>Cust 6844</t>
  </si>
  <si>
    <t>REG101222</t>
  </si>
  <si>
    <t>Cust 3248</t>
  </si>
  <si>
    <t>REG101223</t>
  </si>
  <si>
    <t>Cust 5226</t>
  </si>
  <si>
    <t>REG101224</t>
  </si>
  <si>
    <t>Cust 9804</t>
  </si>
  <si>
    <t>REG101225</t>
  </si>
  <si>
    <t>Cust 3990</t>
  </si>
  <si>
    <t>REG101226</t>
  </si>
  <si>
    <t>Cust 5106</t>
  </si>
  <si>
    <t>REG101227</t>
  </si>
  <si>
    <t>Cust 3448</t>
  </si>
  <si>
    <t>REG101228</t>
  </si>
  <si>
    <t>Cust 1439</t>
  </si>
  <si>
    <t>REG101229</t>
  </si>
  <si>
    <t>Cust 5342</t>
  </si>
  <si>
    <t>REG101230</t>
  </si>
  <si>
    <t>Cust 4564</t>
  </si>
  <si>
    <t>REG101231</t>
  </si>
  <si>
    <t>Cust 6441</t>
  </si>
  <si>
    <t>REG101232</t>
  </si>
  <si>
    <t>Cust 7591</t>
  </si>
  <si>
    <t>REG101233</t>
  </si>
  <si>
    <t>Cust 9778</t>
  </si>
  <si>
    <t>REG101234</t>
  </si>
  <si>
    <t>Cust 1195</t>
  </si>
  <si>
    <t>REG101235</t>
  </si>
  <si>
    <t>Cust 8126</t>
  </si>
  <si>
    <t>REG101236</t>
  </si>
  <si>
    <t>Cust 4609</t>
  </si>
  <si>
    <t>REG101237</t>
  </si>
  <si>
    <t>Cust 1449</t>
  </si>
  <si>
    <t>REG101238</t>
  </si>
  <si>
    <t>Cust 3508</t>
  </si>
  <si>
    <t>REG101239</t>
  </si>
  <si>
    <t>REG101240</t>
  </si>
  <si>
    <t>Cust 1232</t>
  </si>
  <si>
    <t>REG101241</t>
  </si>
  <si>
    <t>Cust 9675</t>
  </si>
  <si>
    <t>REG101242</t>
  </si>
  <si>
    <t>Cust 5153</t>
  </si>
  <si>
    <t>REG101243</t>
  </si>
  <si>
    <t>REG101244</t>
  </si>
  <si>
    <t>Cust 8277</t>
  </si>
  <si>
    <t>REG101245</t>
  </si>
  <si>
    <t>Cust 5884</t>
  </si>
  <si>
    <t>REG101246</t>
  </si>
  <si>
    <t>Cust 4061</t>
  </si>
  <si>
    <t>REG101247</t>
  </si>
  <si>
    <t>Cust 8095</t>
  </si>
  <si>
    <t>REG101248</t>
  </si>
  <si>
    <t>Cust 2435</t>
  </si>
  <si>
    <t>REG101249</t>
  </si>
  <si>
    <t>REG101250</t>
  </si>
  <si>
    <t>Cust 6485</t>
  </si>
  <si>
    <t>REG101251</t>
  </si>
  <si>
    <t>Cust 6960</t>
  </si>
  <si>
    <t>REG101252</t>
  </si>
  <si>
    <t>Cust 1135</t>
  </si>
  <si>
    <t>REG101253</t>
  </si>
  <si>
    <t>Cust 6186</t>
  </si>
  <si>
    <t>REG101254</t>
  </si>
  <si>
    <t>Cust 8828</t>
  </si>
  <si>
    <t>REG101255</t>
  </si>
  <si>
    <t>REG101256</t>
  </si>
  <si>
    <t>Cust 4744</t>
  </si>
  <si>
    <t>REG101257</t>
  </si>
  <si>
    <t>Cust 4287</t>
  </si>
  <si>
    <t>REG101258</t>
  </si>
  <si>
    <t>Cust 2236</t>
  </si>
  <si>
    <t>REG101259</t>
  </si>
  <si>
    <t>REG101260</t>
  </si>
  <si>
    <t>Cust 5096</t>
  </si>
  <si>
    <t>REG101261</t>
  </si>
  <si>
    <t>Cust 1162</t>
  </si>
  <si>
    <t>REG101262</t>
  </si>
  <si>
    <t>Cust 1669</t>
  </si>
  <si>
    <t>REG101263</t>
  </si>
  <si>
    <t>Cust 6213</t>
  </si>
  <si>
    <t>REG101264</t>
  </si>
  <si>
    <t>Cust 7659</t>
  </si>
  <si>
    <t>REG101265</t>
  </si>
  <si>
    <t>Cust 2894</t>
  </si>
  <si>
    <t>REG101266</t>
  </si>
  <si>
    <t>Cust 1457</t>
  </si>
  <si>
    <t>REG101267</t>
  </si>
  <si>
    <t>Cust 2410</t>
  </si>
  <si>
    <t>REG101268</t>
  </si>
  <si>
    <t>Cust 4723</t>
  </si>
  <si>
    <t>REG101269</t>
  </si>
  <si>
    <t>Cust 1586</t>
  </si>
  <si>
    <t>REG101270</t>
  </si>
  <si>
    <t>Cust 5049</t>
  </si>
  <si>
    <t>REG101271</t>
  </si>
  <si>
    <t>Cust 9534</t>
  </si>
  <si>
    <t>REG101272</t>
  </si>
  <si>
    <t>Cust 5693</t>
  </si>
  <si>
    <t>REG101273</t>
  </si>
  <si>
    <t>Cust 6950</t>
  </si>
  <si>
    <t>REG101274</t>
  </si>
  <si>
    <t>Cust 7098</t>
  </si>
  <si>
    <t>REG101275</t>
  </si>
  <si>
    <t>Cust 8300</t>
  </si>
  <si>
    <t>REG101276</t>
  </si>
  <si>
    <t>Cust 9557</t>
  </si>
  <si>
    <t>REG101277</t>
  </si>
  <si>
    <t>Cust 8787</t>
  </si>
  <si>
    <t>REG101278</t>
  </si>
  <si>
    <t>Cust 9717</t>
  </si>
  <si>
    <t>REG101279</t>
  </si>
  <si>
    <t>Cust 2719</t>
  </si>
  <si>
    <t>REG101280</t>
  </si>
  <si>
    <t>Cust 6203</t>
  </si>
  <si>
    <t>REG101281</t>
  </si>
  <si>
    <t>Cust 9151</t>
  </si>
  <si>
    <t>REG101282</t>
  </si>
  <si>
    <t>REG101283</t>
  </si>
  <si>
    <t>Cust 4250</t>
  </si>
  <si>
    <t>REG101284</t>
  </si>
  <si>
    <t>Cust 1276</t>
  </si>
  <si>
    <t>REG101285</t>
  </si>
  <si>
    <t>Cust 6063</t>
  </si>
  <si>
    <t>REG101286</t>
  </si>
  <si>
    <t>Cust 7604</t>
  </si>
  <si>
    <t>REG101287</t>
  </si>
  <si>
    <t>REG101288</t>
  </si>
  <si>
    <t>Cust 4398</t>
  </si>
  <si>
    <t>REG101289</t>
  </si>
  <si>
    <t>Cust 8770</t>
  </si>
  <si>
    <t>REG101290</t>
  </si>
  <si>
    <t>Cust 2148</t>
  </si>
  <si>
    <t>REG101291</t>
  </si>
  <si>
    <t>Cust 4107</t>
  </si>
  <si>
    <t>REG101292</t>
  </si>
  <si>
    <t>Cust 4450</t>
  </si>
  <si>
    <t>REG101293</t>
  </si>
  <si>
    <t>Cust 8233</t>
  </si>
  <si>
    <t>REG101294</t>
  </si>
  <si>
    <t>Cust 9012</t>
  </si>
  <si>
    <t>REG101295</t>
  </si>
  <si>
    <t>Cust 1496</t>
  </si>
  <si>
    <t>REG101296</t>
  </si>
  <si>
    <t>Cust 9365</t>
  </si>
  <si>
    <t>REG101297</t>
  </si>
  <si>
    <t>Cust 1392</t>
  </si>
  <si>
    <t>REG101298</t>
  </si>
  <si>
    <t>Cust 3474</t>
  </si>
  <si>
    <t>REG101299</t>
  </si>
  <si>
    <t>Cust 2111</t>
  </si>
  <si>
    <t>REG101300</t>
  </si>
  <si>
    <t>REG101301</t>
  </si>
  <si>
    <t>Cust 2341</t>
  </si>
  <si>
    <t>REG101302</t>
  </si>
  <si>
    <t>REG101303</t>
  </si>
  <si>
    <t>Cust 5935</t>
  </si>
  <si>
    <t>REG101304</t>
  </si>
  <si>
    <t>Cust 3291</t>
  </si>
  <si>
    <t>REG101305</t>
  </si>
  <si>
    <t>Cust 5258</t>
  </si>
  <si>
    <t>REG101306</t>
  </si>
  <si>
    <t>REG101307</t>
  </si>
  <si>
    <t>REG101308</t>
  </si>
  <si>
    <t>Cust 9606</t>
  </si>
  <si>
    <t>REG101309</t>
  </si>
  <si>
    <t>Cust 9182</t>
  </si>
  <si>
    <t>REG101310</t>
  </si>
  <si>
    <t>Cust 6299</t>
  </si>
  <si>
    <t>REG101311</t>
  </si>
  <si>
    <t>Cust 9628</t>
  </si>
  <si>
    <t>REG101312</t>
  </si>
  <si>
    <t>Cust 3831</t>
  </si>
  <si>
    <t>REG101313</t>
  </si>
  <si>
    <t>Cust 7955</t>
  </si>
  <si>
    <t>REG101314</t>
  </si>
  <si>
    <t>Cust 3939</t>
  </si>
  <si>
    <t>REG101315</t>
  </si>
  <si>
    <t>Cust 7916</t>
  </si>
  <si>
    <t>REG101316</t>
  </si>
  <si>
    <t>Cust 2477</t>
  </si>
  <si>
    <t>REG101317</t>
  </si>
  <si>
    <t>Cust 3781</t>
  </si>
  <si>
    <t>REG101318</t>
  </si>
  <si>
    <t>REG101319</t>
  </si>
  <si>
    <t>Cust 1969</t>
  </si>
  <si>
    <t>REG101320</t>
  </si>
  <si>
    <t>Cust 4494</t>
  </si>
  <si>
    <t>REG101321</t>
  </si>
  <si>
    <t>REG101322</t>
  </si>
  <si>
    <t>Cust 3061</t>
  </si>
  <si>
    <t>REG101323</t>
  </si>
  <si>
    <t>Cust 4732</t>
  </si>
  <si>
    <t>REG101324</t>
  </si>
  <si>
    <t>Cust 9889</t>
  </si>
  <si>
    <t>REG101325</t>
  </si>
  <si>
    <t>Cust 2165</t>
  </si>
  <si>
    <t>REG101326</t>
  </si>
  <si>
    <t>Cust 6121</t>
  </si>
  <si>
    <t>REG101327</t>
  </si>
  <si>
    <t>Cust 4071</t>
  </si>
  <si>
    <t>REG101328</t>
  </si>
  <si>
    <t>Cust 5249</t>
  </si>
  <si>
    <t>REG101329</t>
  </si>
  <si>
    <t>Cust 4262</t>
  </si>
  <si>
    <t>REG101330</t>
  </si>
  <si>
    <t>Cust 9314</t>
  </si>
  <si>
    <t>REG101331</t>
  </si>
  <si>
    <t>Cust 7703</t>
  </si>
  <si>
    <t>REG101332</t>
  </si>
  <si>
    <t>REG101333</t>
  </si>
  <si>
    <t>REG101334</t>
  </si>
  <si>
    <t>REG101335</t>
  </si>
  <si>
    <t>Cust 1007</t>
  </si>
  <si>
    <t>REG101336</t>
  </si>
  <si>
    <t>Cust 1946</t>
  </si>
  <si>
    <t>REG101337</t>
  </si>
  <si>
    <t>Cust 6347</t>
  </si>
  <si>
    <t>REG101338</t>
  </si>
  <si>
    <t>Cust 6499</t>
  </si>
  <si>
    <t>REG101339</t>
  </si>
  <si>
    <t>Cust 1420</t>
  </si>
  <si>
    <t>REG101340</t>
  </si>
  <si>
    <t>Cust 6744</t>
  </si>
  <si>
    <t>REG101341</t>
  </si>
  <si>
    <t>Cust 5690</t>
  </si>
  <si>
    <t>REG101342</t>
  </si>
  <si>
    <t>Cust 1265</t>
  </si>
  <si>
    <t>REG101343</t>
  </si>
  <si>
    <t>Cust 7676</t>
  </si>
  <si>
    <t>REG101344</t>
  </si>
  <si>
    <t>Cust 4442</t>
  </si>
  <si>
    <t>REG101345</t>
  </si>
  <si>
    <t>Cust 2975</t>
  </si>
  <si>
    <t>REG101346</t>
  </si>
  <si>
    <t>Cust 7832</t>
  </si>
  <si>
    <t>REG101347</t>
  </si>
  <si>
    <t>REG101348</t>
  </si>
  <si>
    <t>Cust 8639</t>
  </si>
  <si>
    <t>REG101349</t>
  </si>
  <si>
    <t>REG101350</t>
  </si>
  <si>
    <t>REG101351</t>
  </si>
  <si>
    <t>REG101352</t>
  </si>
  <si>
    <t>REG101353</t>
  </si>
  <si>
    <t>Cust 4389</t>
  </si>
  <si>
    <t>REG101354</t>
  </si>
  <si>
    <t>Cust 2008</t>
  </si>
  <si>
    <t>REG101355</t>
  </si>
  <si>
    <t>Cust 6509</t>
  </si>
  <si>
    <t>REG101356</t>
  </si>
  <si>
    <t>REG101357</t>
  </si>
  <si>
    <t>Cust 4414</t>
  </si>
  <si>
    <t>REG101358</t>
  </si>
  <si>
    <t>Cust 6409</t>
  </si>
  <si>
    <t>REG101359</t>
  </si>
  <si>
    <t>Cust 1621</t>
  </si>
  <si>
    <t>REG101360</t>
  </si>
  <si>
    <t>Cust 6790</t>
  </si>
  <si>
    <t>REG101361</t>
  </si>
  <si>
    <t>Cust 4045</t>
  </si>
  <si>
    <t>REG101362</t>
  </si>
  <si>
    <t>Cust 1258</t>
  </si>
  <si>
    <t>REG101363</t>
  </si>
  <si>
    <t>Cust 8051</t>
  </si>
  <si>
    <t>REG101364</t>
  </si>
  <si>
    <t>Cust 9371</t>
  </si>
  <si>
    <t>REG101365</t>
  </si>
  <si>
    <t>Cust 9881</t>
  </si>
  <si>
    <t>REG101366</t>
  </si>
  <si>
    <t>REG101367</t>
  </si>
  <si>
    <t>Cust 9189</t>
  </si>
  <si>
    <t>REG101368</t>
  </si>
  <si>
    <t>Cust 8802</t>
  </si>
  <si>
    <t>REG101369</t>
  </si>
  <si>
    <t>Cust 8707</t>
  </si>
  <si>
    <t>REG101370</t>
  </si>
  <si>
    <t>Cust 5638</t>
  </si>
  <si>
    <t>REG101371</t>
  </si>
  <si>
    <t>Cust 6036</t>
  </si>
  <si>
    <t>REG101372</t>
  </si>
  <si>
    <t>Cust 5504</t>
  </si>
  <si>
    <t>REG101373</t>
  </si>
  <si>
    <t>Cust 1161</t>
  </si>
  <si>
    <t>REG101374</t>
  </si>
  <si>
    <t>Cust 5420</t>
  </si>
  <si>
    <t>REG101375</t>
  </si>
  <si>
    <t>Cust 7745</t>
  </si>
  <si>
    <t>REG101376</t>
  </si>
  <si>
    <t>Cust 4365</t>
  </si>
  <si>
    <t>REG101377</t>
  </si>
  <si>
    <t>REG101378</t>
  </si>
  <si>
    <t>Cust 9020</t>
  </si>
  <si>
    <t>REG101379</t>
  </si>
  <si>
    <t>Cust 2667</t>
  </si>
  <si>
    <t>REG101380</t>
  </si>
  <si>
    <t>Cust 6158</t>
  </si>
  <si>
    <t>REG101381</t>
  </si>
  <si>
    <t>Cust 7404</t>
  </si>
  <si>
    <t>REG101382</t>
  </si>
  <si>
    <t>Cust 8572</t>
  </si>
  <si>
    <t>REG101383</t>
  </si>
  <si>
    <t>Cust 1043</t>
  </si>
  <si>
    <t>REG101384</t>
  </si>
  <si>
    <t>Cust 1766</t>
  </si>
  <si>
    <t>REG101385</t>
  </si>
  <si>
    <t>Cust 4461</t>
  </si>
  <si>
    <t>REG101386</t>
  </si>
  <si>
    <t>Cust 4390</t>
  </si>
  <si>
    <t>REG101387</t>
  </si>
  <si>
    <t>Cust 9451</t>
  </si>
  <si>
    <t>REG101388</t>
  </si>
  <si>
    <t>Cust 5335</t>
  </si>
  <si>
    <t>REG101389</t>
  </si>
  <si>
    <t>Cust 3487</t>
  </si>
  <si>
    <t>REG101390</t>
  </si>
  <si>
    <t>Cust 7613</t>
  </si>
  <si>
    <t>REG101391</t>
  </si>
  <si>
    <t>Cust 9436</t>
  </si>
  <si>
    <t>REG101392</t>
  </si>
  <si>
    <t>Cust 2197</t>
  </si>
  <si>
    <t>REG101393</t>
  </si>
  <si>
    <t>Cust 5620</t>
  </si>
  <si>
    <t>REG101394</t>
  </si>
  <si>
    <t>REG101395</t>
  </si>
  <si>
    <t>REG101396</t>
  </si>
  <si>
    <t>Cust 3187</t>
  </si>
  <si>
    <t>REG101397</t>
  </si>
  <si>
    <t>Cust 1081</t>
  </si>
  <si>
    <t>REG101398</t>
  </si>
  <si>
    <t>REG101399</t>
  </si>
  <si>
    <t>Cust 5409</t>
  </si>
  <si>
    <t>REG101400</t>
  </si>
  <si>
    <t>REG101401</t>
  </si>
  <si>
    <t>Cust 2741</t>
  </si>
  <si>
    <t>REG101402</t>
  </si>
  <si>
    <t>Cust 2571</t>
  </si>
  <si>
    <t>REG101403</t>
  </si>
  <si>
    <t>Cust 6301</t>
  </si>
  <si>
    <t>REG101404</t>
  </si>
  <si>
    <t>Cust 7918</t>
  </si>
  <si>
    <t>REG101405</t>
  </si>
  <si>
    <t>Cust 3456</t>
  </si>
  <si>
    <t>REG101406</t>
  </si>
  <si>
    <t>Cust 8272</t>
  </si>
  <si>
    <t>REG101407</t>
  </si>
  <si>
    <t>Cust 7302</t>
  </si>
  <si>
    <t>REG101408</t>
  </si>
  <si>
    <t>REG101409</t>
  </si>
  <si>
    <t>Cust 5484</t>
  </si>
  <si>
    <t>REG101410</t>
  </si>
  <si>
    <t>Cust 4652</t>
  </si>
  <si>
    <t>REG101411</t>
  </si>
  <si>
    <t>REG101412</t>
  </si>
  <si>
    <t>REG101413</t>
  </si>
  <si>
    <t>Cust 1287</t>
  </si>
  <si>
    <t>REG101414</t>
  </si>
  <si>
    <t>Cust 5444</t>
  </si>
  <si>
    <t>REG101415</t>
  </si>
  <si>
    <t>REG101416</t>
  </si>
  <si>
    <t>Cust 6355</t>
  </si>
  <si>
    <t>REG101417</t>
  </si>
  <si>
    <t>Cust 6620</t>
  </si>
  <si>
    <t>REG101418</t>
  </si>
  <si>
    <t>Cust 4092</t>
  </si>
  <si>
    <t>REG101419</t>
  </si>
  <si>
    <t>Cust 4812</t>
  </si>
  <si>
    <t>REG101420</t>
  </si>
  <si>
    <t>Cust 8389</t>
  </si>
  <si>
    <t>REG101421</t>
  </si>
  <si>
    <t>Cust 4529</t>
  </si>
  <si>
    <t>REG101422</t>
  </si>
  <si>
    <t>REG101423</t>
  </si>
  <si>
    <t>REG101424</t>
  </si>
  <si>
    <t>Cust 4228</t>
  </si>
  <si>
    <t>REG101425</t>
  </si>
  <si>
    <t>Cust 3940</t>
  </si>
  <si>
    <t>REG101426</t>
  </si>
  <si>
    <t>Cust 4392</t>
  </si>
  <si>
    <t>REG101427</t>
  </si>
  <si>
    <t>Cust 4404</t>
  </si>
  <si>
    <t>REG101428</t>
  </si>
  <si>
    <t>Cust 2981</t>
  </si>
  <si>
    <t>REG101429</t>
  </si>
  <si>
    <t>Cust 3571</t>
  </si>
  <si>
    <t>REG101430</t>
  </si>
  <si>
    <t>Cust 2592</t>
  </si>
  <si>
    <t>REG101431</t>
  </si>
  <si>
    <t>Cust 6209</t>
  </si>
  <si>
    <t>REG101432</t>
  </si>
  <si>
    <t>Cust 6600</t>
  </si>
  <si>
    <t>REG101433</t>
  </si>
  <si>
    <t>Cust 6899</t>
  </si>
  <si>
    <t>REG101434</t>
  </si>
  <si>
    <t>Cust 1563</t>
  </si>
  <si>
    <t>REG101435</t>
  </si>
  <si>
    <t>Cust 6733</t>
  </si>
  <si>
    <t>REG101436</t>
  </si>
  <si>
    <t>Cust 7635</t>
  </si>
  <si>
    <t>REG101437</t>
  </si>
  <si>
    <t>Cust 4354</t>
  </si>
  <si>
    <t>REG101438</t>
  </si>
  <si>
    <t>REG101439</t>
  </si>
  <si>
    <t>Cust 1376</t>
  </si>
  <si>
    <t>REG101440</t>
  </si>
  <si>
    <t>Cust 6542</t>
  </si>
  <si>
    <t>REG101441</t>
  </si>
  <si>
    <t>REG101442</t>
  </si>
  <si>
    <t>Cust 4386</t>
  </si>
  <si>
    <t>REG101443</t>
  </si>
  <si>
    <t>Cust 6708</t>
  </si>
  <si>
    <t>REG101444</t>
  </si>
  <si>
    <t>Cust 6354</t>
  </si>
  <si>
    <t>REG101445</t>
  </si>
  <si>
    <t>Cust 3477</t>
  </si>
  <si>
    <t>REG101446</t>
  </si>
  <si>
    <t>Cust 6646</t>
  </si>
  <si>
    <t>REG101447</t>
  </si>
  <si>
    <t>REG101448</t>
  </si>
  <si>
    <t>REG101449</t>
  </si>
  <si>
    <t>Cust 6284</t>
  </si>
  <si>
    <t>REG101450</t>
  </si>
  <si>
    <t>Cust 9099</t>
  </si>
  <si>
    <t>REG101451</t>
  </si>
  <si>
    <t>REG101452</t>
  </si>
  <si>
    <t>Cust 6124</t>
  </si>
  <si>
    <t>REG101453</t>
  </si>
  <si>
    <t>Cust 8533</t>
  </si>
  <si>
    <t>REG101454</t>
  </si>
  <si>
    <t>REG101455</t>
  </si>
  <si>
    <t>REG101456</t>
  </si>
  <si>
    <t>Cust 1333</t>
  </si>
  <si>
    <t>REG101457</t>
  </si>
  <si>
    <t>Cust 2394</t>
  </si>
  <si>
    <t>REG101458</t>
  </si>
  <si>
    <t>Cust 8495</t>
  </si>
  <si>
    <t>REG101459</t>
  </si>
  <si>
    <t>Cust 3988</t>
  </si>
  <si>
    <t>REG101460</t>
  </si>
  <si>
    <t>Cust 4664</t>
  </si>
  <si>
    <t>REG101461</t>
  </si>
  <si>
    <t>Cust 5086</t>
  </si>
  <si>
    <t>REG101462</t>
  </si>
  <si>
    <t>Cust 8858</t>
  </si>
  <si>
    <t>REG101463</t>
  </si>
  <si>
    <t>REG101464</t>
  </si>
  <si>
    <t>Cust 2496</t>
  </si>
  <si>
    <t>REG101465</t>
  </si>
  <si>
    <t>Cust 5465</t>
  </si>
  <si>
    <t>REG101466</t>
  </si>
  <si>
    <t>Cust 2311</t>
  </si>
  <si>
    <t>REG101467</t>
  </si>
  <si>
    <t>Cust 4575</t>
  </si>
  <si>
    <t>REG101468</t>
  </si>
  <si>
    <t>Cust 8054</t>
  </si>
  <si>
    <t>REG101469</t>
  </si>
  <si>
    <t>REG101470</t>
  </si>
  <si>
    <t>Cust 7547</t>
  </si>
  <si>
    <t>REG101471</t>
  </si>
  <si>
    <t>REG101472</t>
  </si>
  <si>
    <t>Cust 5635</t>
  </si>
  <si>
    <t>REG101473</t>
  </si>
  <si>
    <t>Cust 4360</t>
  </si>
  <si>
    <t>REG101474</t>
  </si>
  <si>
    <t>Cust 1624</t>
  </si>
  <si>
    <t>REG101475</t>
  </si>
  <si>
    <t>Cust 6593</t>
  </si>
  <si>
    <t>REG101476</t>
  </si>
  <si>
    <t>REG101477</t>
  </si>
  <si>
    <t>REG101478</t>
  </si>
  <si>
    <t>Cust 8458</t>
  </si>
  <si>
    <t>REG101479</t>
  </si>
  <si>
    <t>REG101480</t>
  </si>
  <si>
    <t>Cust 8847</t>
  </si>
  <si>
    <t>REG101481</t>
  </si>
  <si>
    <t>Cust 7857</t>
  </si>
  <si>
    <t>REG101482</t>
  </si>
  <si>
    <t>Cust 7810</t>
  </si>
  <si>
    <t>REG101483</t>
  </si>
  <si>
    <t>Cust 5665</t>
  </si>
  <si>
    <t>REG101484</t>
  </si>
  <si>
    <t>Cust 8015</t>
  </si>
  <si>
    <t>REG101485</t>
  </si>
  <si>
    <t>Cust 7211</t>
  </si>
  <si>
    <t>REG101486</t>
  </si>
  <si>
    <t>Cust 8705</t>
  </si>
  <si>
    <t>REG101487</t>
  </si>
  <si>
    <t>Cust 2905</t>
  </si>
  <si>
    <t>REG101488</t>
  </si>
  <si>
    <t>Cust 5777</t>
  </si>
  <si>
    <t>REG101489</t>
  </si>
  <si>
    <t>Cust 6695</t>
  </si>
  <si>
    <t>REG101490</t>
  </si>
  <si>
    <t>Cust 1977</t>
  </si>
  <si>
    <t>REG101491</t>
  </si>
  <si>
    <t>Cust 7979</t>
  </si>
  <si>
    <t>REG101492</t>
  </si>
  <si>
    <t>Cust 2437</t>
  </si>
  <si>
    <t>REG101493</t>
  </si>
  <si>
    <t>Cust 2516</t>
  </si>
  <si>
    <t>REG101494</t>
  </si>
  <si>
    <t>Cust 6791</t>
  </si>
  <si>
    <t>REG101495</t>
  </si>
  <si>
    <t>Cust 5227</t>
  </si>
  <si>
    <t>REG101496</t>
  </si>
  <si>
    <t>Cust 5559</t>
  </si>
  <si>
    <t>REG101497</t>
  </si>
  <si>
    <t>Cust 8981</t>
  </si>
  <si>
    <t>REG101498</t>
  </si>
  <si>
    <t>Cust 1824</t>
  </si>
  <si>
    <t>REG101499</t>
  </si>
  <si>
    <t>Sales</t>
  </si>
  <si>
    <t>Row Labels</t>
  </si>
  <si>
    <t>Grand Total</t>
  </si>
  <si>
    <t>Sum of Sales</t>
  </si>
  <si>
    <t>Sum of Quantity</t>
  </si>
  <si>
    <t>Count of OrderID</t>
  </si>
  <si>
    <t>Qtr1</t>
  </si>
  <si>
    <t>Qtr2</t>
  </si>
  <si>
    <t>Qtr3</t>
  </si>
  <si>
    <t>Qtr4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</si>
</sst>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 &quot;₹&quot;\ * #,##0.00_ ;_ &quot;₹&quot;\ * \-#,##0.00_ ;_ &quot;₹&quot;\ * &quot;-&quot;??_ ;_ @_ "/>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44" fontId="0" fillId="0" borderId="0" xfId="0" applyNumberFormat="1"/>
  </cellXfs>
  <cellStyles count="1">
    <cellStyle name="Normal" xfId="0" builtinId="0"/>
  </cellStyles>
  <dxfs count="22">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font>
        <b/>
        <i val="0"/>
        <sz val="14"/>
        <color theme="1"/>
      </font>
    </dxf>
    <dxf>
      <fill>
        <patternFill>
          <fgColor theme="1"/>
        </patternFill>
      </fill>
    </dxf>
    <dxf>
      <font>
        <sz val="18"/>
      </font>
    </dxf>
    <dxf>
      <font>
        <b/>
        <i val="0"/>
        <sz val="16"/>
        <color theme="0"/>
      </font>
      <fill>
        <patternFill>
          <bgColor theme="1"/>
        </patternFill>
      </fill>
      <border diagonalUp="0" diagonalDown="0">
        <left/>
        <right/>
        <top/>
        <bottom/>
        <vertical/>
        <horizontal/>
      </border>
    </dxf>
    <dxf>
      <fill>
        <patternFill>
          <bgColor theme="0"/>
        </patternFill>
      </fill>
    </dxf>
    <dxf>
      <font>
        <sz val="10"/>
        <color theme="0"/>
      </font>
      <fill>
        <patternFill>
          <bgColor theme="1"/>
        </patternFill>
      </fill>
    </dxf>
    <dxf>
      <fill>
        <patternFill>
          <bgColor theme="1"/>
        </patternFill>
      </fill>
    </dxf>
    <dxf>
      <font>
        <b/>
        <color theme="1"/>
      </font>
      <border>
        <bottom style="thin">
          <color theme="4"/>
        </bottom>
        <vertical/>
        <horizontal/>
      </border>
    </dxf>
    <dxf>
      <font>
        <sz val="8"/>
        <color theme="1"/>
      </font>
      <border diagonalUp="0" diagonalDown="0">
        <left/>
        <right/>
        <top/>
        <bottom/>
        <vertical/>
        <horizontal/>
      </border>
    </dxf>
  </dxfs>
  <tableStyles count="13" defaultTableStyle="TableStyleMedium2" defaultPivotStyle="PivotStyleLight16">
    <tableStyle name="02202" pivot="0" table="0" count="10" xr9:uid="{71DC4D4C-BC32-48BD-B87A-1EF601CCBD5C}">
      <tableStyleElement type="wholeTable" dxfId="21"/>
      <tableStyleElement type="headerRow" dxfId="20"/>
    </tableStyle>
    <tableStyle name="Slicer Style 1" pivot="0" table="0" count="0" xr9:uid="{3B677EA1-2BBB-4618-95AD-22C76171B76F}"/>
    <tableStyle name="Slicer Style 10" pivot="0" table="0" count="1" xr9:uid="{C353521F-F84A-46BD-91B6-C16E1064D839}">
      <tableStyleElement type="wholeTable" dxfId="19"/>
    </tableStyle>
    <tableStyle name="Slicer Style 11" pivot="0" table="0" count="1" xr9:uid="{C1D0146D-33B4-4199-9898-C18F42951C1A}"/>
    <tableStyle name="Slicer Style 12" pivot="0" table="0" count="2" xr9:uid="{2D751E96-E099-4252-A821-A08D0BC9ECFC}">
      <tableStyleElement type="wholeTable" dxfId="18"/>
      <tableStyleElement type="headerRow" dxfId="17"/>
    </tableStyle>
    <tableStyle name="Slicer Style 13" pivot="0" table="0" count="4" xr9:uid="{1C48FE6B-EE17-4FB9-8D0C-ECA189A81B5B}">
      <tableStyleElement type="wholeTable" dxfId="16"/>
      <tableStyleElement type="headerRow" dxfId="15"/>
    </tableStyle>
    <tableStyle name="Slicer Style 2" pivot="0" table="0" count="1" xr9:uid="{4A408B2C-57F6-468D-BC16-321435CE2602}"/>
    <tableStyle name="Slicer Style 3" pivot="0" table="0" count="1" xr9:uid="{9C2EEE26-E639-4197-A136-0E769E058192}"/>
    <tableStyle name="Slicer Style 4" pivot="0" table="0" count="1" xr9:uid="{3DF02D9F-7F1D-4F3D-8337-D37A127CFB91}"/>
    <tableStyle name="Slicer Style 5" pivot="0" table="0" count="2" xr9:uid="{1D30A4FD-2696-4FA8-95B2-EE2569592EF8}">
      <tableStyleElement type="wholeTable" dxfId="14"/>
    </tableStyle>
    <tableStyle name="Slicer Style 6" pivot="0" table="0" count="1" xr9:uid="{496DBA74-0EFE-4675-9DFF-6BD1AD2F56AB}"/>
    <tableStyle name="Slicer Style 7" pivot="0" table="0" count="1" xr9:uid="{46F211FC-7FD6-4060-A9C1-F1802006663E}"/>
    <tableStyle name="Slicer Style 8" pivot="0" table="0" count="1" xr9:uid="{93F99CDB-8BA7-4FDA-9C94-5FF4C8DB2EBE}">
      <tableStyleElement type="wholeTable" dxfId="13"/>
    </tableStyle>
  </tableStyles>
  <extLst>
    <ext xmlns:x14="http://schemas.microsoft.com/office/spreadsheetml/2009/9/main" uri="{46F421CA-312F-682f-3DD2-61675219B42D}">
      <x14:dxfs count="17">
        <dxf>
          <font>
            <b/>
            <i val="0"/>
            <sz val="10"/>
            <name val="Calibri"/>
            <family val="2"/>
            <scheme val="minor"/>
          </font>
        </dxf>
        <dxf>
          <font>
            <color rgb="FFFF0000"/>
          </font>
        </dxf>
        <dxf>
          <font>
            <color theme="1"/>
          </font>
        </dxf>
        <dxf>
          <font>
            <b/>
            <i val="0"/>
            <color theme="1"/>
            <name val="Calibri Light"/>
            <family val="2"/>
            <scheme val="major"/>
          </font>
        </dxf>
        <dxf>
          <font>
            <color theme="1"/>
          </font>
        </dxf>
        <dxf>
          <font>
            <b/>
            <i val="0"/>
          </font>
        </dxf>
        <dxf>
          <font>
            <sz val="14"/>
            <color auto="1"/>
          </font>
          <fill>
            <patternFill>
              <bgColor theme="2" tint="-9.9948118533890809E-2"/>
            </patternFill>
          </fill>
          <border>
            <left style="thin">
              <color auto="1"/>
            </left>
            <right style="thin">
              <color auto="1"/>
            </right>
            <top style="thin">
              <color auto="1"/>
            </top>
            <bottom style="thin">
              <color auto="1"/>
            </bottom>
          </border>
        </dxf>
        <dxf>
          <font>
            <b/>
            <i val="0"/>
            <sz val="14"/>
            <color theme="0"/>
          </font>
        </dxf>
        <dxf>
          <fill>
            <patternFill>
              <fgColor auto="1"/>
              <bgColor theme="1"/>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 Style 13">
        <x14:slicerStyle name="02202">
          <x14:slicerStyleElements>
            <x14:slicerStyleElement type="unselectedItemWithData" dxfId="16"/>
            <x14:slicerStyleElement type="unselectedItemWithNoData" dxfId="15"/>
            <x14:slicerStyleElement type="selectedItemWithData" dxfId="14"/>
            <x14:slicerStyleElement type="selectedItemWithNoData" dxfId="13"/>
            <x14:slicerStyleElement type="hoveredUnselectedItemWithData" dxfId="12"/>
            <x14:slicerStyleElement type="hoveredSelectedItemWithData" dxfId="11"/>
            <x14:slicerStyleElement type="hoveredUnselectedItemWithNoData" dxfId="10"/>
            <x14:slicerStyleElement type="hoveredSelectedItemWithNoData" dxfId="9"/>
          </x14:slicerStyleElements>
        </x14:slicerStyle>
        <x14:slicerStyle name="Slicer Style 1"/>
        <x14:slicerStyle name="Slicer Style 10"/>
        <x14:slicerStyle name="Slicer Style 11">
          <x14:slicerStyleElements>
            <x14:slicerStyleElement type="hoveredSelectedItemWithData" dxfId="8"/>
          </x14:slicerStyleElements>
        </x14:slicerStyle>
        <x14:slicerStyle name="Slicer Style 12"/>
        <x14:slicerStyle name="Slicer Style 13">
          <x14:slicerStyleElements>
            <x14:slicerStyleElement type="unselectedItemWithData" dxfId="7"/>
            <x14:slicerStyleElement type="selectedItemWithData" dxfId="6"/>
          </x14:slicerStyleElements>
        </x14:slicerStyle>
        <x14:slicerStyle name="Slicer Style 2">
          <x14:slicerStyleElements>
            <x14:slicerStyleElement type="selectedItemWithData" dxfId="5"/>
          </x14:slicerStyleElements>
        </x14:slicerStyle>
        <x14:slicerStyle name="Slicer Style 3">
          <x14:slicerStyleElements>
            <x14:slicerStyleElement type="selectedItemWithData" dxfId="4"/>
          </x14:slicerStyleElements>
        </x14:slicerStyle>
        <x14:slicerStyle name="Slicer Style 4">
          <x14:slicerStyleElements>
            <x14:slicerStyleElement type="selectedItemWithData" dxfId="3"/>
          </x14:slicerStyleElements>
        </x14:slicerStyle>
        <x14:slicerStyle name="Slicer Style 5">
          <x14:slicerStyleElements>
            <x14:slicerStyleElement type="hoveredSelectedItemWithData" dxfId="2"/>
          </x14:slicerStyleElements>
        </x14:slicerStyle>
        <x14:slicerStyle name="Slicer Style 6">
          <x14:slicerStyleElements>
            <x14:slicerStyleElement type="selectedItemWithNoData" dxfId="1"/>
          </x14:slicerStyleElements>
        </x14:slicerStyle>
        <x14:slicerStyle name="Slicer Style 7">
          <x14:slicerStyleElements>
            <x14:slicerStyleElement type="hoveredSelectedItemWithData" dxfId="0"/>
          </x14:slicerStyleElements>
        </x14:slicerStyle>
        <x14:slicerStyle name="Slicer Style 8"/>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Best selling Products Project.xlsx]Sheet2!PivotTable2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Sheet2!$B$4</c:f>
              <c:strCache>
                <c:ptCount val="1"/>
                <c:pt idx="0">
                  <c:v>Total</c:v>
                </c:pt>
              </c:strCache>
            </c:strRef>
          </c:tx>
          <c:spPr>
            <a:solidFill>
              <a:schemeClr val="accent1"/>
            </a:solidFill>
            <a:ln>
              <a:noFill/>
            </a:ln>
            <a:effectLst/>
          </c:spPr>
          <c:invertIfNegative val="0"/>
          <c:cat>
            <c:strRef>
              <c:f>Sheet2!$A$5:$A$10</c:f>
              <c:strCache>
                <c:ptCount val="5"/>
                <c:pt idx="0">
                  <c:v>Central</c:v>
                </c:pt>
                <c:pt idx="1">
                  <c:v>East</c:v>
                </c:pt>
                <c:pt idx="2">
                  <c:v>North</c:v>
                </c:pt>
                <c:pt idx="3">
                  <c:v>South</c:v>
                </c:pt>
                <c:pt idx="4">
                  <c:v>West</c:v>
                </c:pt>
              </c:strCache>
            </c:strRef>
          </c:cat>
          <c:val>
            <c:numRef>
              <c:f>Sheet2!$B$5:$B$10</c:f>
              <c:numCache>
                <c:formatCode>General</c:formatCode>
                <c:ptCount val="5"/>
                <c:pt idx="0">
                  <c:v>847086</c:v>
                </c:pt>
                <c:pt idx="1">
                  <c:v>883675</c:v>
                </c:pt>
                <c:pt idx="2">
                  <c:v>967874</c:v>
                </c:pt>
                <c:pt idx="3">
                  <c:v>827692</c:v>
                </c:pt>
                <c:pt idx="4">
                  <c:v>853451</c:v>
                </c:pt>
              </c:numCache>
            </c:numRef>
          </c:val>
          <c:extLst>
            <c:ext xmlns:c16="http://schemas.microsoft.com/office/drawing/2014/chart" uri="{C3380CC4-5D6E-409C-BE32-E72D297353CC}">
              <c16:uniqueId val="{00000000-C51E-4661-95C5-93DFF36E17F6}"/>
            </c:ext>
          </c:extLst>
        </c:ser>
        <c:dLbls>
          <c:showLegendKey val="0"/>
          <c:showVal val="0"/>
          <c:showCatName val="0"/>
          <c:showSerName val="0"/>
          <c:showPercent val="0"/>
          <c:showBubbleSize val="0"/>
        </c:dLbls>
        <c:gapWidth val="219"/>
        <c:overlap val="-27"/>
        <c:axId val="2065716016"/>
        <c:axId val="2071700704"/>
      </c:barChart>
      <c:catAx>
        <c:axId val="206571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700704"/>
        <c:crosses val="autoZero"/>
        <c:auto val="1"/>
        <c:lblAlgn val="ctr"/>
        <c:lblOffset val="100"/>
        <c:noMultiLvlLbl val="0"/>
      </c:catAx>
      <c:valAx>
        <c:axId val="2071700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716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Best selling Products Project.xlsx]Sheet2!PivotTable3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Sheet2!$E$4</c:f>
              <c:strCache>
                <c:ptCount val="1"/>
                <c:pt idx="0">
                  <c:v>Total</c:v>
                </c:pt>
              </c:strCache>
            </c:strRef>
          </c:tx>
          <c:spPr>
            <a:solidFill>
              <a:schemeClr val="accent1"/>
            </a:solidFill>
            <a:ln>
              <a:noFill/>
            </a:ln>
            <a:effectLst/>
          </c:spPr>
          <c:invertIfNegative val="0"/>
          <c:cat>
            <c:strRef>
              <c:f>Sheet2!$D$5:$D$11</c:f>
              <c:strCache>
                <c:ptCount val="6"/>
                <c:pt idx="0">
                  <c:v>Alice</c:v>
                </c:pt>
                <c:pt idx="1">
                  <c:v>Bob</c:v>
                </c:pt>
                <c:pt idx="2">
                  <c:v>Carlos</c:v>
                </c:pt>
                <c:pt idx="3">
                  <c:v>Diana</c:v>
                </c:pt>
                <c:pt idx="4">
                  <c:v>Eva</c:v>
                </c:pt>
                <c:pt idx="5">
                  <c:v>Frank</c:v>
                </c:pt>
              </c:strCache>
            </c:strRef>
          </c:cat>
          <c:val>
            <c:numRef>
              <c:f>Sheet2!$E$5:$E$11</c:f>
              <c:numCache>
                <c:formatCode>General</c:formatCode>
                <c:ptCount val="6"/>
                <c:pt idx="0">
                  <c:v>786110</c:v>
                </c:pt>
                <c:pt idx="1">
                  <c:v>796757</c:v>
                </c:pt>
                <c:pt idx="2">
                  <c:v>707130</c:v>
                </c:pt>
                <c:pt idx="3">
                  <c:v>676474</c:v>
                </c:pt>
                <c:pt idx="4">
                  <c:v>698639</c:v>
                </c:pt>
                <c:pt idx="5">
                  <c:v>714668</c:v>
                </c:pt>
              </c:numCache>
            </c:numRef>
          </c:val>
          <c:extLst>
            <c:ext xmlns:c16="http://schemas.microsoft.com/office/drawing/2014/chart" uri="{C3380CC4-5D6E-409C-BE32-E72D297353CC}">
              <c16:uniqueId val="{00000001-C33E-4425-82A3-6398E429CDD1}"/>
            </c:ext>
          </c:extLst>
        </c:ser>
        <c:dLbls>
          <c:showLegendKey val="0"/>
          <c:showVal val="0"/>
          <c:showCatName val="0"/>
          <c:showSerName val="0"/>
          <c:showPercent val="0"/>
          <c:showBubbleSize val="0"/>
        </c:dLbls>
        <c:gapWidth val="182"/>
        <c:axId val="2065755088"/>
        <c:axId val="2071699616"/>
      </c:barChart>
      <c:catAx>
        <c:axId val="2065755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699616"/>
        <c:crosses val="autoZero"/>
        <c:auto val="1"/>
        <c:lblAlgn val="ctr"/>
        <c:lblOffset val="100"/>
        <c:noMultiLvlLbl val="0"/>
      </c:catAx>
      <c:valAx>
        <c:axId val="2071699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755088"/>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Best selling Products Project.xlsx]Sheet2!PivotTable5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Sheet2!$K$4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77C-4887-9E93-9ADD5C53A6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77C-4887-9E93-9ADD5C53A6D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77C-4887-9E93-9ADD5C53A6D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77C-4887-9E93-9ADD5C53A6D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77C-4887-9E93-9ADD5C53A6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Sheet2!$J$5:$J$10</c:f>
              <c:strCache>
                <c:ptCount val="5"/>
                <c:pt idx="0">
                  <c:v>Cash</c:v>
                </c:pt>
                <c:pt idx="1">
                  <c:v>Credit Card</c:v>
                </c:pt>
                <c:pt idx="2">
                  <c:v>Debit Card</c:v>
                </c:pt>
                <c:pt idx="3">
                  <c:v>Gift Card</c:v>
                </c:pt>
                <c:pt idx="4">
                  <c:v>Online</c:v>
                </c:pt>
              </c:strCache>
            </c:strRef>
          </c:cat>
          <c:val>
            <c:numRef>
              <c:f>Sheet2!$K$5:$K$10</c:f>
              <c:numCache>
                <c:formatCode>General</c:formatCode>
                <c:ptCount val="5"/>
                <c:pt idx="0">
                  <c:v>950355</c:v>
                </c:pt>
                <c:pt idx="1">
                  <c:v>866453</c:v>
                </c:pt>
                <c:pt idx="2">
                  <c:v>770391</c:v>
                </c:pt>
                <c:pt idx="3">
                  <c:v>821599</c:v>
                </c:pt>
                <c:pt idx="4">
                  <c:v>970980</c:v>
                </c:pt>
              </c:numCache>
            </c:numRef>
          </c:val>
          <c:extLst>
            <c:ext xmlns:c16="http://schemas.microsoft.com/office/drawing/2014/chart" uri="{C3380CC4-5D6E-409C-BE32-E72D297353CC}">
              <c16:uniqueId val="{00000000-0565-4C83-A7DE-4B3C11C8EED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Best selling Products Project.xlsx]Sheet2!PivotTable4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0.18211045494313208"/>
          <c:y val="0.20309966462525517"/>
          <c:w val="0.41147353455818025"/>
          <c:h val="0.68578922426363376"/>
        </c:manualLayout>
      </c:layout>
      <c:doughnutChart>
        <c:varyColors val="1"/>
        <c:ser>
          <c:idx val="0"/>
          <c:order val="0"/>
          <c:tx>
            <c:strRef>
              <c:f>Sheet2!$W$4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B3C-42CA-B662-9E77CED60AA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B3C-42CA-B662-9E77CED60AA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B3C-42CA-B662-9E77CED60AA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B3C-42CA-B662-9E77CED60AA1}"/>
              </c:ext>
            </c:extLst>
          </c:dPt>
          <c:cat>
            <c:strRef>
              <c:f>Sheet2!$V$5:$V$9</c:f>
              <c:strCache>
                <c:ptCount val="4"/>
                <c:pt idx="0">
                  <c:v>Store A</c:v>
                </c:pt>
                <c:pt idx="1">
                  <c:v>Store B</c:v>
                </c:pt>
                <c:pt idx="2">
                  <c:v>Store C</c:v>
                </c:pt>
                <c:pt idx="3">
                  <c:v>Store D</c:v>
                </c:pt>
              </c:strCache>
            </c:strRef>
          </c:cat>
          <c:val>
            <c:numRef>
              <c:f>Sheet2!$W$5:$W$9</c:f>
              <c:numCache>
                <c:formatCode>General</c:formatCode>
                <c:ptCount val="4"/>
                <c:pt idx="0">
                  <c:v>3945</c:v>
                </c:pt>
                <c:pt idx="1">
                  <c:v>3681</c:v>
                </c:pt>
                <c:pt idx="2">
                  <c:v>3851</c:v>
                </c:pt>
                <c:pt idx="3">
                  <c:v>4139</c:v>
                </c:pt>
              </c:numCache>
            </c:numRef>
          </c:val>
          <c:extLst>
            <c:ext xmlns:c16="http://schemas.microsoft.com/office/drawing/2014/chart" uri="{C3380CC4-5D6E-409C-BE32-E72D297353CC}">
              <c16:uniqueId val="{00000000-6B9F-4089-BBE0-BD6453B6C2F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Best selling Products Project.xlsx]Sheet2!PivotTable6</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Sheet2!$N$4</c:f>
              <c:strCache>
                <c:ptCount val="1"/>
                <c:pt idx="0">
                  <c:v>Total</c:v>
                </c:pt>
              </c:strCache>
            </c:strRef>
          </c:tx>
          <c:spPr>
            <a:ln w="28575" cap="rnd">
              <a:solidFill>
                <a:schemeClr val="accent1"/>
              </a:solidFill>
              <a:round/>
            </a:ln>
            <a:effectLst/>
          </c:spPr>
          <c:marker>
            <c:symbol val="none"/>
          </c:marker>
          <c:cat>
            <c:strRef>
              <c:f>Sheet2!$M$5:$M$9</c:f>
              <c:strCache>
                <c:ptCount val="4"/>
                <c:pt idx="0">
                  <c:v>Qtr1</c:v>
                </c:pt>
                <c:pt idx="1">
                  <c:v>Qtr2</c:v>
                </c:pt>
                <c:pt idx="2">
                  <c:v>Qtr3</c:v>
                </c:pt>
                <c:pt idx="3">
                  <c:v>Qtr4</c:v>
                </c:pt>
              </c:strCache>
            </c:strRef>
          </c:cat>
          <c:val>
            <c:numRef>
              <c:f>Sheet2!$N$5:$N$9</c:f>
              <c:numCache>
                <c:formatCode>General</c:formatCode>
                <c:ptCount val="4"/>
                <c:pt idx="0">
                  <c:v>1445525</c:v>
                </c:pt>
                <c:pt idx="1">
                  <c:v>1279905</c:v>
                </c:pt>
                <c:pt idx="2">
                  <c:v>851813</c:v>
                </c:pt>
                <c:pt idx="3">
                  <c:v>802535</c:v>
                </c:pt>
              </c:numCache>
            </c:numRef>
          </c:val>
          <c:smooth val="0"/>
          <c:extLst>
            <c:ext xmlns:c16="http://schemas.microsoft.com/office/drawing/2014/chart" uri="{C3380CC4-5D6E-409C-BE32-E72D297353CC}">
              <c16:uniqueId val="{00000000-E925-49BF-B592-B6031AA1CA78}"/>
            </c:ext>
          </c:extLst>
        </c:ser>
        <c:dLbls>
          <c:showLegendKey val="0"/>
          <c:showVal val="0"/>
          <c:showCatName val="0"/>
          <c:showSerName val="0"/>
          <c:showPercent val="0"/>
          <c:showBubbleSize val="0"/>
        </c:dLbls>
        <c:smooth val="0"/>
        <c:axId val="1103790048"/>
        <c:axId val="555289936"/>
      </c:lineChart>
      <c:catAx>
        <c:axId val="1103790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289936"/>
        <c:crosses val="autoZero"/>
        <c:auto val="1"/>
        <c:lblAlgn val="ctr"/>
        <c:lblOffset val="100"/>
        <c:noMultiLvlLbl val="0"/>
      </c:catAx>
      <c:valAx>
        <c:axId val="555289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790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Best selling Products Project.xlsx]Sheet2!PivotTable2</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3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95179146684008"/>
          <c:y val="0.24006472491909389"/>
          <c:w val="0.79664294286221526"/>
          <c:h val="0.60737864077669901"/>
        </c:manualLayout>
      </c:layout>
      <c:barChart>
        <c:barDir val="col"/>
        <c:grouping val="clustered"/>
        <c:varyColors val="0"/>
        <c:ser>
          <c:idx val="0"/>
          <c:order val="0"/>
          <c:tx>
            <c:strRef>
              <c:f>Sheet2!$B$4</c:f>
              <c:strCache>
                <c:ptCount val="1"/>
                <c:pt idx="0">
                  <c:v>Total</c:v>
                </c:pt>
              </c:strCache>
            </c:strRef>
          </c:tx>
          <c:spPr>
            <a:solidFill>
              <a:schemeClr val="bg2">
                <a:lumMod val="9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3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Sheet2!$A$5:$A$10</c:f>
              <c:strCache>
                <c:ptCount val="5"/>
                <c:pt idx="0">
                  <c:v>Central</c:v>
                </c:pt>
                <c:pt idx="1">
                  <c:v>East</c:v>
                </c:pt>
                <c:pt idx="2">
                  <c:v>North</c:v>
                </c:pt>
                <c:pt idx="3">
                  <c:v>South</c:v>
                </c:pt>
                <c:pt idx="4">
                  <c:v>West</c:v>
                </c:pt>
              </c:strCache>
            </c:strRef>
          </c:cat>
          <c:val>
            <c:numRef>
              <c:f>Sheet2!$B$5:$B$10</c:f>
              <c:numCache>
                <c:formatCode>General</c:formatCode>
                <c:ptCount val="5"/>
                <c:pt idx="0">
                  <c:v>847086</c:v>
                </c:pt>
                <c:pt idx="1">
                  <c:v>883675</c:v>
                </c:pt>
                <c:pt idx="2">
                  <c:v>967874</c:v>
                </c:pt>
                <c:pt idx="3">
                  <c:v>827692</c:v>
                </c:pt>
                <c:pt idx="4">
                  <c:v>853451</c:v>
                </c:pt>
              </c:numCache>
            </c:numRef>
          </c:val>
          <c:extLst>
            <c:ext xmlns:c16="http://schemas.microsoft.com/office/drawing/2014/chart" uri="{C3380CC4-5D6E-409C-BE32-E72D297353CC}">
              <c16:uniqueId val="{00000000-3656-438A-B3C5-9A975E85ED2F}"/>
            </c:ext>
          </c:extLst>
        </c:ser>
        <c:dLbls>
          <c:dLblPos val="outEnd"/>
          <c:showLegendKey val="0"/>
          <c:showVal val="1"/>
          <c:showCatName val="0"/>
          <c:showSerName val="0"/>
          <c:showPercent val="0"/>
          <c:showBubbleSize val="0"/>
        </c:dLbls>
        <c:gapWidth val="219"/>
        <c:overlap val="-27"/>
        <c:axId val="2065716016"/>
        <c:axId val="2071700704"/>
      </c:barChart>
      <c:catAx>
        <c:axId val="20657160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20" b="0" i="0" u="none" strike="noStrike" kern="1200" baseline="0">
                <a:solidFill>
                  <a:schemeClr val="bg1"/>
                </a:solidFill>
                <a:latin typeface="+mn-lt"/>
                <a:ea typeface="+mn-ea"/>
                <a:cs typeface="+mn-cs"/>
              </a:defRPr>
            </a:pPr>
            <a:endParaRPr lang="en-US"/>
          </a:p>
        </c:txPr>
        <c:crossAx val="2071700704"/>
        <c:crosses val="autoZero"/>
        <c:auto val="1"/>
        <c:lblAlgn val="ctr"/>
        <c:lblOffset val="100"/>
        <c:noMultiLvlLbl val="0"/>
      </c:catAx>
      <c:valAx>
        <c:axId val="207170070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20" b="0" i="0" u="none" strike="noStrike" kern="1200" baseline="0">
                <a:solidFill>
                  <a:schemeClr val="bg1"/>
                </a:solidFill>
                <a:latin typeface="+mn-lt"/>
                <a:ea typeface="+mn-ea"/>
                <a:cs typeface="+mn-cs"/>
              </a:defRPr>
            </a:pPr>
            <a:endParaRPr lang="en-US"/>
          </a:p>
        </c:txPr>
        <c:crossAx val="206571601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Best selling Products Project.xlsx]Sheet2!PivotTable3</c:name>
    <c:fmtId val="7"/>
  </c:pivotSource>
  <c:chart>
    <c:autoTitleDeleted val="1"/>
    <c:pivotFmts>
      <c:pivotFmt>
        <c:idx val="0"/>
      </c:pivotFmt>
      <c:pivotFmt>
        <c:idx val="1"/>
      </c:pivotFmt>
      <c:pivotFmt>
        <c:idx val="2"/>
      </c:pivotFmt>
      <c:pivotFmt>
        <c:idx val="3"/>
      </c:pivotFmt>
      <c:pivotFmt>
        <c:idx val="4"/>
      </c:pivotFmt>
      <c:pivotFmt>
        <c:idx val="5"/>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3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Sheet2!$E$4</c:f>
              <c:strCache>
                <c:ptCount val="1"/>
                <c:pt idx="0">
                  <c:v>Total</c:v>
                </c:pt>
              </c:strCache>
            </c:strRef>
          </c:tx>
          <c:spPr>
            <a:solidFill>
              <a:schemeClr val="bg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3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Sheet2!$D$5:$D$11</c:f>
              <c:strCache>
                <c:ptCount val="6"/>
                <c:pt idx="0">
                  <c:v>Alice</c:v>
                </c:pt>
                <c:pt idx="1">
                  <c:v>Bob</c:v>
                </c:pt>
                <c:pt idx="2">
                  <c:v>Carlos</c:v>
                </c:pt>
                <c:pt idx="3">
                  <c:v>Diana</c:v>
                </c:pt>
                <c:pt idx="4">
                  <c:v>Eva</c:v>
                </c:pt>
                <c:pt idx="5">
                  <c:v>Frank</c:v>
                </c:pt>
              </c:strCache>
            </c:strRef>
          </c:cat>
          <c:val>
            <c:numRef>
              <c:f>Sheet2!$E$5:$E$11</c:f>
              <c:numCache>
                <c:formatCode>General</c:formatCode>
                <c:ptCount val="6"/>
                <c:pt idx="0">
                  <c:v>786110</c:v>
                </c:pt>
                <c:pt idx="1">
                  <c:v>796757</c:v>
                </c:pt>
                <c:pt idx="2">
                  <c:v>707130</c:v>
                </c:pt>
                <c:pt idx="3">
                  <c:v>676474</c:v>
                </c:pt>
                <c:pt idx="4">
                  <c:v>698639</c:v>
                </c:pt>
                <c:pt idx="5">
                  <c:v>714668</c:v>
                </c:pt>
              </c:numCache>
            </c:numRef>
          </c:val>
          <c:extLst>
            <c:ext xmlns:c16="http://schemas.microsoft.com/office/drawing/2014/chart" uri="{C3380CC4-5D6E-409C-BE32-E72D297353CC}">
              <c16:uniqueId val="{00000000-959A-4FFD-89E8-8E4496990292}"/>
            </c:ext>
          </c:extLst>
        </c:ser>
        <c:dLbls>
          <c:dLblPos val="outEnd"/>
          <c:showLegendKey val="0"/>
          <c:showVal val="1"/>
          <c:showCatName val="0"/>
          <c:showSerName val="0"/>
          <c:showPercent val="0"/>
          <c:showBubbleSize val="0"/>
        </c:dLbls>
        <c:gapWidth val="182"/>
        <c:axId val="2065755088"/>
        <c:axId val="2071699616"/>
      </c:barChart>
      <c:catAx>
        <c:axId val="2065755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30" b="0" i="0" u="none" strike="noStrike" kern="1200" baseline="0">
                <a:solidFill>
                  <a:schemeClr val="bg1"/>
                </a:solidFill>
                <a:latin typeface="+mn-lt"/>
                <a:ea typeface="+mn-ea"/>
                <a:cs typeface="+mn-cs"/>
              </a:defRPr>
            </a:pPr>
            <a:endParaRPr lang="en-US"/>
          </a:p>
        </c:txPr>
        <c:crossAx val="2071699616"/>
        <c:crosses val="autoZero"/>
        <c:auto val="1"/>
        <c:lblAlgn val="ctr"/>
        <c:lblOffset val="100"/>
        <c:noMultiLvlLbl val="0"/>
      </c:catAx>
      <c:valAx>
        <c:axId val="20716996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30" b="0" i="0" u="none" strike="noStrike" kern="1200" baseline="0">
                <a:solidFill>
                  <a:schemeClr val="bg1"/>
                </a:solidFill>
                <a:latin typeface="+mn-lt"/>
                <a:ea typeface="+mn-ea"/>
                <a:cs typeface="+mn-cs"/>
              </a:defRPr>
            </a:pPr>
            <a:endParaRPr lang="en-US"/>
          </a:p>
        </c:txPr>
        <c:crossAx val="2065755088"/>
        <c:crosses val="autoZero"/>
        <c:crossBetween val="between"/>
      </c:valAx>
      <c:spPr>
        <a:noFill/>
        <a:ln>
          <a:noFill/>
        </a:ln>
        <a:effectLst/>
      </c:spPr>
    </c:plotArea>
    <c:plotVisOnly val="1"/>
    <c:dispBlanksAs val="gap"/>
    <c:showDLblsOverMax val="0"/>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Best selling Products Project.xlsx]Sheet2!PivotTable5</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bg2">
              <a:lumMod val="9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3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6">
              <a:lumMod val="60000"/>
              <a:lumOff val="40000"/>
            </a:schemeClr>
          </a:solidFill>
          <a:ln w="19050">
            <a:solidFill>
              <a:schemeClr val="lt1"/>
            </a:solidFill>
          </a:ln>
          <a:effectLst/>
        </c:spPr>
      </c:pivotFmt>
      <c:pivotFmt>
        <c:idx val="14"/>
        <c:spPr>
          <a:solidFill>
            <a:schemeClr val="accent6">
              <a:lumMod val="75000"/>
            </a:schemeClr>
          </a:solidFill>
          <a:ln w="19050">
            <a:solidFill>
              <a:schemeClr val="lt1"/>
            </a:solidFill>
          </a:ln>
          <a:effectLst/>
        </c:spPr>
      </c:pivotFmt>
      <c:pivotFmt>
        <c:idx val="15"/>
        <c:spPr>
          <a:solidFill>
            <a:schemeClr val="accent6">
              <a:lumMod val="50000"/>
            </a:schemeClr>
          </a:solidFill>
          <a:ln w="19050">
            <a:solidFill>
              <a:schemeClr val="lt1"/>
            </a:solidFill>
          </a:ln>
          <a:effectLst/>
        </c:spPr>
      </c:pivotFmt>
      <c:pivotFmt>
        <c:idx val="16"/>
        <c:spPr>
          <a:solidFill>
            <a:schemeClr val="accent6">
              <a:lumMod val="20000"/>
              <a:lumOff val="80000"/>
            </a:schemeClr>
          </a:solidFill>
          <a:ln w="19050">
            <a:solidFill>
              <a:schemeClr val="lt1"/>
            </a:solidFill>
          </a:ln>
          <a:effectLst/>
        </c:spPr>
      </c:pivotFmt>
      <c:pivotFmt>
        <c:idx val="17"/>
        <c:spPr>
          <a:solidFill>
            <a:schemeClr val="accent6">
              <a:lumMod val="40000"/>
              <a:lumOff val="60000"/>
            </a:schemeClr>
          </a:solidFill>
          <a:ln w="19050">
            <a:solidFill>
              <a:schemeClr val="lt1"/>
            </a:solidFill>
          </a:ln>
          <a:effectLst/>
        </c:spPr>
      </c:pivotFmt>
    </c:pivotFmts>
    <c:plotArea>
      <c:layout/>
      <c:doughnutChart>
        <c:varyColors val="1"/>
        <c:ser>
          <c:idx val="0"/>
          <c:order val="0"/>
          <c:tx>
            <c:strRef>
              <c:f>Sheet2!$K$4</c:f>
              <c:strCache>
                <c:ptCount val="1"/>
                <c:pt idx="0">
                  <c:v>Total</c:v>
                </c:pt>
              </c:strCache>
            </c:strRef>
          </c:tx>
          <c:spPr>
            <a:solidFill>
              <a:schemeClr val="bg2">
                <a:lumMod val="90000"/>
              </a:schemeClr>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7F47-479C-AF8F-6C6524109C20}"/>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7F47-479C-AF8F-6C6524109C20}"/>
              </c:ext>
            </c:extLst>
          </c:dPt>
          <c:dPt>
            <c:idx val="2"/>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5-7F47-479C-AF8F-6C6524109C20}"/>
              </c:ext>
            </c:extLst>
          </c:dPt>
          <c:dPt>
            <c:idx val="3"/>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7-7F47-479C-AF8F-6C6524109C20}"/>
              </c:ext>
            </c:extLst>
          </c:dPt>
          <c:dPt>
            <c:idx val="4"/>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9-7F47-479C-AF8F-6C6524109C20}"/>
              </c:ext>
            </c:extLst>
          </c:dPt>
          <c:dLbls>
            <c:spPr>
              <a:noFill/>
              <a:ln>
                <a:noFill/>
              </a:ln>
              <a:effectLst/>
            </c:spPr>
            <c:txPr>
              <a:bodyPr rot="0" spcFirstLastPara="1" vertOverflow="ellipsis" vert="horz" wrap="square" lIns="38100" tIns="19050" rIns="38100" bIns="19050" anchor="ctr" anchorCtr="1">
                <a:spAutoFit/>
              </a:bodyPr>
              <a:lstStyle/>
              <a:p>
                <a:pPr>
                  <a:defRPr sz="93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Sheet2!$J$5:$J$10</c:f>
              <c:strCache>
                <c:ptCount val="5"/>
                <c:pt idx="0">
                  <c:v>Cash</c:v>
                </c:pt>
                <c:pt idx="1">
                  <c:v>Credit Card</c:v>
                </c:pt>
                <c:pt idx="2">
                  <c:v>Debit Card</c:v>
                </c:pt>
                <c:pt idx="3">
                  <c:v>Gift Card</c:v>
                </c:pt>
                <c:pt idx="4">
                  <c:v>Online</c:v>
                </c:pt>
              </c:strCache>
            </c:strRef>
          </c:cat>
          <c:val>
            <c:numRef>
              <c:f>Sheet2!$K$5:$K$10</c:f>
              <c:numCache>
                <c:formatCode>General</c:formatCode>
                <c:ptCount val="5"/>
                <c:pt idx="0">
                  <c:v>950355</c:v>
                </c:pt>
                <c:pt idx="1">
                  <c:v>866453</c:v>
                </c:pt>
                <c:pt idx="2">
                  <c:v>770391</c:v>
                </c:pt>
                <c:pt idx="3">
                  <c:v>821599</c:v>
                </c:pt>
                <c:pt idx="4">
                  <c:v>970980</c:v>
                </c:pt>
              </c:numCache>
            </c:numRef>
          </c:val>
          <c:extLst>
            <c:ext xmlns:c16="http://schemas.microsoft.com/office/drawing/2014/chart" uri="{C3380CC4-5D6E-409C-BE32-E72D297353CC}">
              <c16:uniqueId val="{0000000A-7F47-479C-AF8F-6C6524109C20}"/>
            </c:ext>
          </c:extLst>
        </c:ser>
        <c:dLbls>
          <c:showLegendKey val="0"/>
          <c:showVal val="1"/>
          <c:showCatName val="0"/>
          <c:showSerName val="0"/>
          <c:showPercent val="0"/>
          <c:showBubbleSize val="0"/>
          <c:showLeaderLines val="1"/>
        </c:dLbls>
        <c:firstSliceAng val="0"/>
        <c:holeSize val="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Best selling Products Project.xlsx]Sheet2!PivotTable4</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3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4">
              <a:lumMod val="20000"/>
              <a:lumOff val="80000"/>
            </a:schemeClr>
          </a:solidFill>
          <a:ln w="19050">
            <a:solidFill>
              <a:schemeClr val="lt1"/>
            </a:solidFill>
          </a:ln>
          <a:effectLst/>
        </c:spPr>
      </c:pivotFmt>
      <c:pivotFmt>
        <c:idx val="8"/>
        <c:spPr>
          <a:solidFill>
            <a:schemeClr val="accent4">
              <a:lumMod val="40000"/>
              <a:lumOff val="60000"/>
            </a:schemeClr>
          </a:solidFill>
          <a:ln w="19050">
            <a:solidFill>
              <a:schemeClr val="lt1"/>
            </a:solidFill>
          </a:ln>
          <a:effectLst/>
        </c:spPr>
      </c:pivotFmt>
      <c:pivotFmt>
        <c:idx val="9"/>
        <c:spPr>
          <a:solidFill>
            <a:schemeClr val="accent4">
              <a:lumMod val="75000"/>
            </a:schemeClr>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Sheet2!$W$4</c:f>
              <c:strCache>
                <c:ptCount val="1"/>
                <c:pt idx="0">
                  <c:v>Total</c:v>
                </c:pt>
              </c:strCache>
            </c:strRef>
          </c:tx>
          <c:dPt>
            <c:idx val="0"/>
            <c:bubble3D val="0"/>
            <c:spPr>
              <a:solidFill>
                <a:schemeClr val="accent4">
                  <a:lumMod val="20000"/>
                  <a:lumOff val="80000"/>
                </a:schemeClr>
              </a:solidFill>
              <a:ln w="19050">
                <a:solidFill>
                  <a:schemeClr val="lt1"/>
                </a:solidFill>
              </a:ln>
              <a:effectLst/>
            </c:spPr>
            <c:extLst>
              <c:ext xmlns:c16="http://schemas.microsoft.com/office/drawing/2014/chart" uri="{C3380CC4-5D6E-409C-BE32-E72D297353CC}">
                <c16:uniqueId val="{00000001-2A9D-473C-9DBE-8927038D2CC2}"/>
              </c:ext>
            </c:extLst>
          </c:dPt>
          <c:dPt>
            <c:idx val="1"/>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3-2A9D-473C-9DBE-8927038D2CC2}"/>
              </c:ext>
            </c:extLst>
          </c:dPt>
          <c:dPt>
            <c:idx val="2"/>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5-2A9D-473C-9DBE-8927038D2CC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A9D-473C-9DBE-8927038D2CC2}"/>
              </c:ext>
            </c:extLst>
          </c:dPt>
          <c:dLbls>
            <c:spPr>
              <a:noFill/>
              <a:ln>
                <a:noFill/>
              </a:ln>
              <a:effectLst/>
            </c:spPr>
            <c:txPr>
              <a:bodyPr rot="0" spcFirstLastPara="1" vertOverflow="ellipsis" vert="horz" wrap="square" lIns="38100" tIns="19050" rIns="38100" bIns="19050" anchor="ctr" anchorCtr="1">
                <a:spAutoFit/>
              </a:bodyPr>
              <a:lstStyle/>
              <a:p>
                <a:pPr>
                  <a:defRPr sz="93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Sheet2!$V$5:$V$9</c:f>
              <c:strCache>
                <c:ptCount val="4"/>
                <c:pt idx="0">
                  <c:v>Store A</c:v>
                </c:pt>
                <c:pt idx="1">
                  <c:v>Store B</c:v>
                </c:pt>
                <c:pt idx="2">
                  <c:v>Store C</c:v>
                </c:pt>
                <c:pt idx="3">
                  <c:v>Store D</c:v>
                </c:pt>
              </c:strCache>
            </c:strRef>
          </c:cat>
          <c:val>
            <c:numRef>
              <c:f>Sheet2!$W$5:$W$9</c:f>
              <c:numCache>
                <c:formatCode>General</c:formatCode>
                <c:ptCount val="4"/>
                <c:pt idx="0">
                  <c:v>3945</c:v>
                </c:pt>
                <c:pt idx="1">
                  <c:v>3681</c:v>
                </c:pt>
                <c:pt idx="2">
                  <c:v>3851</c:v>
                </c:pt>
                <c:pt idx="3">
                  <c:v>4139</c:v>
                </c:pt>
              </c:numCache>
            </c:numRef>
          </c:val>
          <c:extLst>
            <c:ext xmlns:c16="http://schemas.microsoft.com/office/drawing/2014/chart" uri="{C3380CC4-5D6E-409C-BE32-E72D297353CC}">
              <c16:uniqueId val="{00000008-2A9D-473C-9DBE-8927038D2CC2}"/>
            </c:ext>
          </c:extLst>
        </c:ser>
        <c:dLbls>
          <c:showLegendKey val="0"/>
          <c:showVal val="0"/>
          <c:showCatName val="0"/>
          <c:showSerName val="0"/>
          <c:showPercent val="0"/>
          <c:showBubbleSize val="0"/>
          <c:showLeaderLines val="1"/>
        </c:dLbls>
        <c:firstSliceAng val="0"/>
        <c:holeSize val="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Best selling Products Project.xlsx]Sheet2!PivotTable6</c:name>
    <c:fmtId val="1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3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Sheet2!$N$4</c:f>
              <c:strCache>
                <c:ptCount val="1"/>
                <c:pt idx="0">
                  <c:v>Total</c:v>
                </c:pt>
              </c:strCache>
            </c:strRef>
          </c:tx>
          <c:spPr>
            <a:ln w="28575" cap="rnd">
              <a:solidFill>
                <a:schemeClr val="bg2">
                  <a:lumMod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3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Sheet2!$M$5:$M$9</c:f>
              <c:strCache>
                <c:ptCount val="4"/>
                <c:pt idx="0">
                  <c:v>Qtr1</c:v>
                </c:pt>
                <c:pt idx="1">
                  <c:v>Qtr2</c:v>
                </c:pt>
                <c:pt idx="2">
                  <c:v>Qtr3</c:v>
                </c:pt>
                <c:pt idx="3">
                  <c:v>Qtr4</c:v>
                </c:pt>
              </c:strCache>
            </c:strRef>
          </c:cat>
          <c:val>
            <c:numRef>
              <c:f>Sheet2!$N$5:$N$9</c:f>
              <c:numCache>
                <c:formatCode>General</c:formatCode>
                <c:ptCount val="4"/>
                <c:pt idx="0">
                  <c:v>1445525</c:v>
                </c:pt>
                <c:pt idx="1">
                  <c:v>1279905</c:v>
                </c:pt>
                <c:pt idx="2">
                  <c:v>851813</c:v>
                </c:pt>
                <c:pt idx="3">
                  <c:v>802535</c:v>
                </c:pt>
              </c:numCache>
            </c:numRef>
          </c:val>
          <c:smooth val="0"/>
          <c:extLst>
            <c:ext xmlns:c16="http://schemas.microsoft.com/office/drawing/2014/chart" uri="{C3380CC4-5D6E-409C-BE32-E72D297353CC}">
              <c16:uniqueId val="{00000000-AA7B-4E13-A258-88E99772517F}"/>
            </c:ext>
          </c:extLst>
        </c:ser>
        <c:dLbls>
          <c:dLblPos val="t"/>
          <c:showLegendKey val="0"/>
          <c:showVal val="1"/>
          <c:showCatName val="0"/>
          <c:showSerName val="0"/>
          <c:showPercent val="0"/>
          <c:showBubbleSize val="0"/>
        </c:dLbls>
        <c:smooth val="0"/>
        <c:axId val="1103790048"/>
        <c:axId val="555289936"/>
      </c:lineChart>
      <c:catAx>
        <c:axId val="1103790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30" b="0" i="0" u="none" strike="noStrike" kern="1200" baseline="0">
                <a:solidFill>
                  <a:schemeClr val="bg1"/>
                </a:solidFill>
                <a:latin typeface="+mn-lt"/>
                <a:ea typeface="+mn-ea"/>
                <a:cs typeface="+mn-cs"/>
              </a:defRPr>
            </a:pPr>
            <a:endParaRPr lang="en-US"/>
          </a:p>
        </c:txPr>
        <c:crossAx val="555289936"/>
        <c:crosses val="autoZero"/>
        <c:auto val="1"/>
        <c:lblAlgn val="ctr"/>
        <c:lblOffset val="100"/>
        <c:noMultiLvlLbl val="0"/>
      </c:catAx>
      <c:valAx>
        <c:axId val="555289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30" b="0" i="0" u="none" strike="noStrike" kern="1200" baseline="0">
                <a:solidFill>
                  <a:schemeClr val="bg1"/>
                </a:solidFill>
                <a:latin typeface="+mn-lt"/>
                <a:ea typeface="+mn-ea"/>
                <a:cs typeface="+mn-cs"/>
              </a:defRPr>
            </a:pPr>
            <a:endParaRPr lang="en-US"/>
          </a:p>
        </c:txPr>
        <c:crossAx val="1103790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chart" Target="../charts/chart10.xml"/><Relationship Id="rId2" Type="http://schemas.openxmlformats.org/officeDocument/2006/relationships/chart" Target="../charts/chart6.xml"/><Relationship Id="rId1" Type="http://schemas.openxmlformats.org/officeDocument/2006/relationships/image" Target="../media/image1.jpeg"/><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133350</xdr:colOff>
      <xdr:row>19</xdr:row>
      <xdr:rowOff>80962</xdr:rowOff>
    </xdr:from>
    <xdr:to>
      <xdr:col>4</xdr:col>
      <xdr:colOff>314325</xdr:colOff>
      <xdr:row>29</xdr:row>
      <xdr:rowOff>57150</xdr:rowOff>
    </xdr:to>
    <xdr:graphicFrame macro="">
      <xdr:nvGraphicFramePr>
        <xdr:cNvPr id="7" name="Chart 6">
          <a:extLst>
            <a:ext uri="{FF2B5EF4-FFF2-40B4-BE49-F238E27FC236}">
              <a16:creationId xmlns:a16="http://schemas.microsoft.com/office/drawing/2014/main" id="{ECE6C063-936C-7191-B060-C6D8980CA7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485775</xdr:colOff>
      <xdr:row>19</xdr:row>
      <xdr:rowOff>90487</xdr:rowOff>
    </xdr:from>
    <xdr:to>
      <xdr:col>9</xdr:col>
      <xdr:colOff>238125</xdr:colOff>
      <xdr:row>30</xdr:row>
      <xdr:rowOff>19050</xdr:rowOff>
    </xdr:to>
    <xdr:graphicFrame macro="">
      <xdr:nvGraphicFramePr>
        <xdr:cNvPr id="8" name="Chart 7">
          <a:extLst>
            <a:ext uri="{FF2B5EF4-FFF2-40B4-BE49-F238E27FC236}">
              <a16:creationId xmlns:a16="http://schemas.microsoft.com/office/drawing/2014/main" id="{16EB3CED-D508-9E4F-7E8A-3F9CC491E9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371475</xdr:colOff>
      <xdr:row>18</xdr:row>
      <xdr:rowOff>14287</xdr:rowOff>
    </xdr:from>
    <xdr:to>
      <xdr:col>15</xdr:col>
      <xdr:colOff>9525</xdr:colOff>
      <xdr:row>31</xdr:row>
      <xdr:rowOff>85725</xdr:rowOff>
    </xdr:to>
    <xdr:graphicFrame macro="">
      <xdr:nvGraphicFramePr>
        <xdr:cNvPr id="9" name="Chart 8">
          <a:extLst>
            <a:ext uri="{FF2B5EF4-FFF2-40B4-BE49-F238E27FC236}">
              <a16:creationId xmlns:a16="http://schemas.microsoft.com/office/drawing/2014/main" id="{0BF87766-65D6-ABA3-572B-95913F1C76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85725</xdr:colOff>
      <xdr:row>2</xdr:row>
      <xdr:rowOff>66675</xdr:rowOff>
    </xdr:from>
    <xdr:to>
      <xdr:col>8</xdr:col>
      <xdr:colOff>819151</xdr:colOff>
      <xdr:row>10</xdr:row>
      <xdr:rowOff>66675</xdr:rowOff>
    </xdr:to>
    <mc:AlternateContent xmlns:mc="http://schemas.openxmlformats.org/markup-compatibility/2006" xmlns:a14="http://schemas.microsoft.com/office/drawing/2010/main">
      <mc:Choice Requires="a14">
        <xdr:graphicFrame macro="">
          <xdr:nvGraphicFramePr>
            <xdr:cNvPr id="6" name="Product">
              <a:extLst>
                <a:ext uri="{FF2B5EF4-FFF2-40B4-BE49-F238E27FC236}">
                  <a16:creationId xmlns:a16="http://schemas.microsoft.com/office/drawing/2014/main" id="{67E4DF49-A7B9-40BB-5A6A-E3B011A0C76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676775" y="447675"/>
              <a:ext cx="2676526"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28575</xdr:colOff>
      <xdr:row>20</xdr:row>
      <xdr:rowOff>109537</xdr:rowOff>
    </xdr:from>
    <xdr:to>
      <xdr:col>27</xdr:col>
      <xdr:colOff>257175</xdr:colOff>
      <xdr:row>34</xdr:row>
      <xdr:rowOff>185737</xdr:rowOff>
    </xdr:to>
    <xdr:graphicFrame macro="">
      <xdr:nvGraphicFramePr>
        <xdr:cNvPr id="3" name="Chart 2">
          <a:extLst>
            <a:ext uri="{FF2B5EF4-FFF2-40B4-BE49-F238E27FC236}">
              <a16:creationId xmlns:a16="http://schemas.microsoft.com/office/drawing/2014/main" id="{909EF33F-3915-7E25-C801-6766F83544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400050</xdr:colOff>
      <xdr:row>12</xdr:row>
      <xdr:rowOff>123825</xdr:rowOff>
    </xdr:from>
    <xdr:to>
      <xdr:col>4</xdr:col>
      <xdr:colOff>742950</xdr:colOff>
      <xdr:row>19</xdr:row>
      <xdr:rowOff>76200</xdr:rowOff>
    </xdr:to>
    <mc:AlternateContent xmlns:mc="http://schemas.openxmlformats.org/markup-compatibility/2006" xmlns:a14="http://schemas.microsoft.com/office/drawing/2010/main">
      <mc:Choice Requires="a14">
        <xdr:graphicFrame macro="">
          <xdr:nvGraphicFramePr>
            <xdr:cNvPr id="17" name="Years (OrderDate)">
              <a:extLst>
                <a:ext uri="{FF2B5EF4-FFF2-40B4-BE49-F238E27FC236}">
                  <a16:creationId xmlns:a16="http://schemas.microsoft.com/office/drawing/2014/main" id="{5554EE59-CABA-C9A5-68E7-5D8542D5B073}"/>
                </a:ext>
              </a:extLst>
            </xdr:cNvPr>
            <xdr:cNvGraphicFramePr/>
          </xdr:nvGraphicFramePr>
          <xdr:xfrm>
            <a:off x="0" y="0"/>
            <a:ext cx="0" cy="0"/>
          </xdr:xfrm>
          <a:graphic>
            <a:graphicData uri="http://schemas.microsoft.com/office/drawing/2010/slicer">
              <sle:slicer xmlns:sle="http://schemas.microsoft.com/office/drawing/2010/slicer" name="Years (OrderDate)"/>
            </a:graphicData>
          </a:graphic>
        </xdr:graphicFrame>
      </mc:Choice>
      <mc:Fallback xmlns="">
        <xdr:sp macro="" textlink="">
          <xdr:nvSpPr>
            <xdr:cNvPr id="0" name=""/>
            <xdr:cNvSpPr>
              <a:spLocks noTextEdit="1"/>
            </xdr:cNvSpPr>
          </xdr:nvSpPr>
          <xdr:spPr>
            <a:xfrm>
              <a:off x="2085975" y="2409825"/>
              <a:ext cx="1828800" cy="1285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714375</xdr:colOff>
      <xdr:row>18</xdr:row>
      <xdr:rowOff>185737</xdr:rowOff>
    </xdr:from>
    <xdr:to>
      <xdr:col>19</xdr:col>
      <xdr:colOff>476250</xdr:colOff>
      <xdr:row>33</xdr:row>
      <xdr:rowOff>71437</xdr:rowOff>
    </xdr:to>
    <xdr:graphicFrame macro="">
      <xdr:nvGraphicFramePr>
        <xdr:cNvPr id="20" name="Chart 19">
          <a:extLst>
            <a:ext uri="{FF2B5EF4-FFF2-40B4-BE49-F238E27FC236}">
              <a16:creationId xmlns:a16="http://schemas.microsoft.com/office/drawing/2014/main" id="{F4F0A931-4513-6003-F7C4-AC76629870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95250</xdr:colOff>
      <xdr:row>25</xdr:row>
      <xdr:rowOff>100501</xdr:rowOff>
    </xdr:to>
    <xdr:pic>
      <xdr:nvPicPr>
        <xdr:cNvPr id="17" name="Picture 16">
          <a:extLst>
            <a:ext uri="{FF2B5EF4-FFF2-40B4-BE49-F238E27FC236}">
              <a16:creationId xmlns:a16="http://schemas.microsoft.com/office/drawing/2014/main" id="{AB4384E8-3D1D-CB81-E65F-DEFA7744B6F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213417" cy="4863001"/>
        </a:xfrm>
        <a:prstGeom prst="rect">
          <a:avLst/>
        </a:prstGeom>
      </xdr:spPr>
    </xdr:pic>
    <xdr:clientData/>
  </xdr:twoCellAnchor>
  <xdr:twoCellAnchor editAs="oneCell">
    <xdr:from>
      <xdr:col>0</xdr:col>
      <xdr:colOff>74083</xdr:colOff>
      <xdr:row>7</xdr:row>
      <xdr:rowOff>179918</xdr:rowOff>
    </xdr:from>
    <xdr:to>
      <xdr:col>3</xdr:col>
      <xdr:colOff>243416</xdr:colOff>
      <xdr:row>17</xdr:row>
      <xdr:rowOff>105834</xdr:rowOff>
    </xdr:to>
    <mc:AlternateContent xmlns:mc="http://schemas.openxmlformats.org/markup-compatibility/2006" xmlns:a14="http://schemas.microsoft.com/office/drawing/2010/main">
      <mc:Choice Requires="a14">
        <xdr:graphicFrame macro="">
          <xdr:nvGraphicFramePr>
            <xdr:cNvPr id="2" name="Product 1">
              <a:extLst>
                <a:ext uri="{FF2B5EF4-FFF2-40B4-BE49-F238E27FC236}">
                  <a16:creationId xmlns:a16="http://schemas.microsoft.com/office/drawing/2014/main" id="{AF61E498-D431-48D4-BE11-5727D339BD2A}"/>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74083" y="1513418"/>
              <a:ext cx="2010833" cy="18309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539750</xdr:colOff>
      <xdr:row>3</xdr:row>
      <xdr:rowOff>42333</xdr:rowOff>
    </xdr:from>
    <xdr:to>
      <xdr:col>6</xdr:col>
      <xdr:colOff>211667</xdr:colOff>
      <xdr:row>6</xdr:row>
      <xdr:rowOff>158750</xdr:rowOff>
    </xdr:to>
    <xdr:sp macro="" textlink="Sheet2!B12">
      <xdr:nvSpPr>
        <xdr:cNvPr id="3" name="Rectangle: Rounded Corners 2">
          <a:extLst>
            <a:ext uri="{FF2B5EF4-FFF2-40B4-BE49-F238E27FC236}">
              <a16:creationId xmlns:a16="http://schemas.microsoft.com/office/drawing/2014/main" id="{DD46E87D-D58B-42C7-817F-60200D3CC476}"/>
            </a:ext>
          </a:extLst>
        </xdr:cNvPr>
        <xdr:cNvSpPr/>
      </xdr:nvSpPr>
      <xdr:spPr>
        <a:xfrm>
          <a:off x="2381250" y="613833"/>
          <a:ext cx="1513417" cy="687917"/>
        </a:xfrm>
        <a:prstGeom prst="roundRect">
          <a:avLst/>
        </a:prstGeom>
        <a:noFill/>
        <a:ln>
          <a:solidFill>
            <a:schemeClr val="accent1">
              <a:shade val="15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400" b="1" i="0" u="none" strike="noStrike">
              <a:ln>
                <a:noFill/>
              </a:ln>
              <a:solidFill>
                <a:schemeClr val="bg1"/>
              </a:solidFill>
              <a:latin typeface="Calibri"/>
              <a:ea typeface="Calibri"/>
              <a:cs typeface="Calibri"/>
            </a:rPr>
            <a:t>Total</a:t>
          </a:r>
          <a:r>
            <a:rPr lang="en-US" sz="1400" b="1" i="0" u="none" strike="noStrike" baseline="0">
              <a:ln>
                <a:noFill/>
              </a:ln>
              <a:solidFill>
                <a:schemeClr val="bg1"/>
              </a:solidFill>
              <a:latin typeface="Calibri"/>
              <a:ea typeface="Calibri"/>
              <a:cs typeface="Calibri"/>
            </a:rPr>
            <a:t> Revenue</a:t>
          </a:r>
          <a:endParaRPr lang="en-US" sz="1400" b="1" i="0" u="none" strike="noStrike">
            <a:ln>
              <a:noFill/>
            </a:ln>
            <a:solidFill>
              <a:schemeClr val="bg1"/>
            </a:solidFill>
            <a:latin typeface="Calibri"/>
            <a:ea typeface="Calibri"/>
            <a:cs typeface="Calibri"/>
          </a:endParaRPr>
        </a:p>
        <a:p>
          <a:pPr algn="l"/>
          <a:fld id="{28DEED92-F705-4AB4-8D8A-C0E980A9D9D7}" type="TxLink">
            <a:rPr lang="en-US" sz="1400" b="1" i="0" u="none" strike="noStrike">
              <a:ln>
                <a:noFill/>
              </a:ln>
              <a:solidFill>
                <a:schemeClr val="bg1"/>
              </a:solidFill>
              <a:latin typeface="Calibri"/>
              <a:ea typeface="Calibri"/>
              <a:cs typeface="Calibri"/>
            </a:rPr>
            <a:t>4379778</a:t>
          </a:fld>
          <a:endParaRPr lang="en-US" sz="1400" b="1" i="0" u="none" strike="noStrike">
            <a:ln>
              <a:noFill/>
            </a:ln>
            <a:solidFill>
              <a:schemeClr val="bg1"/>
            </a:solidFill>
            <a:latin typeface="Calibri"/>
            <a:ea typeface="Calibri"/>
            <a:cs typeface="Calibri"/>
          </a:endParaRPr>
        </a:p>
      </xdr:txBody>
    </xdr:sp>
    <xdr:clientData/>
  </xdr:twoCellAnchor>
  <xdr:twoCellAnchor>
    <xdr:from>
      <xdr:col>3</xdr:col>
      <xdr:colOff>254000</xdr:colOff>
      <xdr:row>7</xdr:row>
      <xdr:rowOff>10583</xdr:rowOff>
    </xdr:from>
    <xdr:to>
      <xdr:col>15</xdr:col>
      <xdr:colOff>370417</xdr:colOff>
      <xdr:row>15</xdr:row>
      <xdr:rowOff>0</xdr:rowOff>
    </xdr:to>
    <xdr:graphicFrame macro="">
      <xdr:nvGraphicFramePr>
        <xdr:cNvPr id="5" name="Chart 4">
          <a:extLst>
            <a:ext uri="{FF2B5EF4-FFF2-40B4-BE49-F238E27FC236}">
              <a16:creationId xmlns:a16="http://schemas.microsoft.com/office/drawing/2014/main" id="{D7211A22-1FAD-4406-90DF-BD83912F93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497417</xdr:colOff>
      <xdr:row>12</xdr:row>
      <xdr:rowOff>84668</xdr:rowOff>
    </xdr:from>
    <xdr:to>
      <xdr:col>22</xdr:col>
      <xdr:colOff>412750</xdr:colOff>
      <xdr:row>23</xdr:row>
      <xdr:rowOff>179917</xdr:rowOff>
    </xdr:to>
    <xdr:graphicFrame macro="">
      <xdr:nvGraphicFramePr>
        <xdr:cNvPr id="6" name="Chart 5">
          <a:extLst>
            <a:ext uri="{FF2B5EF4-FFF2-40B4-BE49-F238E27FC236}">
              <a16:creationId xmlns:a16="http://schemas.microsoft.com/office/drawing/2014/main" id="{5415CB02-6DFF-4418-910C-501668FF5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285750</xdr:colOff>
      <xdr:row>3</xdr:row>
      <xdr:rowOff>31750</xdr:rowOff>
    </xdr:from>
    <xdr:to>
      <xdr:col>8</xdr:col>
      <xdr:colOff>592666</xdr:colOff>
      <xdr:row>6</xdr:row>
      <xdr:rowOff>144992</xdr:rowOff>
    </xdr:to>
    <xdr:sp macro="" textlink="Sheet2!T14">
      <xdr:nvSpPr>
        <xdr:cNvPr id="9" name="Rectangle: Rounded Corners 8">
          <a:extLst>
            <a:ext uri="{FF2B5EF4-FFF2-40B4-BE49-F238E27FC236}">
              <a16:creationId xmlns:a16="http://schemas.microsoft.com/office/drawing/2014/main" id="{B32813C1-A567-476D-8D5E-2A78B3A64C92}"/>
            </a:ext>
          </a:extLst>
        </xdr:cNvPr>
        <xdr:cNvSpPr/>
      </xdr:nvSpPr>
      <xdr:spPr>
        <a:xfrm>
          <a:off x="3968750" y="603250"/>
          <a:ext cx="1534583" cy="684742"/>
        </a:xfrm>
        <a:prstGeom prst="roundRect">
          <a:avLst/>
        </a:prstGeom>
        <a:noFill/>
        <a:ln>
          <a:solidFill>
            <a:schemeClr val="accent1">
              <a:shade val="15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400" b="1"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t>Total Orders</a:t>
          </a:r>
        </a:p>
        <a:p>
          <a:pPr algn="l"/>
          <a:fld id="{F92E5F16-4F39-4094-AF05-15EAFBDCB5EA}" type="TxLink">
            <a:rPr lang="en-US" sz="1400" b="1"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t>1500</a:t>
          </a:fld>
          <a:endParaRPr lang="en-US" sz="1400" b="1"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endParaRPr>
        </a:p>
      </xdr:txBody>
    </xdr:sp>
    <xdr:clientData/>
  </xdr:twoCellAnchor>
  <xdr:twoCellAnchor>
    <xdr:from>
      <xdr:col>9</xdr:col>
      <xdr:colOff>52917</xdr:colOff>
      <xdr:row>3</xdr:row>
      <xdr:rowOff>0</xdr:rowOff>
    </xdr:from>
    <xdr:to>
      <xdr:col>11</xdr:col>
      <xdr:colOff>486833</xdr:colOff>
      <xdr:row>6</xdr:row>
      <xdr:rowOff>142874</xdr:rowOff>
    </xdr:to>
    <xdr:sp macro="" textlink="Sheet2!Q13">
      <xdr:nvSpPr>
        <xdr:cNvPr id="10" name="Rectangle: Rounded Corners 9">
          <a:extLst>
            <a:ext uri="{FF2B5EF4-FFF2-40B4-BE49-F238E27FC236}">
              <a16:creationId xmlns:a16="http://schemas.microsoft.com/office/drawing/2014/main" id="{7B994ABA-8AA2-442A-8F45-9B0181F76469}"/>
            </a:ext>
          </a:extLst>
        </xdr:cNvPr>
        <xdr:cNvSpPr/>
      </xdr:nvSpPr>
      <xdr:spPr>
        <a:xfrm>
          <a:off x="5577417" y="571500"/>
          <a:ext cx="1661583" cy="714374"/>
        </a:xfrm>
        <a:prstGeom prst="roundRect">
          <a:avLst/>
        </a:prstGeom>
        <a:noFill/>
        <a:ln>
          <a:solidFill>
            <a:schemeClr val="accent1">
              <a:shade val="15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400" b="1" i="0" u="none" strike="noStrike">
              <a:ln>
                <a:noFill/>
              </a:ln>
              <a:solidFill>
                <a:schemeClr val="bg1"/>
              </a:solidFill>
              <a:latin typeface="Calibri"/>
              <a:ea typeface="Calibri"/>
              <a:cs typeface="Calibri"/>
            </a:rPr>
            <a:t>Total Quantity</a:t>
          </a:r>
        </a:p>
        <a:p>
          <a:pPr algn="l"/>
          <a:fld id="{ADA85238-7100-4592-99F9-69AD09B2986C}" type="TxLink">
            <a:rPr lang="en-US" sz="1400" b="1" i="0" u="none" strike="noStrike">
              <a:ln>
                <a:noFill/>
              </a:ln>
              <a:solidFill>
                <a:schemeClr val="bg1"/>
              </a:solidFill>
              <a:latin typeface="Calibri"/>
              <a:ea typeface="Calibri"/>
              <a:cs typeface="Calibri"/>
            </a:rPr>
            <a:t>15616</a:t>
          </a:fld>
          <a:endParaRPr lang="en-US" sz="1400" b="1" i="0" u="none" strike="noStrike">
            <a:ln>
              <a:noFill/>
            </a:ln>
            <a:solidFill>
              <a:schemeClr val="bg1"/>
            </a:solidFill>
            <a:latin typeface="Calibri"/>
            <a:ea typeface="Calibri"/>
            <a:cs typeface="Calibri"/>
          </a:endParaRPr>
        </a:p>
      </xdr:txBody>
    </xdr:sp>
    <xdr:clientData/>
  </xdr:twoCellAnchor>
  <xdr:twoCellAnchor>
    <xdr:from>
      <xdr:col>5</xdr:col>
      <xdr:colOff>222249</xdr:colOff>
      <xdr:row>0</xdr:row>
      <xdr:rowOff>63500</xdr:rowOff>
    </xdr:from>
    <xdr:to>
      <xdr:col>13</xdr:col>
      <xdr:colOff>412751</xdr:colOff>
      <xdr:row>2</xdr:row>
      <xdr:rowOff>179917</xdr:rowOff>
    </xdr:to>
    <xdr:sp macro="" textlink="">
      <xdr:nvSpPr>
        <xdr:cNvPr id="18" name="Rectangle: Rounded Corners 17">
          <a:extLst>
            <a:ext uri="{FF2B5EF4-FFF2-40B4-BE49-F238E27FC236}">
              <a16:creationId xmlns:a16="http://schemas.microsoft.com/office/drawing/2014/main" id="{39FC4ADB-511C-5D6B-1836-08E4F0ADCC7F}"/>
            </a:ext>
          </a:extLst>
        </xdr:cNvPr>
        <xdr:cNvSpPr/>
      </xdr:nvSpPr>
      <xdr:spPr>
        <a:xfrm>
          <a:off x="3291416" y="63500"/>
          <a:ext cx="5101168" cy="497417"/>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2400" b="1"/>
            <a:t>AMAZON BESTLLING PRODUCTS</a:t>
          </a:r>
        </a:p>
      </xdr:txBody>
    </xdr:sp>
    <xdr:clientData/>
  </xdr:twoCellAnchor>
  <xdr:twoCellAnchor editAs="oneCell">
    <xdr:from>
      <xdr:col>0</xdr:col>
      <xdr:colOff>63502</xdr:colOff>
      <xdr:row>0</xdr:row>
      <xdr:rowOff>42333</xdr:rowOff>
    </xdr:from>
    <xdr:to>
      <xdr:col>3</xdr:col>
      <xdr:colOff>232834</xdr:colOff>
      <xdr:row>7</xdr:row>
      <xdr:rowOff>63500</xdr:rowOff>
    </xdr:to>
    <xdr:pic>
      <xdr:nvPicPr>
        <xdr:cNvPr id="20" name="Picture 19">
          <a:extLst>
            <a:ext uri="{FF2B5EF4-FFF2-40B4-BE49-F238E27FC236}">
              <a16:creationId xmlns:a16="http://schemas.microsoft.com/office/drawing/2014/main" id="{94C4A7F8-6EB0-1FE8-212A-5A670C2BFF7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3502" y="42333"/>
          <a:ext cx="2010832" cy="1354667"/>
        </a:xfrm>
        <a:prstGeom prst="rect">
          <a:avLst/>
        </a:prstGeom>
      </xdr:spPr>
    </xdr:pic>
    <xdr:clientData/>
  </xdr:twoCellAnchor>
  <xdr:twoCellAnchor>
    <xdr:from>
      <xdr:col>9</xdr:col>
      <xdr:colOff>254000</xdr:colOff>
      <xdr:row>15</xdr:row>
      <xdr:rowOff>52918</xdr:rowOff>
    </xdr:from>
    <xdr:to>
      <xdr:col>15</xdr:col>
      <xdr:colOff>370417</xdr:colOff>
      <xdr:row>24</xdr:row>
      <xdr:rowOff>0</xdr:rowOff>
    </xdr:to>
    <xdr:graphicFrame macro="">
      <xdr:nvGraphicFramePr>
        <xdr:cNvPr id="11" name="Chart 10">
          <a:extLst>
            <a:ext uri="{FF2B5EF4-FFF2-40B4-BE49-F238E27FC236}">
              <a16:creationId xmlns:a16="http://schemas.microsoft.com/office/drawing/2014/main" id="{991E1BE0-3873-4EC8-8EE5-9A33A78AF7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264584</xdr:colOff>
      <xdr:row>15</xdr:row>
      <xdr:rowOff>74083</xdr:rowOff>
    </xdr:from>
    <xdr:to>
      <xdr:col>9</xdr:col>
      <xdr:colOff>42334</xdr:colOff>
      <xdr:row>23</xdr:row>
      <xdr:rowOff>169333</xdr:rowOff>
    </xdr:to>
    <xdr:graphicFrame macro="">
      <xdr:nvGraphicFramePr>
        <xdr:cNvPr id="4" name="Chart 3">
          <a:extLst>
            <a:ext uri="{FF2B5EF4-FFF2-40B4-BE49-F238E27FC236}">
              <a16:creationId xmlns:a16="http://schemas.microsoft.com/office/drawing/2014/main" id="{676C28D3-4ED5-4E13-AB14-E27EB63825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52915</xdr:colOff>
      <xdr:row>16</xdr:row>
      <xdr:rowOff>179917</xdr:rowOff>
    </xdr:from>
    <xdr:to>
      <xdr:col>3</xdr:col>
      <xdr:colOff>232833</xdr:colOff>
      <xdr:row>24</xdr:row>
      <xdr:rowOff>31750</xdr:rowOff>
    </xdr:to>
    <mc:AlternateContent xmlns:mc="http://schemas.openxmlformats.org/markup-compatibility/2006" xmlns:a14="http://schemas.microsoft.com/office/drawing/2010/main">
      <mc:Choice Requires="a14">
        <xdr:graphicFrame macro="">
          <xdr:nvGraphicFramePr>
            <xdr:cNvPr id="12" name="Years (OrderDate) 1">
              <a:extLst>
                <a:ext uri="{FF2B5EF4-FFF2-40B4-BE49-F238E27FC236}">
                  <a16:creationId xmlns:a16="http://schemas.microsoft.com/office/drawing/2014/main" id="{717C5262-5E81-413D-9061-09FF5582C564}"/>
                </a:ext>
              </a:extLst>
            </xdr:cNvPr>
            <xdr:cNvGraphicFramePr/>
          </xdr:nvGraphicFramePr>
          <xdr:xfrm>
            <a:off x="0" y="0"/>
            <a:ext cx="0" cy="0"/>
          </xdr:xfrm>
          <a:graphic>
            <a:graphicData uri="http://schemas.microsoft.com/office/drawing/2010/slicer">
              <sle:slicer xmlns:sle="http://schemas.microsoft.com/office/drawing/2010/slicer" name="Years (OrderDate) 1"/>
            </a:graphicData>
          </a:graphic>
        </xdr:graphicFrame>
      </mc:Choice>
      <mc:Fallback xmlns="">
        <xdr:sp macro="" textlink="">
          <xdr:nvSpPr>
            <xdr:cNvPr id="0" name=""/>
            <xdr:cNvSpPr>
              <a:spLocks noTextEdit="1"/>
            </xdr:cNvSpPr>
          </xdr:nvSpPr>
          <xdr:spPr>
            <a:xfrm>
              <a:off x="52915" y="3354917"/>
              <a:ext cx="2021418" cy="12488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518583</xdr:colOff>
      <xdr:row>0</xdr:row>
      <xdr:rowOff>63500</xdr:rowOff>
    </xdr:from>
    <xdr:to>
      <xdr:col>22</xdr:col>
      <xdr:colOff>391584</xdr:colOff>
      <xdr:row>11</xdr:row>
      <xdr:rowOff>63501</xdr:rowOff>
    </xdr:to>
    <xdr:graphicFrame macro="">
      <xdr:nvGraphicFramePr>
        <xdr:cNvPr id="15" name="Chart 14">
          <a:extLst>
            <a:ext uri="{FF2B5EF4-FFF2-40B4-BE49-F238E27FC236}">
              <a16:creationId xmlns:a16="http://schemas.microsoft.com/office/drawing/2014/main" id="{2E59BFB2-797C-4E56-BBEB-55985752C9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550334</xdr:colOff>
      <xdr:row>3</xdr:row>
      <xdr:rowOff>10584</xdr:rowOff>
    </xdr:from>
    <xdr:to>
      <xdr:col>15</xdr:col>
      <xdr:colOff>264583</xdr:colOff>
      <xdr:row>6</xdr:row>
      <xdr:rowOff>137584</xdr:rowOff>
    </xdr:to>
    <xdr:sp macro="" textlink="Sheet2!Q16">
      <xdr:nvSpPr>
        <xdr:cNvPr id="7" name="Rectangle: Rounded Corners 6">
          <a:extLst>
            <a:ext uri="{FF2B5EF4-FFF2-40B4-BE49-F238E27FC236}">
              <a16:creationId xmlns:a16="http://schemas.microsoft.com/office/drawing/2014/main" id="{A3C15A01-FB8F-407D-995C-7FA732B0AB85}"/>
            </a:ext>
          </a:extLst>
        </xdr:cNvPr>
        <xdr:cNvSpPr/>
      </xdr:nvSpPr>
      <xdr:spPr>
        <a:xfrm>
          <a:off x="7302501" y="582084"/>
          <a:ext cx="2169582" cy="698500"/>
        </a:xfrm>
        <a:prstGeom prst="roundRect">
          <a:avLst/>
        </a:prstGeom>
        <a:noFill/>
        <a:ln>
          <a:solidFill>
            <a:schemeClr val="accent1">
              <a:shade val="15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400" b="1" i="0" u="none" strike="noStrike">
              <a:ln>
                <a:noFill/>
              </a:ln>
              <a:solidFill>
                <a:schemeClr val="bg1"/>
              </a:solidFill>
              <a:latin typeface="Calibri"/>
              <a:ea typeface="Calibri"/>
              <a:cs typeface="Calibri"/>
            </a:rPr>
            <a:t>AVERAGE ORDER VALUE</a:t>
          </a:r>
        </a:p>
        <a:p>
          <a:pPr algn="l"/>
          <a:fld id="{BEB0E141-08FF-4329-A254-BB188EAA1B7A}" type="TxLink">
            <a:rPr lang="en-US" sz="1400" b="1" i="0" u="none" strike="noStrike">
              <a:ln>
                <a:noFill/>
              </a:ln>
              <a:solidFill>
                <a:schemeClr val="bg1"/>
              </a:solidFill>
              <a:latin typeface="Calibri"/>
              <a:ea typeface="Calibri"/>
              <a:cs typeface="Calibri"/>
            </a:rPr>
            <a:t> ₹ 280.47 </a:t>
          </a:fld>
          <a:endParaRPr lang="en-US" sz="1400" b="1" i="0" u="none" strike="noStrike">
            <a:ln>
              <a:noFill/>
            </a:ln>
            <a:solidFill>
              <a:schemeClr val="bg1"/>
            </a:solidFill>
            <a:latin typeface="Calibri"/>
            <a:ea typeface="Calibri"/>
            <a:cs typeface="Calibri"/>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USH" refreshedDate="46103.844136805557" createdVersion="8" refreshedVersion="8" minRefreshableVersion="3" recordCount="1500" xr:uid="{95F08CC7-A854-476C-A97F-8BE266DACF10}">
  <cacheSource type="worksheet">
    <worksheetSource name="Sheet13"/>
  </cacheSource>
  <cacheFields count="22">
    <cacheField name="Date" numFmtId="14">
      <sharedItems containsSemiMixedTypes="0" containsNonDate="0" containsDate="1" containsString="0" minDate="2023-01-01T00:00:00" maxDate="2025-07-01T00:00:00"/>
    </cacheField>
    <cacheField name="Region" numFmtId="0">
      <sharedItems count="5">
        <s v="East"/>
        <s v="South"/>
        <s v="North"/>
        <s v="Central"/>
        <s v="West"/>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acheField>
    <cacheField name="UnitPrice" numFmtId="0">
      <sharedItems containsSemiMixedTypes="0" containsString="0" containsNumber="1" containsInteger="1" minValue="6" maxValue="600"/>
    </cacheField>
    <cacheField name="StoreLocation" numFmtId="0">
      <sharedItems count="4">
        <s v="Store B"/>
        <s v="Store A"/>
        <s v="Store C"/>
        <s v="Store D"/>
      </sharedItems>
    </cacheField>
    <cacheField name="CustomerType" numFmtId="0">
      <sharedItems/>
    </cacheField>
    <cacheField name="Discount" numFmtId="0">
      <sharedItems containsSemiMixedTypes="0" containsString="0" containsNumber="1" minValue="0" maxValue="0.15"/>
    </cacheField>
    <cacheField name="Salesperson" numFmtId="0">
      <sharedItems count="6">
        <s v="Eva"/>
        <s v="Alice"/>
        <s v="Frank"/>
        <s v="Carlos"/>
        <s v="Diana"/>
        <s v="Bob"/>
      </sharedItems>
    </cacheField>
    <cacheField name="PaymentMethod" numFmtId="0">
      <sharedItems count="5">
        <s v="Online"/>
        <s v="Gift Card"/>
        <s v="Credit Card"/>
        <s v="Debit Card"/>
        <s v="Cash"/>
      </sharedItems>
    </cacheField>
    <cacheField name="Returned" numFmtId="0">
      <sharedItems containsSemiMixedTypes="0" containsString="0" containsNumber="1" containsInteger="1" minValue="0" maxValue="1"/>
    </cacheField>
    <cacheField name="OrderID" numFmtId="0">
      <sharedItems count="1500">
        <s v="REG100000"/>
        <s v="REG100001"/>
        <s v="REG100002"/>
        <s v="REG100003"/>
        <s v="REG100004"/>
        <s v="REG100005"/>
        <s v="REG100006"/>
        <s v="REG100007"/>
        <s v="REG100008"/>
        <s v="REG100009"/>
        <s v="REG100010"/>
        <s v="REG100011"/>
        <s v="REG100012"/>
        <s v="REG100013"/>
        <s v="REG100014"/>
        <s v="REG100015"/>
        <s v="REG100016"/>
        <s v="REG100017"/>
        <s v="REG100018"/>
        <s v="REG100019"/>
        <s v="REG100020"/>
        <s v="REG100021"/>
        <s v="REG100022"/>
        <s v="REG100023"/>
        <s v="REG100024"/>
        <s v="REG100025"/>
        <s v="REG100026"/>
        <s v="REG100027"/>
        <s v="REG100028"/>
        <s v="REG100029"/>
        <s v="REG100030"/>
        <s v="REG100031"/>
        <s v="REG100032"/>
        <s v="REG100033"/>
        <s v="REG100034"/>
        <s v="REG100035"/>
        <s v="REG100036"/>
        <s v="REG100037"/>
        <s v="REG100038"/>
        <s v="REG100039"/>
        <s v="REG100040"/>
        <s v="REG100041"/>
        <s v="REG100042"/>
        <s v="REG100043"/>
        <s v="REG100044"/>
        <s v="REG100045"/>
        <s v="REG100046"/>
        <s v="REG100047"/>
        <s v="REG100048"/>
        <s v="REG100049"/>
        <s v="REG100050"/>
        <s v="REG100051"/>
        <s v="REG100052"/>
        <s v="REG100053"/>
        <s v="REG100054"/>
        <s v="REG100055"/>
        <s v="REG100056"/>
        <s v="REG100057"/>
        <s v="REG100058"/>
        <s v="REG100059"/>
        <s v="REG100060"/>
        <s v="REG100061"/>
        <s v="REG100062"/>
        <s v="REG100063"/>
        <s v="REG100064"/>
        <s v="REG100065"/>
        <s v="REG100066"/>
        <s v="REG100067"/>
        <s v="REG100068"/>
        <s v="REG100069"/>
        <s v="REG100070"/>
        <s v="REG100071"/>
        <s v="REG100072"/>
        <s v="REG100073"/>
        <s v="REG100074"/>
        <s v="REG100075"/>
        <s v="REG100076"/>
        <s v="REG100077"/>
        <s v="REG100078"/>
        <s v="REG100079"/>
        <s v="REG100080"/>
        <s v="REG100081"/>
        <s v="REG100082"/>
        <s v="REG100083"/>
        <s v="REG100084"/>
        <s v="REG100085"/>
        <s v="REG100086"/>
        <s v="REG100087"/>
        <s v="REG100088"/>
        <s v="REG100089"/>
        <s v="REG100090"/>
        <s v="REG100091"/>
        <s v="REG100092"/>
        <s v="REG100093"/>
        <s v="REG100094"/>
        <s v="REG100095"/>
        <s v="REG100096"/>
        <s v="REG100097"/>
        <s v="REG100098"/>
        <s v="REG100099"/>
        <s v="REG100100"/>
        <s v="REG100101"/>
        <s v="REG100102"/>
        <s v="REG100103"/>
        <s v="REG100104"/>
        <s v="REG100105"/>
        <s v="REG100106"/>
        <s v="REG100107"/>
        <s v="REG100108"/>
        <s v="REG100109"/>
        <s v="REG100110"/>
        <s v="REG100111"/>
        <s v="REG100112"/>
        <s v="REG100113"/>
        <s v="REG100114"/>
        <s v="REG100115"/>
        <s v="REG100116"/>
        <s v="REG100117"/>
        <s v="REG100118"/>
        <s v="REG100119"/>
        <s v="REG100120"/>
        <s v="REG100121"/>
        <s v="REG100122"/>
        <s v="REG100123"/>
        <s v="REG100124"/>
        <s v="REG100125"/>
        <s v="REG100126"/>
        <s v="REG100127"/>
        <s v="REG100128"/>
        <s v="REG100129"/>
        <s v="REG100130"/>
        <s v="REG100131"/>
        <s v="REG100132"/>
        <s v="REG100133"/>
        <s v="REG100134"/>
        <s v="REG100135"/>
        <s v="REG100136"/>
        <s v="REG100137"/>
        <s v="REG100138"/>
        <s v="REG100139"/>
        <s v="REG100140"/>
        <s v="REG100141"/>
        <s v="REG100142"/>
        <s v="REG100143"/>
        <s v="REG100144"/>
        <s v="REG100145"/>
        <s v="REG100146"/>
        <s v="REG100147"/>
        <s v="REG100148"/>
        <s v="REG100149"/>
        <s v="REG100150"/>
        <s v="REG100151"/>
        <s v="REG100152"/>
        <s v="REG100153"/>
        <s v="REG100154"/>
        <s v="REG100155"/>
        <s v="REG100156"/>
        <s v="REG100157"/>
        <s v="REG100158"/>
        <s v="REG100159"/>
        <s v="REG100160"/>
        <s v="REG100161"/>
        <s v="REG100162"/>
        <s v="REG100163"/>
        <s v="REG100164"/>
        <s v="REG100165"/>
        <s v="REG100166"/>
        <s v="REG100167"/>
        <s v="REG100168"/>
        <s v="REG100169"/>
        <s v="REG100170"/>
        <s v="REG100171"/>
        <s v="REG100172"/>
        <s v="REG100173"/>
        <s v="REG100174"/>
        <s v="REG100175"/>
        <s v="REG100176"/>
        <s v="REG100177"/>
        <s v="REG100178"/>
        <s v="REG100179"/>
        <s v="REG100180"/>
        <s v="REG100181"/>
        <s v="REG100182"/>
        <s v="REG100183"/>
        <s v="REG100184"/>
        <s v="REG100185"/>
        <s v="REG100186"/>
        <s v="REG100187"/>
        <s v="REG100188"/>
        <s v="REG100189"/>
        <s v="REG100190"/>
        <s v="REG100191"/>
        <s v="REG100192"/>
        <s v="REG100193"/>
        <s v="REG100194"/>
        <s v="REG100195"/>
        <s v="REG100196"/>
        <s v="REG100197"/>
        <s v="REG100198"/>
        <s v="REG100199"/>
        <s v="REG100200"/>
        <s v="REG100201"/>
        <s v="REG100202"/>
        <s v="REG100203"/>
        <s v="REG100204"/>
        <s v="REG100205"/>
        <s v="REG100206"/>
        <s v="REG100207"/>
        <s v="REG100208"/>
        <s v="REG100209"/>
        <s v="REG100210"/>
        <s v="REG100211"/>
        <s v="REG100212"/>
        <s v="REG100213"/>
        <s v="REG100214"/>
        <s v="REG100215"/>
        <s v="REG100216"/>
        <s v="REG100217"/>
        <s v="REG100218"/>
        <s v="REG100219"/>
        <s v="REG100220"/>
        <s v="REG100221"/>
        <s v="REG100222"/>
        <s v="REG100223"/>
        <s v="REG100224"/>
        <s v="REG100225"/>
        <s v="REG100226"/>
        <s v="REG100227"/>
        <s v="REG100228"/>
        <s v="REG100229"/>
        <s v="REG100230"/>
        <s v="REG100231"/>
        <s v="REG100232"/>
        <s v="REG100233"/>
        <s v="REG100234"/>
        <s v="REG100235"/>
        <s v="REG100236"/>
        <s v="REG100237"/>
        <s v="REG100238"/>
        <s v="REG100239"/>
        <s v="REG100240"/>
        <s v="REG100241"/>
        <s v="REG100242"/>
        <s v="REG100243"/>
        <s v="REG100244"/>
        <s v="REG100245"/>
        <s v="REG100246"/>
        <s v="REG100247"/>
        <s v="REG100248"/>
        <s v="REG100249"/>
        <s v="REG100250"/>
        <s v="REG100251"/>
        <s v="REG100252"/>
        <s v="REG100253"/>
        <s v="REG100254"/>
        <s v="REG100255"/>
        <s v="REG100256"/>
        <s v="REG100257"/>
        <s v="REG100258"/>
        <s v="REG100259"/>
        <s v="REG100260"/>
        <s v="REG100261"/>
        <s v="REG100262"/>
        <s v="REG100263"/>
        <s v="REG100264"/>
        <s v="REG100265"/>
        <s v="REG100266"/>
        <s v="REG100267"/>
        <s v="REG100268"/>
        <s v="REG100269"/>
        <s v="REG100270"/>
        <s v="REG100271"/>
        <s v="REG100272"/>
        <s v="REG100273"/>
        <s v="REG100274"/>
        <s v="REG100275"/>
        <s v="REG100276"/>
        <s v="REG100277"/>
        <s v="REG100278"/>
        <s v="REG100279"/>
        <s v="REG100280"/>
        <s v="REG100281"/>
        <s v="REG100282"/>
        <s v="REG100283"/>
        <s v="REG100284"/>
        <s v="REG100285"/>
        <s v="REG100286"/>
        <s v="REG100287"/>
        <s v="REG100288"/>
        <s v="REG100289"/>
        <s v="REG100290"/>
        <s v="REG100291"/>
        <s v="REG100292"/>
        <s v="REG100293"/>
        <s v="REG100294"/>
        <s v="REG100295"/>
        <s v="REG100296"/>
        <s v="REG100297"/>
        <s v="REG100298"/>
        <s v="REG100299"/>
        <s v="REG100300"/>
        <s v="REG100301"/>
        <s v="REG100302"/>
        <s v="REG100303"/>
        <s v="REG100304"/>
        <s v="REG100305"/>
        <s v="REG100306"/>
        <s v="REG100307"/>
        <s v="REG100308"/>
        <s v="REG100309"/>
        <s v="REG100310"/>
        <s v="REG100311"/>
        <s v="REG100312"/>
        <s v="REG100313"/>
        <s v="REG100314"/>
        <s v="REG100315"/>
        <s v="REG100316"/>
        <s v="REG100317"/>
        <s v="REG100318"/>
        <s v="REG100319"/>
        <s v="REG100320"/>
        <s v="REG100321"/>
        <s v="REG100322"/>
        <s v="REG100323"/>
        <s v="REG100324"/>
        <s v="REG100325"/>
        <s v="REG100326"/>
        <s v="REG100327"/>
        <s v="REG100328"/>
        <s v="REG100329"/>
        <s v="REG100330"/>
        <s v="REG100331"/>
        <s v="REG100332"/>
        <s v="REG100333"/>
        <s v="REG100334"/>
        <s v="REG100335"/>
        <s v="REG100336"/>
        <s v="REG100337"/>
        <s v="REG100338"/>
        <s v="REG100339"/>
        <s v="REG100340"/>
        <s v="REG100341"/>
        <s v="REG100342"/>
        <s v="REG100343"/>
        <s v="REG100344"/>
        <s v="REG100345"/>
        <s v="REG100346"/>
        <s v="REG100347"/>
        <s v="REG100348"/>
        <s v="REG100349"/>
        <s v="REG100350"/>
        <s v="REG100351"/>
        <s v="REG100352"/>
        <s v="REG100353"/>
        <s v="REG100354"/>
        <s v="REG100355"/>
        <s v="REG100356"/>
        <s v="REG100357"/>
        <s v="REG100358"/>
        <s v="REG100359"/>
        <s v="REG100360"/>
        <s v="REG100361"/>
        <s v="REG100362"/>
        <s v="REG100363"/>
        <s v="REG100364"/>
        <s v="REG100365"/>
        <s v="REG100366"/>
        <s v="REG100367"/>
        <s v="REG100368"/>
        <s v="REG100369"/>
        <s v="REG100370"/>
        <s v="REG100371"/>
        <s v="REG100372"/>
        <s v="REG100373"/>
        <s v="REG100374"/>
        <s v="REG100375"/>
        <s v="REG100376"/>
        <s v="REG100377"/>
        <s v="REG100378"/>
        <s v="REG100379"/>
        <s v="REG100380"/>
        <s v="REG100381"/>
        <s v="REG100382"/>
        <s v="REG100383"/>
        <s v="REG100384"/>
        <s v="REG100385"/>
        <s v="REG100386"/>
        <s v="REG100387"/>
        <s v="REG100388"/>
        <s v="REG100389"/>
        <s v="REG100390"/>
        <s v="REG100391"/>
        <s v="REG100392"/>
        <s v="REG100393"/>
        <s v="REG100394"/>
        <s v="REG100395"/>
        <s v="REG100396"/>
        <s v="REG100397"/>
        <s v="REG100398"/>
        <s v="REG100399"/>
        <s v="REG100400"/>
        <s v="REG100401"/>
        <s v="REG100402"/>
        <s v="REG100403"/>
        <s v="REG100404"/>
        <s v="REG100405"/>
        <s v="REG100406"/>
        <s v="REG100407"/>
        <s v="REG100408"/>
        <s v="REG100409"/>
        <s v="REG100410"/>
        <s v="REG100411"/>
        <s v="REG100412"/>
        <s v="REG100413"/>
        <s v="REG100414"/>
        <s v="REG100415"/>
        <s v="REG100416"/>
        <s v="REG100417"/>
        <s v="REG100418"/>
        <s v="REG100419"/>
        <s v="REG100420"/>
        <s v="REG100421"/>
        <s v="REG100422"/>
        <s v="REG100423"/>
        <s v="REG100424"/>
        <s v="REG100425"/>
        <s v="REG100426"/>
        <s v="REG100427"/>
        <s v="REG100428"/>
        <s v="REG100429"/>
        <s v="REG100430"/>
        <s v="REG100431"/>
        <s v="REG100432"/>
        <s v="REG100433"/>
        <s v="REG100434"/>
        <s v="REG100435"/>
        <s v="REG100436"/>
        <s v="REG100437"/>
        <s v="REG100438"/>
        <s v="REG100439"/>
        <s v="REG100440"/>
        <s v="REG100441"/>
        <s v="REG100442"/>
        <s v="REG100443"/>
        <s v="REG100444"/>
        <s v="REG100445"/>
        <s v="REG100446"/>
        <s v="REG100447"/>
        <s v="REG100448"/>
        <s v="REG100449"/>
        <s v="REG100450"/>
        <s v="REG100451"/>
        <s v="REG100452"/>
        <s v="REG100453"/>
        <s v="REG100454"/>
        <s v="REG100455"/>
        <s v="REG100456"/>
        <s v="REG100457"/>
        <s v="REG100458"/>
        <s v="REG100459"/>
        <s v="REG100460"/>
        <s v="REG100461"/>
        <s v="REG100462"/>
        <s v="REG100463"/>
        <s v="REG100464"/>
        <s v="REG100465"/>
        <s v="REG100466"/>
        <s v="REG100467"/>
        <s v="REG100468"/>
        <s v="REG100469"/>
        <s v="REG100470"/>
        <s v="REG100471"/>
        <s v="REG100472"/>
        <s v="REG100473"/>
        <s v="REG100474"/>
        <s v="REG100475"/>
        <s v="REG100476"/>
        <s v="REG100477"/>
        <s v="REG100478"/>
        <s v="REG100479"/>
        <s v="REG100480"/>
        <s v="REG100481"/>
        <s v="REG100482"/>
        <s v="REG100483"/>
        <s v="REG100484"/>
        <s v="REG100485"/>
        <s v="REG100486"/>
        <s v="REG100487"/>
        <s v="REG100488"/>
        <s v="REG100489"/>
        <s v="REG100490"/>
        <s v="REG100491"/>
        <s v="REG100492"/>
        <s v="REG100493"/>
        <s v="REG100494"/>
        <s v="REG100495"/>
        <s v="REG100496"/>
        <s v="REG100497"/>
        <s v="REG100498"/>
        <s v="REG100499"/>
        <s v="REG100500"/>
        <s v="REG100501"/>
        <s v="REG100502"/>
        <s v="REG100503"/>
        <s v="REG100504"/>
        <s v="REG100505"/>
        <s v="REG100506"/>
        <s v="REG100507"/>
        <s v="REG100508"/>
        <s v="REG100509"/>
        <s v="REG100510"/>
        <s v="REG100511"/>
        <s v="REG100512"/>
        <s v="REG100513"/>
        <s v="REG100514"/>
        <s v="REG100515"/>
        <s v="REG100516"/>
        <s v="REG100517"/>
        <s v="REG100518"/>
        <s v="REG100519"/>
        <s v="REG100520"/>
        <s v="REG100521"/>
        <s v="REG100522"/>
        <s v="REG100523"/>
        <s v="REG100524"/>
        <s v="REG100525"/>
        <s v="REG100526"/>
        <s v="REG100527"/>
        <s v="REG100528"/>
        <s v="REG100529"/>
        <s v="REG100530"/>
        <s v="REG100531"/>
        <s v="REG100532"/>
        <s v="REG100533"/>
        <s v="REG100534"/>
        <s v="REG100535"/>
        <s v="REG100536"/>
        <s v="REG100537"/>
        <s v="REG100538"/>
        <s v="REG100539"/>
        <s v="REG100540"/>
        <s v="REG100541"/>
        <s v="REG100542"/>
        <s v="REG100543"/>
        <s v="REG100544"/>
        <s v="REG100545"/>
        <s v="REG100546"/>
        <s v="REG100547"/>
        <s v="REG100548"/>
        <s v="REG100549"/>
        <s v="REG100550"/>
        <s v="REG100551"/>
        <s v="REG100552"/>
        <s v="REG100553"/>
        <s v="REG100554"/>
        <s v="REG100555"/>
        <s v="REG100556"/>
        <s v="REG100557"/>
        <s v="REG100558"/>
        <s v="REG100559"/>
        <s v="REG100560"/>
        <s v="REG100561"/>
        <s v="REG100562"/>
        <s v="REG100563"/>
        <s v="REG100564"/>
        <s v="REG100565"/>
        <s v="REG100566"/>
        <s v="REG100567"/>
        <s v="REG100568"/>
        <s v="REG100569"/>
        <s v="REG100570"/>
        <s v="REG100571"/>
        <s v="REG100572"/>
        <s v="REG100573"/>
        <s v="REG100574"/>
        <s v="REG100575"/>
        <s v="REG100576"/>
        <s v="REG100577"/>
        <s v="REG100578"/>
        <s v="REG100579"/>
        <s v="REG100580"/>
        <s v="REG100581"/>
        <s v="REG100582"/>
        <s v="REG100583"/>
        <s v="REG100584"/>
        <s v="REG100585"/>
        <s v="REG100586"/>
        <s v="REG100587"/>
        <s v="REG100588"/>
        <s v="REG100589"/>
        <s v="REG100590"/>
        <s v="REG100591"/>
        <s v="REG100592"/>
        <s v="REG100593"/>
        <s v="REG100594"/>
        <s v="REG100595"/>
        <s v="REG100596"/>
        <s v="REG100597"/>
        <s v="REG100598"/>
        <s v="REG100599"/>
        <s v="REG100600"/>
        <s v="REG100601"/>
        <s v="REG100602"/>
        <s v="REG100603"/>
        <s v="REG100604"/>
        <s v="REG100605"/>
        <s v="REG100606"/>
        <s v="REG100607"/>
        <s v="REG100608"/>
        <s v="REG100609"/>
        <s v="REG100610"/>
        <s v="REG100611"/>
        <s v="REG100612"/>
        <s v="REG100613"/>
        <s v="REG100614"/>
        <s v="REG100615"/>
        <s v="REG100616"/>
        <s v="REG100617"/>
        <s v="REG100618"/>
        <s v="REG100619"/>
        <s v="REG100620"/>
        <s v="REG100621"/>
        <s v="REG100622"/>
        <s v="REG100623"/>
        <s v="REG100624"/>
        <s v="REG100625"/>
        <s v="REG100626"/>
        <s v="REG100627"/>
        <s v="REG100628"/>
        <s v="REG100629"/>
        <s v="REG100630"/>
        <s v="REG100631"/>
        <s v="REG100632"/>
        <s v="REG100633"/>
        <s v="REG100634"/>
        <s v="REG100635"/>
        <s v="REG100636"/>
        <s v="REG100637"/>
        <s v="REG100638"/>
        <s v="REG100639"/>
        <s v="REG100640"/>
        <s v="REG100641"/>
        <s v="REG100642"/>
        <s v="REG100643"/>
        <s v="REG100644"/>
        <s v="REG100645"/>
        <s v="REG100646"/>
        <s v="REG100647"/>
        <s v="REG100648"/>
        <s v="REG100649"/>
        <s v="REG100650"/>
        <s v="REG100651"/>
        <s v="REG100652"/>
        <s v="REG100653"/>
        <s v="REG100654"/>
        <s v="REG100655"/>
        <s v="REG100656"/>
        <s v="REG100657"/>
        <s v="REG100658"/>
        <s v="REG100659"/>
        <s v="REG100660"/>
        <s v="REG100661"/>
        <s v="REG100662"/>
        <s v="REG100663"/>
        <s v="REG100664"/>
        <s v="REG100665"/>
        <s v="REG100666"/>
        <s v="REG100667"/>
        <s v="REG100668"/>
        <s v="REG100669"/>
        <s v="REG100670"/>
        <s v="REG100671"/>
        <s v="REG100672"/>
        <s v="REG100673"/>
        <s v="REG100674"/>
        <s v="REG100675"/>
        <s v="REG100676"/>
        <s v="REG100677"/>
        <s v="REG100678"/>
        <s v="REG100679"/>
        <s v="REG100680"/>
        <s v="REG100681"/>
        <s v="REG100682"/>
        <s v="REG100683"/>
        <s v="REG100684"/>
        <s v="REG100685"/>
        <s v="REG100686"/>
        <s v="REG100687"/>
        <s v="REG100688"/>
        <s v="REG100689"/>
        <s v="REG100690"/>
        <s v="REG100691"/>
        <s v="REG100692"/>
        <s v="REG100693"/>
        <s v="REG100694"/>
        <s v="REG100695"/>
        <s v="REG100696"/>
        <s v="REG100697"/>
        <s v="REG100698"/>
        <s v="REG100699"/>
        <s v="REG100700"/>
        <s v="REG100701"/>
        <s v="REG100702"/>
        <s v="REG100703"/>
        <s v="REG100704"/>
        <s v="REG100705"/>
        <s v="REG100706"/>
        <s v="REG100707"/>
        <s v="REG100708"/>
        <s v="REG100709"/>
        <s v="REG100710"/>
        <s v="REG100711"/>
        <s v="REG100712"/>
        <s v="REG100713"/>
        <s v="REG100714"/>
        <s v="REG100715"/>
        <s v="REG100716"/>
        <s v="REG100717"/>
        <s v="REG100718"/>
        <s v="REG100719"/>
        <s v="REG100720"/>
        <s v="REG100721"/>
        <s v="REG100722"/>
        <s v="REG100723"/>
        <s v="REG100724"/>
        <s v="REG100725"/>
        <s v="REG100726"/>
        <s v="REG100727"/>
        <s v="REG100728"/>
        <s v="REG100729"/>
        <s v="REG100730"/>
        <s v="REG100731"/>
        <s v="REG100732"/>
        <s v="REG100733"/>
        <s v="REG100734"/>
        <s v="REG100735"/>
        <s v="REG100736"/>
        <s v="REG100737"/>
        <s v="REG100738"/>
        <s v="REG100739"/>
        <s v="REG100740"/>
        <s v="REG100741"/>
        <s v="REG100742"/>
        <s v="REG100743"/>
        <s v="REG100744"/>
        <s v="REG100745"/>
        <s v="REG100746"/>
        <s v="REG100747"/>
        <s v="REG100748"/>
        <s v="REG100749"/>
        <s v="REG100750"/>
        <s v="REG100751"/>
        <s v="REG100752"/>
        <s v="REG100753"/>
        <s v="REG100754"/>
        <s v="REG100755"/>
        <s v="REG100756"/>
        <s v="REG100757"/>
        <s v="REG100758"/>
        <s v="REG100759"/>
        <s v="REG100760"/>
        <s v="REG100761"/>
        <s v="REG100762"/>
        <s v="REG100763"/>
        <s v="REG100764"/>
        <s v="REG100765"/>
        <s v="REG100766"/>
        <s v="REG100767"/>
        <s v="REG100768"/>
        <s v="REG100769"/>
        <s v="REG100770"/>
        <s v="REG100771"/>
        <s v="REG100772"/>
        <s v="REG100773"/>
        <s v="REG100774"/>
        <s v="REG100775"/>
        <s v="REG100776"/>
        <s v="REG100777"/>
        <s v="REG100778"/>
        <s v="REG100779"/>
        <s v="REG100780"/>
        <s v="REG100781"/>
        <s v="REG100782"/>
        <s v="REG100783"/>
        <s v="REG100784"/>
        <s v="REG100785"/>
        <s v="REG100786"/>
        <s v="REG100787"/>
        <s v="REG100788"/>
        <s v="REG100789"/>
        <s v="REG100790"/>
        <s v="REG100791"/>
        <s v="REG100792"/>
        <s v="REG100793"/>
        <s v="REG100794"/>
        <s v="REG100795"/>
        <s v="REG100796"/>
        <s v="REG100797"/>
        <s v="REG100798"/>
        <s v="REG100799"/>
        <s v="REG100800"/>
        <s v="REG100801"/>
        <s v="REG100802"/>
        <s v="REG100803"/>
        <s v="REG100804"/>
        <s v="REG100805"/>
        <s v="REG100806"/>
        <s v="REG100807"/>
        <s v="REG100808"/>
        <s v="REG100809"/>
        <s v="REG100810"/>
        <s v="REG100811"/>
        <s v="REG100812"/>
        <s v="REG100813"/>
        <s v="REG100814"/>
        <s v="REG100815"/>
        <s v="REG100816"/>
        <s v="REG100817"/>
        <s v="REG100818"/>
        <s v="REG100819"/>
        <s v="REG100820"/>
        <s v="REG100821"/>
        <s v="REG100822"/>
        <s v="REG100823"/>
        <s v="REG100824"/>
        <s v="REG100825"/>
        <s v="REG100826"/>
        <s v="REG100827"/>
        <s v="REG100828"/>
        <s v="REG100829"/>
        <s v="REG100830"/>
        <s v="REG100831"/>
        <s v="REG100832"/>
        <s v="REG100833"/>
        <s v="REG100834"/>
        <s v="REG100835"/>
        <s v="REG100836"/>
        <s v="REG100837"/>
        <s v="REG100838"/>
        <s v="REG100839"/>
        <s v="REG100840"/>
        <s v="REG100841"/>
        <s v="REG100842"/>
        <s v="REG100843"/>
        <s v="REG100844"/>
        <s v="REG100845"/>
        <s v="REG100846"/>
        <s v="REG100847"/>
        <s v="REG100848"/>
        <s v="REG100849"/>
        <s v="REG100850"/>
        <s v="REG100851"/>
        <s v="REG100852"/>
        <s v="REG100853"/>
        <s v="REG100854"/>
        <s v="REG100855"/>
        <s v="REG100856"/>
        <s v="REG100857"/>
        <s v="REG100858"/>
        <s v="REG100859"/>
        <s v="REG100860"/>
        <s v="REG100861"/>
        <s v="REG100862"/>
        <s v="REG100863"/>
        <s v="REG100864"/>
        <s v="REG100865"/>
        <s v="REG100866"/>
        <s v="REG100867"/>
        <s v="REG100868"/>
        <s v="REG100869"/>
        <s v="REG100870"/>
        <s v="REG100871"/>
        <s v="REG100872"/>
        <s v="REG100873"/>
        <s v="REG100874"/>
        <s v="REG100875"/>
        <s v="REG100876"/>
        <s v="REG100877"/>
        <s v="REG100878"/>
        <s v="REG100879"/>
        <s v="REG100880"/>
        <s v="REG100881"/>
        <s v="REG100882"/>
        <s v="REG100883"/>
        <s v="REG100884"/>
        <s v="REG100885"/>
        <s v="REG100886"/>
        <s v="REG100887"/>
        <s v="REG100888"/>
        <s v="REG100889"/>
        <s v="REG100890"/>
        <s v="REG100891"/>
        <s v="REG100892"/>
        <s v="REG100893"/>
        <s v="REG100894"/>
        <s v="REG100895"/>
        <s v="REG100896"/>
        <s v="REG100897"/>
        <s v="REG100898"/>
        <s v="REG100899"/>
        <s v="REG100900"/>
        <s v="REG100901"/>
        <s v="REG100902"/>
        <s v="REG100903"/>
        <s v="REG100904"/>
        <s v="REG100905"/>
        <s v="REG100906"/>
        <s v="REG100907"/>
        <s v="REG100908"/>
        <s v="REG100909"/>
        <s v="REG100910"/>
        <s v="REG100911"/>
        <s v="REG100912"/>
        <s v="REG100913"/>
        <s v="REG100914"/>
        <s v="REG100915"/>
        <s v="REG100916"/>
        <s v="REG100917"/>
        <s v="REG100918"/>
        <s v="REG100919"/>
        <s v="REG100920"/>
        <s v="REG100921"/>
        <s v="REG100922"/>
        <s v="REG100923"/>
        <s v="REG100924"/>
        <s v="REG100925"/>
        <s v="REG100926"/>
        <s v="REG100927"/>
        <s v="REG100928"/>
        <s v="REG100929"/>
        <s v="REG100930"/>
        <s v="REG100931"/>
        <s v="REG100932"/>
        <s v="REG100933"/>
        <s v="REG100934"/>
        <s v="REG100935"/>
        <s v="REG100936"/>
        <s v="REG100937"/>
        <s v="REG100938"/>
        <s v="REG100939"/>
        <s v="REG100940"/>
        <s v="REG100941"/>
        <s v="REG100942"/>
        <s v="REG100943"/>
        <s v="REG100944"/>
        <s v="REG100945"/>
        <s v="REG100946"/>
        <s v="REG100947"/>
        <s v="REG100948"/>
        <s v="REG100949"/>
        <s v="REG100950"/>
        <s v="REG100951"/>
        <s v="REG100952"/>
        <s v="REG100953"/>
        <s v="REG100954"/>
        <s v="REG100955"/>
        <s v="REG100956"/>
        <s v="REG100957"/>
        <s v="REG100958"/>
        <s v="REG100959"/>
        <s v="REG100960"/>
        <s v="REG100961"/>
        <s v="REG100962"/>
        <s v="REG100963"/>
        <s v="REG100964"/>
        <s v="REG100965"/>
        <s v="REG100966"/>
        <s v="REG100967"/>
        <s v="REG100968"/>
        <s v="REG100969"/>
        <s v="REG100970"/>
        <s v="REG100971"/>
        <s v="REG100972"/>
        <s v="REG100973"/>
        <s v="REG100974"/>
        <s v="REG100975"/>
        <s v="REG100976"/>
        <s v="REG100977"/>
        <s v="REG100978"/>
        <s v="REG100979"/>
        <s v="REG100980"/>
        <s v="REG100981"/>
        <s v="REG100982"/>
        <s v="REG100983"/>
        <s v="REG100984"/>
        <s v="REG100985"/>
        <s v="REG100986"/>
        <s v="REG100987"/>
        <s v="REG100988"/>
        <s v="REG100989"/>
        <s v="REG100990"/>
        <s v="REG100991"/>
        <s v="REG100992"/>
        <s v="REG100993"/>
        <s v="REG100994"/>
        <s v="REG100995"/>
        <s v="REG100996"/>
        <s v="REG100997"/>
        <s v="REG100998"/>
        <s v="REG100999"/>
        <s v="REG101000"/>
        <s v="REG101001"/>
        <s v="REG101002"/>
        <s v="REG101003"/>
        <s v="REG101004"/>
        <s v="REG101005"/>
        <s v="REG101006"/>
        <s v="REG101007"/>
        <s v="REG101008"/>
        <s v="REG101009"/>
        <s v="REG101010"/>
        <s v="REG101011"/>
        <s v="REG101012"/>
        <s v="REG101013"/>
        <s v="REG101014"/>
        <s v="REG101015"/>
        <s v="REG101016"/>
        <s v="REG101017"/>
        <s v="REG101018"/>
        <s v="REG101019"/>
        <s v="REG101020"/>
        <s v="REG101021"/>
        <s v="REG101022"/>
        <s v="REG101023"/>
        <s v="REG101024"/>
        <s v="REG101025"/>
        <s v="REG101026"/>
        <s v="REG101027"/>
        <s v="REG101028"/>
        <s v="REG101029"/>
        <s v="REG101030"/>
        <s v="REG101031"/>
        <s v="REG101032"/>
        <s v="REG101033"/>
        <s v="REG101034"/>
        <s v="REG101035"/>
        <s v="REG101036"/>
        <s v="REG101037"/>
        <s v="REG101038"/>
        <s v="REG101039"/>
        <s v="REG101040"/>
        <s v="REG101041"/>
        <s v="REG101042"/>
        <s v="REG101043"/>
        <s v="REG101044"/>
        <s v="REG101045"/>
        <s v="REG101046"/>
        <s v="REG101047"/>
        <s v="REG101048"/>
        <s v="REG101049"/>
        <s v="REG101050"/>
        <s v="REG101051"/>
        <s v="REG101052"/>
        <s v="REG101053"/>
        <s v="REG101054"/>
        <s v="REG101055"/>
        <s v="REG101056"/>
        <s v="REG101057"/>
        <s v="REG101058"/>
        <s v="REG101059"/>
        <s v="REG101060"/>
        <s v="REG101061"/>
        <s v="REG101062"/>
        <s v="REG101063"/>
        <s v="REG101064"/>
        <s v="REG101065"/>
        <s v="REG101066"/>
        <s v="REG101067"/>
        <s v="REG101068"/>
        <s v="REG101069"/>
        <s v="REG101070"/>
        <s v="REG101071"/>
        <s v="REG101072"/>
        <s v="REG101073"/>
        <s v="REG101074"/>
        <s v="REG101075"/>
        <s v="REG101076"/>
        <s v="REG101077"/>
        <s v="REG101078"/>
        <s v="REG101079"/>
        <s v="REG101080"/>
        <s v="REG101081"/>
        <s v="REG101082"/>
        <s v="REG101083"/>
        <s v="REG101084"/>
        <s v="REG101085"/>
        <s v="REG101086"/>
        <s v="REG101087"/>
        <s v="REG101088"/>
        <s v="REG101089"/>
        <s v="REG101090"/>
        <s v="REG101091"/>
        <s v="REG101092"/>
        <s v="REG101093"/>
        <s v="REG101094"/>
        <s v="REG101095"/>
        <s v="REG101096"/>
        <s v="REG101097"/>
        <s v="REG101098"/>
        <s v="REG101099"/>
        <s v="REG101100"/>
        <s v="REG101101"/>
        <s v="REG101102"/>
        <s v="REG101103"/>
        <s v="REG101104"/>
        <s v="REG101105"/>
        <s v="REG101106"/>
        <s v="REG101107"/>
        <s v="REG101108"/>
        <s v="REG101109"/>
        <s v="REG101110"/>
        <s v="REG101111"/>
        <s v="REG101112"/>
        <s v="REG101113"/>
        <s v="REG101114"/>
        <s v="REG101115"/>
        <s v="REG101116"/>
        <s v="REG101117"/>
        <s v="REG101118"/>
        <s v="REG101119"/>
        <s v="REG101120"/>
        <s v="REG101121"/>
        <s v="REG101122"/>
        <s v="REG101123"/>
        <s v="REG101124"/>
        <s v="REG101125"/>
        <s v="REG101126"/>
        <s v="REG101127"/>
        <s v="REG101128"/>
        <s v="REG101129"/>
        <s v="REG101130"/>
        <s v="REG101131"/>
        <s v="REG101132"/>
        <s v="REG101133"/>
        <s v="REG101134"/>
        <s v="REG101135"/>
        <s v="REG101136"/>
        <s v="REG101137"/>
        <s v="REG101138"/>
        <s v="REG101139"/>
        <s v="REG101140"/>
        <s v="REG101141"/>
        <s v="REG101142"/>
        <s v="REG101143"/>
        <s v="REG101144"/>
        <s v="REG101145"/>
        <s v="REG101146"/>
        <s v="REG101147"/>
        <s v="REG101148"/>
        <s v="REG101149"/>
        <s v="REG101150"/>
        <s v="REG101151"/>
        <s v="REG101152"/>
        <s v="REG101153"/>
        <s v="REG101154"/>
        <s v="REG101155"/>
        <s v="REG101156"/>
        <s v="REG101157"/>
        <s v="REG101158"/>
        <s v="REG101159"/>
        <s v="REG101160"/>
        <s v="REG101161"/>
        <s v="REG101162"/>
        <s v="REG101163"/>
        <s v="REG101164"/>
        <s v="REG101165"/>
        <s v="REG101166"/>
        <s v="REG101167"/>
        <s v="REG101168"/>
        <s v="REG101169"/>
        <s v="REG101170"/>
        <s v="REG101171"/>
        <s v="REG101172"/>
        <s v="REG101173"/>
        <s v="REG101174"/>
        <s v="REG101175"/>
        <s v="REG101176"/>
        <s v="REG101177"/>
        <s v="REG101178"/>
        <s v="REG101179"/>
        <s v="REG101180"/>
        <s v="REG101181"/>
        <s v="REG101182"/>
        <s v="REG101183"/>
        <s v="REG101184"/>
        <s v="REG101185"/>
        <s v="REG101186"/>
        <s v="REG101187"/>
        <s v="REG101188"/>
        <s v="REG101189"/>
        <s v="REG101190"/>
        <s v="REG101191"/>
        <s v="REG101192"/>
        <s v="REG101193"/>
        <s v="REG101194"/>
        <s v="REG101195"/>
        <s v="REG101196"/>
        <s v="REG101197"/>
        <s v="REG101198"/>
        <s v="REG101199"/>
        <s v="REG101200"/>
        <s v="REG101201"/>
        <s v="REG101202"/>
        <s v="REG101203"/>
        <s v="REG101204"/>
        <s v="REG101205"/>
        <s v="REG101206"/>
        <s v="REG101207"/>
        <s v="REG101208"/>
        <s v="REG101209"/>
        <s v="REG101210"/>
        <s v="REG101211"/>
        <s v="REG101212"/>
        <s v="REG101213"/>
        <s v="REG101214"/>
        <s v="REG101215"/>
        <s v="REG101216"/>
        <s v="REG101217"/>
        <s v="REG101218"/>
        <s v="REG101219"/>
        <s v="REG101220"/>
        <s v="REG101221"/>
        <s v="REG101222"/>
        <s v="REG101223"/>
        <s v="REG101224"/>
        <s v="REG101225"/>
        <s v="REG101226"/>
        <s v="REG101227"/>
        <s v="REG101228"/>
        <s v="REG101229"/>
        <s v="REG101230"/>
        <s v="REG101231"/>
        <s v="REG101232"/>
        <s v="REG101233"/>
        <s v="REG101234"/>
        <s v="REG101235"/>
        <s v="REG101236"/>
        <s v="REG101237"/>
        <s v="REG101238"/>
        <s v="REG101239"/>
        <s v="REG101240"/>
        <s v="REG101241"/>
        <s v="REG101242"/>
        <s v="REG101243"/>
        <s v="REG101244"/>
        <s v="REG101245"/>
        <s v="REG101246"/>
        <s v="REG101247"/>
        <s v="REG101248"/>
        <s v="REG101249"/>
        <s v="REG101250"/>
        <s v="REG101251"/>
        <s v="REG101252"/>
        <s v="REG101253"/>
        <s v="REG101254"/>
        <s v="REG101255"/>
        <s v="REG101256"/>
        <s v="REG101257"/>
        <s v="REG101258"/>
        <s v="REG101259"/>
        <s v="REG101260"/>
        <s v="REG101261"/>
        <s v="REG101262"/>
        <s v="REG101263"/>
        <s v="REG101264"/>
        <s v="REG101265"/>
        <s v="REG101266"/>
        <s v="REG101267"/>
        <s v="REG101268"/>
        <s v="REG101269"/>
        <s v="REG101270"/>
        <s v="REG101271"/>
        <s v="REG101272"/>
        <s v="REG101273"/>
        <s v="REG101274"/>
        <s v="REG101275"/>
        <s v="REG101276"/>
        <s v="REG101277"/>
        <s v="REG101278"/>
        <s v="REG101279"/>
        <s v="REG101280"/>
        <s v="REG101281"/>
        <s v="REG101282"/>
        <s v="REG101283"/>
        <s v="REG101284"/>
        <s v="REG101285"/>
        <s v="REG101286"/>
        <s v="REG101287"/>
        <s v="REG101288"/>
        <s v="REG101289"/>
        <s v="REG101290"/>
        <s v="REG101291"/>
        <s v="REG101292"/>
        <s v="REG101293"/>
        <s v="REG101294"/>
        <s v="REG101295"/>
        <s v="REG101296"/>
        <s v="REG101297"/>
        <s v="REG101298"/>
        <s v="REG101299"/>
        <s v="REG101300"/>
        <s v="REG101301"/>
        <s v="REG101302"/>
        <s v="REG101303"/>
        <s v="REG101304"/>
        <s v="REG101305"/>
        <s v="REG101306"/>
        <s v="REG101307"/>
        <s v="REG101308"/>
        <s v="REG101309"/>
        <s v="REG101310"/>
        <s v="REG101311"/>
        <s v="REG101312"/>
        <s v="REG101313"/>
        <s v="REG101314"/>
        <s v="REG101315"/>
        <s v="REG101316"/>
        <s v="REG101317"/>
        <s v="REG101318"/>
        <s v="REG101319"/>
        <s v="REG101320"/>
        <s v="REG101321"/>
        <s v="REG101322"/>
        <s v="REG101323"/>
        <s v="REG101324"/>
        <s v="REG101325"/>
        <s v="REG101326"/>
        <s v="REG101327"/>
        <s v="REG101328"/>
        <s v="REG101329"/>
        <s v="REG101330"/>
        <s v="REG101331"/>
        <s v="REG101332"/>
        <s v="REG101333"/>
        <s v="REG101334"/>
        <s v="REG101335"/>
        <s v="REG101336"/>
        <s v="REG101337"/>
        <s v="REG101338"/>
        <s v="REG101339"/>
        <s v="REG101340"/>
        <s v="REG101341"/>
        <s v="REG101342"/>
        <s v="REG101343"/>
        <s v="REG101344"/>
        <s v="REG101345"/>
        <s v="REG101346"/>
        <s v="REG101347"/>
        <s v="REG101348"/>
        <s v="REG101349"/>
        <s v="REG101350"/>
        <s v="REG101351"/>
        <s v="REG101352"/>
        <s v="REG101353"/>
        <s v="REG101354"/>
        <s v="REG101355"/>
        <s v="REG101356"/>
        <s v="REG101357"/>
        <s v="REG101358"/>
        <s v="REG101359"/>
        <s v="REG101360"/>
        <s v="REG101361"/>
        <s v="REG101362"/>
        <s v="REG101363"/>
        <s v="REG101364"/>
        <s v="REG101365"/>
        <s v="REG101366"/>
        <s v="REG101367"/>
        <s v="REG101368"/>
        <s v="REG101369"/>
        <s v="REG101370"/>
        <s v="REG101371"/>
        <s v="REG101372"/>
        <s v="REG101373"/>
        <s v="REG101374"/>
        <s v="REG101375"/>
        <s v="REG101376"/>
        <s v="REG101377"/>
        <s v="REG101378"/>
        <s v="REG101379"/>
        <s v="REG101380"/>
        <s v="REG101381"/>
        <s v="REG101382"/>
        <s v="REG101383"/>
        <s v="REG101384"/>
        <s v="REG101385"/>
        <s v="REG101386"/>
        <s v="REG101387"/>
        <s v="REG101388"/>
        <s v="REG101389"/>
        <s v="REG101390"/>
        <s v="REG101391"/>
        <s v="REG101392"/>
        <s v="REG101393"/>
        <s v="REG101394"/>
        <s v="REG101395"/>
        <s v="REG101396"/>
        <s v="REG101397"/>
        <s v="REG101398"/>
        <s v="REG101399"/>
        <s v="REG101400"/>
        <s v="REG101401"/>
        <s v="REG101402"/>
        <s v="REG101403"/>
        <s v="REG101404"/>
        <s v="REG101405"/>
        <s v="REG101406"/>
        <s v="REG101407"/>
        <s v="REG101408"/>
        <s v="REG101409"/>
        <s v="REG101410"/>
        <s v="REG101411"/>
        <s v="REG101412"/>
        <s v="REG101413"/>
        <s v="REG101414"/>
        <s v="REG101415"/>
        <s v="REG101416"/>
        <s v="REG101417"/>
        <s v="REG101418"/>
        <s v="REG101419"/>
        <s v="REG101420"/>
        <s v="REG101421"/>
        <s v="REG101422"/>
        <s v="REG101423"/>
        <s v="REG101424"/>
        <s v="REG101425"/>
        <s v="REG101426"/>
        <s v="REG101427"/>
        <s v="REG101428"/>
        <s v="REG101429"/>
        <s v="REG101430"/>
        <s v="REG101431"/>
        <s v="REG101432"/>
        <s v="REG101433"/>
        <s v="REG101434"/>
        <s v="REG101435"/>
        <s v="REG101436"/>
        <s v="REG101437"/>
        <s v="REG101438"/>
        <s v="REG101439"/>
        <s v="REG101440"/>
        <s v="REG101441"/>
        <s v="REG101442"/>
        <s v="REG101443"/>
        <s v="REG101444"/>
        <s v="REG101445"/>
        <s v="REG101446"/>
        <s v="REG101447"/>
        <s v="REG101448"/>
        <s v="REG101449"/>
        <s v="REG101450"/>
        <s v="REG101451"/>
        <s v="REG101452"/>
        <s v="REG101453"/>
        <s v="REG101454"/>
        <s v="REG101455"/>
        <s v="REG101456"/>
        <s v="REG101457"/>
        <s v="REG101458"/>
        <s v="REG101459"/>
        <s v="REG101460"/>
        <s v="REG101461"/>
        <s v="REG101462"/>
        <s v="REG101463"/>
        <s v="REG101464"/>
        <s v="REG101465"/>
        <s v="REG101466"/>
        <s v="REG101467"/>
        <s v="REG101468"/>
        <s v="REG101469"/>
        <s v="REG101470"/>
        <s v="REG101471"/>
        <s v="REG101472"/>
        <s v="REG101473"/>
        <s v="REG101474"/>
        <s v="REG101475"/>
        <s v="REG101476"/>
        <s v="REG101477"/>
        <s v="REG101478"/>
        <s v="REG101479"/>
        <s v="REG101480"/>
        <s v="REG101481"/>
        <s v="REG101482"/>
        <s v="REG101483"/>
        <s v="REG101484"/>
        <s v="REG101485"/>
        <s v="REG101486"/>
        <s v="REG101487"/>
        <s v="REG101488"/>
        <s v="REG101489"/>
        <s v="REG101490"/>
        <s v="REG101491"/>
        <s v="REG101492"/>
        <s v="REG101493"/>
        <s v="REG101494"/>
        <s v="REG101495"/>
        <s v="REG101496"/>
        <s v="REG101497"/>
        <s v="REG101498"/>
        <s v="REG101499"/>
      </sharedItems>
    </cacheField>
    <cacheField name="CustomerName" numFmtId="0">
      <sharedItems/>
    </cacheField>
    <cacheField name="ShippingCost" numFmtId="0">
      <sharedItems containsSemiMixedTypes="0" containsString="0" containsNumber="1" minValue="5.01" maxValue="49.98"/>
    </cacheField>
    <cacheField name="OrderDate" numFmtId="14">
      <sharedItems containsSemiMixedTypes="0" containsNonDate="0" containsDate="1" containsString="0" minDate="2023-01-01T00:00:00" maxDate="2025-07-01T00:00:00" count="747">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d v="2023-06-01T00:00:00"/>
        <d v="2025-04-17T00:00:00"/>
        <d v="2025-03-31T00:00:00"/>
        <d v="2024-08-30T00:00:00"/>
        <d v="2025-01-07T00:00:00"/>
        <d v="2025-02-05T00:00:00"/>
        <d v="2023-07-03T00:00:00"/>
        <d v="2023-04-25T00:00:00"/>
        <d v="2025-04-09T00:00:00"/>
        <d v="2023-11-05T00:00:00"/>
        <d v="2023-01-13T00:00:00"/>
        <d v="2025-02-06T00:00:00"/>
        <d v="2025-06-18T00:00:00"/>
        <d v="2024-11-09T00:00:00"/>
        <d v="2023-08-19T00:00:00"/>
        <d v="2023-11-13T00:00:00"/>
        <d v="2024-09-10T00:00:00"/>
        <d v="2024-11-10T00:00:00"/>
        <d v="2023-04-13T00:00:00"/>
        <d v="2023-11-20T00:00:00"/>
        <d v="2023-03-04T00:00:00"/>
        <d v="2024-05-25T00:00:00"/>
        <d v="2023-03-07T00:00:00"/>
        <d v="2024-10-31T00:00:00"/>
        <d v="2024-05-08T00:00:00"/>
        <d v="2024-03-05T00:00:00"/>
        <d v="2023-07-18T00:00:00"/>
        <d v="2023-09-18T00:00:00"/>
        <d v="2023-03-27T00:00:00"/>
        <d v="2023-03-08T00:00:00"/>
        <d v="2024-05-02T00:00:00"/>
        <d v="2023-06-13T00:00:00"/>
        <d v="2024-11-23T00:00:00"/>
        <d v="2024-02-09T00:00:00"/>
        <d v="2023-11-16T00:00:00"/>
        <d v="2025-05-17T00:00:00"/>
        <d v="2023-11-29T00:00:00"/>
        <d v="2023-02-24T00:00:00"/>
        <d v="2023-11-04T00:00:00"/>
        <d v="2024-06-15T00:00:00"/>
        <d v="2024-10-02T00:00:00"/>
        <d v="2023-06-03T00:00:00"/>
        <d v="2023-09-10T00:00:00"/>
        <d v="2025-05-20T00:00:00"/>
        <d v="2023-09-24T00:00:00"/>
        <d v="2023-06-17T00:00:00"/>
        <d v="2023-03-14T00:00:00"/>
        <d v="2025-01-09T00:00:00"/>
        <d v="2025-03-30T00:00:00"/>
        <d v="2024-02-26T00:00:00"/>
        <d v="2024-10-30T00:00:00"/>
        <d v="2024-08-19T00:00:00"/>
        <d v="2023-07-30T00:00:00"/>
        <d v="2024-08-13T00:00:00"/>
        <d v="2023-06-23T00:00:00"/>
        <d v="2024-09-21T00:00:00"/>
        <d v="2025-01-02T00:00:00"/>
        <d v="2024-05-04T00:00:00"/>
        <d v="2025-02-27T00:00:00"/>
        <d v="2024-11-13T00:00:00"/>
        <d v="2023-10-31T00:00:00"/>
        <d v="2023-12-19T00:00:00"/>
        <d v="2023-08-15T00:00:00"/>
        <d v="2023-01-16T00:00:00"/>
        <d v="2025-02-28T00:00:00"/>
        <d v="2023-12-04T00:00:00"/>
        <d v="2024-06-21T00:00:00"/>
        <d v="2023-08-17T00:00:00"/>
        <d v="2023-06-29T00:00:00"/>
        <d v="2023-08-13T00:00:00"/>
        <d v="2023-07-15T00:00:00"/>
        <d v="2025-02-21T00:00:00"/>
        <d v="2023-07-19T00:00:00"/>
        <d v="2024-09-29T00:00:00"/>
        <d v="2024-10-17T00:00:00"/>
        <d v="2024-01-19T00:00:00"/>
        <d v="2023-12-03T00:00:00"/>
        <d v="2024-06-19T00:00:00"/>
        <d v="2023-10-02T00:00:00"/>
        <d v="2023-06-18T00:00:00"/>
        <d v="2024-06-14T00:00:00"/>
        <d v="2024-04-05T00:00:00"/>
        <d v="2023-04-26T00:00:00"/>
        <d v="2024-10-11T00:00:00"/>
        <d v="2025-06-14T00:00:00"/>
        <d v="2024-12-22T00:00:00"/>
        <d v="2024-04-22T00:00:00"/>
        <d v="2023-03-16T00:00:00"/>
        <d v="2023-05-06T00:00:00"/>
        <d v="2024-04-30T00:00:00"/>
        <d v="2025-03-11T00:00:00"/>
        <d v="2024-06-02T00:00:00"/>
        <d v="2024-09-01T00:00:00"/>
        <d v="2025-01-11T00:00:00"/>
        <d v="2024-11-28T00:00:00"/>
        <d v="2023-07-05T00:00:00"/>
        <d v="2024-10-24T00:00:00"/>
        <d v="2025-04-08T00:00:00"/>
        <d v="2024-06-05T00:00:00"/>
        <d v="2023-01-20T00:00:00"/>
        <d v="2024-01-12T00:00:00"/>
        <d v="2024-04-08T00:00:00"/>
        <d v="2024-07-17T00:00:00"/>
        <d v="2024-02-17T00:00:00"/>
        <d v="2023-06-25T00:00:00"/>
        <d v="2023-04-17T00:00:00"/>
        <d v="2023-06-28T00:00:00"/>
        <d v="2024-04-06T00:00:00"/>
        <d v="2023-01-08T00:00:00"/>
        <d v="2024-07-13T00:00:00"/>
        <d v="2024-03-19T00:00:00"/>
        <d v="2025-01-19T00:00:00"/>
        <d v="2023-05-28T00:00:00"/>
        <d v="2023-11-25T00:00:00"/>
        <d v="2024-11-17T00:00:00"/>
        <d v="2025-01-13T00:00:00"/>
        <d v="2025-01-06T00:00:00"/>
        <d v="2023-02-22T00:00:00"/>
        <d v="2023-07-01T00:00:00"/>
        <d v="2023-04-29T00:00:00"/>
        <d v="2023-04-30T00:00:00"/>
        <d v="2023-03-23T00:00:00"/>
        <d v="2024-12-10T00:00:00"/>
        <d v="2025-01-01T00:00:00"/>
        <d v="2024-01-16T00:00:00"/>
        <d v="2023-12-08T00:00:00"/>
        <d v="2023-03-15T00:00:00"/>
        <d v="2025-02-07T00:00:00"/>
        <d v="2025-06-27T00:00:00"/>
        <d v="2024-12-17T00:00:00"/>
        <d v="2023-12-26T00:00:00"/>
        <d v="2024-05-13T00:00:00"/>
        <d v="2023-10-07T00:00:00"/>
        <d v="2023-07-11T00:00:00"/>
        <d v="2023-02-04T00:00:00"/>
        <d v="2023-09-02T00:00:00"/>
        <d v="2023-10-13T00:00:00"/>
        <d v="2024-10-03T00:00:00"/>
        <d v="2024-04-28T00:00:00"/>
        <d v="2024-02-07T00:00:00"/>
        <d v="2024-07-29T00:00:00"/>
        <d v="2024-01-18T00:00:00"/>
        <d v="2025-04-16T00:00:00"/>
        <d v="2023-01-07T00:00:00"/>
        <d v="2023-10-24T00:00:00"/>
        <d v="2024-09-17T00:00:00"/>
        <d v="2024-05-05T00:00:00"/>
        <d v="2024-02-29T00:00:00"/>
        <d v="2025-05-19T00:00:00"/>
        <d v="2024-12-02T00:00:00"/>
        <d v="2024-07-10T00:00:00"/>
        <d v="2023-01-06T00:00:00"/>
        <d v="2023-12-11T00:00:00"/>
        <d v="2025-02-19T00:00:00"/>
        <d v="2023-09-22T00:00:00"/>
        <d v="2023-12-23T00:00:00"/>
        <d v="2025-04-21T00:00:00"/>
        <d v="2023-12-13T00:00:00"/>
        <d v="2024-04-24T00:00:00"/>
        <d v="2023-09-11T00:00:00"/>
        <d v="2025-06-06T00:00:00"/>
        <d v="2024-12-23T00:00:00"/>
        <d v="2023-08-27T00:00:00"/>
        <d v="2025-04-22T00:00:00"/>
        <d v="2023-09-06T00:00:00"/>
        <d v="2023-01-21T00:00:00"/>
        <d v="2024-04-26T00:00:00"/>
        <d v="2023-12-30T00:00:00"/>
        <d v="2024-07-27T00:00:00"/>
        <d v="2024-01-15T00:00:00"/>
        <d v="2024-01-04T00:00:00"/>
        <d v="2023-02-09T00:00:00"/>
        <d v="2023-08-16T00:00:00"/>
        <d v="2024-10-08T00:00:00"/>
        <d v="2023-12-25T00:00:00"/>
        <d v="2024-05-11T00:00:00"/>
        <d v="2023-11-23T00:00:00"/>
        <d v="2023-12-10T00:00:00"/>
        <d v="2024-02-03T00:00:00"/>
        <d v="2024-03-06T00:00:00"/>
        <d v="2025-02-01T00:00:00"/>
        <d v="2023-02-15T00:00:00"/>
        <d v="2024-05-16T00:00:00"/>
        <d v="2024-04-13T00:00:00"/>
        <d v="2024-08-29T00:00:00"/>
        <d v="2023-05-17T00:00:00"/>
        <d v="2024-01-27T00:00:00"/>
        <d v="2025-05-26T00:00:00"/>
        <d v="2025-05-05T00:00:00"/>
        <d v="2024-11-01T00:00:00"/>
        <d v="2024-04-23T00:00:00"/>
        <d v="2024-06-24T00:00:00"/>
        <d v="2023-03-12T00:00:00"/>
        <d v="2023-12-28T00:00:00"/>
        <d v="2025-03-10T00:00:00"/>
        <d v="2023-09-09T00:00:00"/>
        <d v="2023-09-30T00:00:00"/>
        <d v="2023-03-05T00:00:00"/>
        <d v="2024-05-20T00:00:00"/>
        <d v="2023-01-15T00:00:00"/>
        <d v="2023-07-12T00:00:00"/>
        <d v="2025-06-21T00:00:00"/>
        <d v="2024-12-29T00:00:00"/>
        <d v="2023-05-23T00:00:00"/>
        <d v="2024-04-03T00:00:00"/>
        <d v="2024-01-17T00:00:00"/>
        <d v="2025-04-05T00:00:00"/>
        <d v="2024-10-12T00:00:00"/>
        <d v="2025-01-10T00:00:00"/>
        <d v="2024-05-22T00:00:00"/>
        <d v="2023-06-21T00:00:00"/>
        <d v="2025-01-26T00:00:00"/>
        <d v="2024-06-18T00:00:00"/>
        <d v="2024-10-29T00:00:00"/>
        <d v="2023-01-31T00:00:00"/>
        <d v="2025-03-16T00:00:00"/>
        <d v="2024-04-20T00:00:00"/>
        <d v="2024-12-20T00:00:00"/>
        <d v="2023-08-22T00:00:00"/>
        <d v="2024-12-09T00:00:00"/>
        <d v="2024-07-04T00:00:00"/>
        <d v="2025-03-12T00:00:00"/>
        <d v="2025-05-31T00:00:00"/>
        <d v="2023-10-11T00:00:00"/>
        <d v="2023-08-07T00:00:00"/>
        <d v="2024-08-01T00:00:00"/>
        <d v="2023-03-20T00:00:00"/>
        <d v="2024-05-19T00:00:00"/>
        <d v="2024-07-09T00:00:00"/>
        <d v="2025-06-28T00:00:00"/>
        <d v="2024-03-09T00:00:00"/>
        <d v="2025-06-24T00:00:00"/>
        <d v="2023-10-19T00:00:00"/>
        <d v="2024-06-17T00:00:00"/>
        <d v="2025-01-03T00:00:00"/>
        <d v="2025-04-26T00:00:00"/>
        <d v="2023-06-08T00:00:00"/>
        <d v="2025-05-23T00:00:00"/>
        <d v="2024-06-11T00:00:00"/>
        <d v="2023-05-12T00:00:00"/>
        <d v="2024-10-20T00:00:00"/>
        <d v="2024-04-04T00:00:00"/>
        <d v="2023-07-24T00:00:00"/>
        <d v="2024-07-20T00:00:00"/>
        <d v="2023-02-17T00:00:00"/>
        <d v="2024-07-02T00:00:00"/>
        <d v="2025-06-02T00:00:00"/>
        <d v="2024-11-21T00:00:00"/>
        <d v="2024-01-10T00:00:00"/>
        <d v="2024-01-06T00:00:00"/>
        <d v="2023-08-02T00:00:00"/>
        <d v="2024-05-06T00:00:00"/>
        <d v="2024-09-15T00:00:00"/>
        <d v="2023-03-01T00:00:00"/>
        <d v="2024-06-06T00:00:00"/>
        <d v="2023-09-20T00:00:00"/>
        <d v="2023-03-22T00:00:00"/>
        <d v="2023-09-05T00:00:00"/>
        <d v="2024-11-26T00:00:00"/>
        <d v="2024-10-14T00:00:00"/>
        <d v="2023-05-29T00:00:00"/>
        <d v="2023-04-22T00:00:00"/>
        <d v="2024-10-04T00:00:00"/>
        <d v="2025-04-06T00:00:00"/>
        <d v="2024-01-13T00:00:00"/>
        <d v="2025-02-23T00:00:00"/>
        <d v="2024-10-18T00:00:00"/>
        <d v="2023-01-10T00:00:00"/>
        <d v="2023-12-20T00:00:00"/>
        <d v="2024-12-03T00:00:00"/>
        <d v="2025-03-26T00:00:00"/>
        <d v="2023-05-05T00:00:00"/>
        <d v="2023-09-23T00:00:00"/>
        <d v="2023-01-17T00:00:00"/>
        <d v="2025-02-16T00:00:00"/>
        <d v="2023-06-05T00:00:00"/>
        <d v="2023-08-01T00:00:00"/>
        <d v="2025-05-09T00:00:00"/>
        <d v="2024-01-08T00:00:00"/>
        <d v="2025-04-03T00:00:00"/>
        <d v="2023-01-26T00:00:00"/>
        <d v="2025-01-15T00:00:00"/>
        <d v="2024-11-30T00:00:00"/>
        <d v="2024-06-27T00:00:00"/>
        <d v="2024-08-18T00:00:00"/>
        <d v="2023-02-20T00:00:00"/>
        <d v="2025-04-28T00:00:00"/>
        <d v="2025-02-04T00:00:00"/>
        <d v="2024-02-21T00:00:00"/>
        <d v="2023-03-24T00:00:00"/>
        <d v="2025-01-04T00:00:00"/>
        <d v="2023-01-29T00:00:00"/>
        <d v="2024-03-29T00:00:00"/>
        <d v="2025-05-28T00:00:00"/>
        <d v="2024-05-24T00:00:00"/>
        <d v="2023-07-06T00:00:00"/>
        <d v="2025-01-29T00:00:00"/>
        <d v="2025-03-23T00:00:00"/>
        <d v="2024-04-11T00:00:00"/>
        <d v="2025-04-30T00:00:00"/>
        <d v="2023-04-02T00:00:00"/>
        <d v="2023-11-10T00:00:00"/>
        <d v="2025-01-27T00:00:00"/>
        <d v="2024-03-04T00:00:00"/>
        <d v="2025-02-18T00:00:00"/>
        <d v="2024-07-16T00:00:00"/>
        <d v="2024-02-01T00:00:00"/>
        <d v="2024-01-20T00:00:00"/>
        <d v="2024-06-26T00:00:00"/>
        <d v="2024-12-12T00:00:00"/>
        <d v="2024-12-01T00:00:00"/>
        <d v="2024-09-03T00:00:00"/>
        <d v="2025-02-22T00:00:00"/>
        <d v="2023-04-18T00:00:00"/>
        <d v="2024-02-25T00:00:00"/>
        <d v="2025-04-10T00:00:00"/>
        <d v="2024-02-14T00:00:00"/>
        <d v="2023-09-12T00:00:00"/>
        <d v="2024-02-28T00:00:00"/>
        <d v="2023-05-19T00:00:00"/>
        <d v="2024-12-14T00:00:00"/>
        <d v="2023-10-25T00:00:00"/>
        <d v="2023-07-10T00:00:00"/>
        <d v="2024-08-06T00:00:00"/>
        <d v="2024-01-31T00:00:00"/>
        <d v="2023-10-29T00:00:00"/>
        <d v="2024-06-12T00:00:00"/>
        <d v="2023-05-04T00:00:00"/>
        <d v="2024-11-03T00:00:00"/>
        <d v="2023-10-16T00:00:00"/>
        <d v="2023-05-21T00:00:00"/>
        <d v="2024-03-26T00:00:00"/>
        <d v="2024-09-25T00:00:00"/>
        <d v="2023-04-06T00:00:00"/>
        <d v="2024-12-15T00:00:00"/>
        <d v="2024-08-21T00:00:00"/>
        <d v="2023-08-24T00:00:00"/>
        <d v="2024-08-09T00:00:00"/>
        <d v="2024-08-20T00:00:00"/>
        <d v="2023-06-26T00:00:00"/>
        <d v="2023-08-20T00:00:00"/>
        <d v="2024-10-28T00:00:00"/>
        <d v="2023-12-07T00:00:00"/>
        <d v="2025-06-17T00:00:00"/>
        <d v="2023-01-19T00:00:00"/>
        <d v="2023-07-09T00:00:00"/>
        <d v="2025-02-08T00:00:00"/>
        <d v="2025-04-25T00:00:00"/>
        <d v="2024-05-21T00:00:00"/>
        <d v="2023-10-22T00:00:00"/>
        <d v="2025-05-18T00:00:00"/>
        <d v="2025-02-09T00:00:00"/>
        <d v="2025-02-15T00:00:00"/>
        <d v="2023-08-08T00:00:00"/>
        <d v="2023-08-21T00:00:00"/>
        <d v="2023-12-06T00:00:00"/>
        <d v="2025-02-11T00:00:00"/>
        <d v="2024-08-08T00:00:00"/>
        <d v="2024-09-04T00:00:00"/>
        <d v="2024-12-30T00:00:00"/>
        <d v="2024-02-10T00:00:00"/>
        <d v="2023-08-11T00:00:00"/>
        <d v="2024-01-07T00:00:00"/>
        <d v="2023-01-14T00:00:00"/>
        <d v="2024-10-06T00:00:00"/>
        <d v="2023-10-06T00:00:00"/>
        <d v="2024-06-23T00:00:00"/>
        <d v="2025-01-14T00:00:00"/>
        <d v="2024-04-07T00:00:00"/>
        <d v="2024-11-25T00:00:00"/>
        <d v="2024-11-29T00:00:00"/>
        <d v="2024-04-16T00:00:00"/>
        <d v="2023-04-08T00:00:00"/>
        <d v="2023-01-30T00:00:00"/>
        <d v="2024-10-27T00:00:00"/>
        <d v="2025-03-24T00:00:00"/>
        <d v="2025-05-03T00:00:00"/>
        <d v="2025-01-05T00:00:00"/>
        <d v="2024-03-12T00:00:00"/>
        <d v="2024-07-03T00:00:00"/>
        <d v="2024-02-04T00:00:00"/>
        <d v="2025-05-02T00:00:00"/>
        <d v="2023-11-12T00:00:00"/>
        <d v="2025-05-07T00:00:00"/>
        <d v="2025-04-24T00:00:00"/>
        <d v="2024-11-07T00:00:00"/>
        <d v="2024-07-26T00:00:00"/>
        <d v="2024-03-25T00:00:00"/>
        <d v="2023-10-20T00:00:00"/>
        <d v="2024-09-19T00:00:00"/>
        <d v="2024-12-31T00:00:00"/>
        <d v="2023-11-15T00:00:00"/>
        <d v="2023-11-24T00:00:00"/>
        <d v="2025-05-15T00:00:00"/>
        <d v="2024-02-06T00:00:00"/>
        <d v="2025-05-14T00:00:00"/>
        <d v="2024-02-19T00:00:00"/>
        <d v="2023-05-07T00:00:00"/>
        <d v="2024-07-28T00:00:00"/>
        <d v="2024-07-05T00:00:00"/>
        <d v="2023-08-03T00:00:00"/>
        <d v="2024-02-05T00:00:00"/>
        <d v="2023-03-31T00:00:00"/>
        <d v="2023-08-18T00:00:00"/>
        <d v="2024-08-03T00:00:00"/>
        <d v="2023-05-26T00:00:00"/>
        <d v="2024-10-25T00:00:00"/>
        <d v="2024-03-30T00:00:00"/>
        <d v="2023-06-02T00:00:00"/>
        <d v="2024-12-06T00:00:00"/>
        <d v="2023-01-18T00:00:00"/>
        <d v="2024-05-29T00:00:00"/>
        <d v="2023-03-02T00:00:00"/>
        <d v="2023-01-04T00:00:00"/>
        <d v="2024-09-23T00:00:00"/>
        <d v="2023-09-13T00:00:00"/>
        <d v="2024-06-22T00:00:00"/>
        <d v="2025-01-22T00:00:00"/>
        <d v="2023-04-20T00:00:00"/>
        <d v="2025-06-23T00:00:00"/>
        <d v="2024-06-09T00:00:00"/>
        <d v="2024-07-24T00:00:00"/>
        <d v="2023-10-08T00:00:00"/>
        <d v="2023-01-02T00:00:00"/>
        <d v="2023-09-04T00:00:00"/>
        <d v="2023-12-17T00:00:00"/>
        <d v="2023-05-11T00:00:00"/>
        <d v="2024-08-16T00:00:00"/>
        <d v="2025-05-30T00:00:00"/>
        <d v="2025-01-28T00:00:00"/>
        <d v="2024-11-27T00:00:00"/>
        <d v="2023-10-09T00:00:00"/>
        <d v="2024-07-21T00:00:00"/>
        <d v="2024-09-24T00:00:00"/>
        <d v="2024-01-11T00:00:00"/>
      </sharedItems>
      <fieldGroup par="20"/>
    </cacheField>
    <cacheField name="DeliveryDate" numFmtId="14">
      <sharedItems containsSemiMixedTypes="0" containsNonDate="0" containsDate="1" containsString="0" minDate="2023-01-08T00:00:00" maxDate="2025-07-11T00:00:00"/>
    </cacheField>
    <cacheField name="RegionManager" numFmtId="0">
      <sharedItems/>
    </cacheField>
    <cacheField name="Sales" numFmtId="0">
      <sharedItems containsSemiMixedTypes="0" containsString="0" containsNumber="1" containsInteger="1" minValue="7" maxValue="11080"/>
    </cacheField>
    <cacheField name="Months (OrderDate)" numFmtId="0" databaseField="0">
      <fieldGroup base="14">
        <rangePr groupBy="months" startDate="2023-01-01T00:00:00" endDate="2025-07-01T00:00:00"/>
        <groupItems count="14">
          <s v="&lt;01-01-2023"/>
          <s v="Jan"/>
          <s v="Feb"/>
          <s v="Mar"/>
          <s v="Apr"/>
          <s v="May"/>
          <s v="Jun"/>
          <s v="Jul"/>
          <s v="Aug"/>
          <s v="Sep"/>
          <s v="Oct"/>
          <s v="Nov"/>
          <s v="Dec"/>
          <s v="&gt;01-07-2025"/>
        </groupItems>
      </fieldGroup>
    </cacheField>
    <cacheField name="Quarters (OrderDate)" numFmtId="0" databaseField="0">
      <fieldGroup base="14">
        <rangePr groupBy="quarters" startDate="2023-01-01T00:00:00" endDate="2025-07-01T00:00:00"/>
        <groupItems count="6">
          <s v="&lt;01-01-2023"/>
          <s v="Qtr1"/>
          <s v="Qtr2"/>
          <s v="Qtr3"/>
          <s v="Qtr4"/>
          <s v="&gt;01-07-2025"/>
        </groupItems>
      </fieldGroup>
    </cacheField>
    <cacheField name="Years (OrderDate)" numFmtId="0" databaseField="0">
      <fieldGroup base="14">
        <rangePr groupBy="years" startDate="2023-01-01T00:00:00" endDate="2025-07-01T00:00:00"/>
        <groupItems count="5">
          <s v="&lt;01-01-2023"/>
          <s v="2023"/>
          <s v="2024"/>
          <s v="2025"/>
          <s v="&gt;01-07-2025"/>
        </groupItems>
      </fieldGroup>
    </cacheField>
    <cacheField name="Return Rate" numFmtId="0" formula="SUM(Returned)/COUNT(OrderID)" databaseField="0"/>
  </cacheFields>
  <extLst>
    <ext xmlns:x14="http://schemas.microsoft.com/office/spreadsheetml/2009/9/main" uri="{725AE2AE-9491-48be-B2B4-4EB974FC3084}">
      <x14:pivotCacheDefinition pivotCacheId="6389390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d v="2023-02-23T00:00:00"/>
    <x v="0"/>
    <x v="0"/>
    <n v="14"/>
    <n v="164"/>
    <x v="0"/>
    <s v="Wholesale"/>
    <n v="0"/>
    <x v="0"/>
    <x v="0"/>
    <n v="0"/>
    <x v="0"/>
    <s v="Cust 6583"/>
    <n v="43.34"/>
    <x v="0"/>
    <d v="2023-02-27T00:00:00"/>
    <s v="Eric"/>
    <n v="2296"/>
  </r>
  <r>
    <d v="2024-12-19T00:00:00"/>
    <x v="1"/>
    <x v="1"/>
    <n v="1"/>
    <n v="544"/>
    <x v="1"/>
    <s v="Retail"/>
    <n v="0"/>
    <x v="1"/>
    <x v="1"/>
    <n v="0"/>
    <x v="1"/>
    <s v="Cust 2144"/>
    <n v="5.3"/>
    <x v="1"/>
    <d v="2024-12-28T00:00:00"/>
    <s v="Sophie"/>
    <n v="544"/>
  </r>
  <r>
    <d v="2023-05-10T00:00:00"/>
    <x v="2"/>
    <x v="2"/>
    <n v="14"/>
    <n v="346"/>
    <x v="0"/>
    <s v="Wholesale"/>
    <n v="0.1"/>
    <x v="1"/>
    <x v="0"/>
    <n v="0"/>
    <x v="2"/>
    <s v="Cust 5998"/>
    <n v="20.46"/>
    <x v="2"/>
    <d v="2023-05-19T00:00:00"/>
    <s v="Ryan"/>
    <n v="4360"/>
  </r>
  <r>
    <d v="2025-02-26T00:00:00"/>
    <x v="3"/>
    <x v="3"/>
    <n v="18"/>
    <n v="385"/>
    <x v="1"/>
    <s v="Wholesale"/>
    <n v="0.15"/>
    <x v="2"/>
    <x v="1"/>
    <n v="0"/>
    <x v="3"/>
    <s v="Cust 7136"/>
    <n v="27.95"/>
    <x v="3"/>
    <d v="2025-03-02T00:00:00"/>
    <s v="Cameron"/>
    <n v="5890"/>
  </r>
  <r>
    <d v="2023-06-24T00:00:00"/>
    <x v="0"/>
    <x v="2"/>
    <n v="18"/>
    <n v="238"/>
    <x v="2"/>
    <s v="Retail"/>
    <n v="0"/>
    <x v="3"/>
    <x v="0"/>
    <n v="0"/>
    <x v="4"/>
    <s v="Cust 6506"/>
    <n v="5.73"/>
    <x v="4"/>
    <d v="2023-06-27T00:00:00"/>
    <s v="Eric"/>
    <n v="4284"/>
  </r>
  <r>
    <d v="2024-02-20T00:00:00"/>
    <x v="3"/>
    <x v="4"/>
    <n v="2"/>
    <n v="385"/>
    <x v="3"/>
    <s v="Wholesale"/>
    <n v="0.15"/>
    <x v="4"/>
    <x v="2"/>
    <n v="0"/>
    <x v="5"/>
    <s v="Cust 3909"/>
    <n v="11.92"/>
    <x v="5"/>
    <d v="2024-03-01T00:00:00"/>
    <s v="Cameron"/>
    <n v="654"/>
  </r>
  <r>
    <d v="2023-01-11T00:00:00"/>
    <x v="1"/>
    <x v="3"/>
    <n v="7"/>
    <n v="18"/>
    <x v="2"/>
    <s v="Retail"/>
    <n v="0.1"/>
    <x v="1"/>
    <x v="3"/>
    <n v="0"/>
    <x v="6"/>
    <s v="Cust 7887"/>
    <n v="5.0199999999999996"/>
    <x v="6"/>
    <d v="2023-01-14T00:00:00"/>
    <s v="Sophie"/>
    <n v="113"/>
  </r>
  <r>
    <d v="2023-01-09T00:00:00"/>
    <x v="3"/>
    <x v="3"/>
    <n v="3"/>
    <n v="330"/>
    <x v="2"/>
    <s v="Wholesale"/>
    <n v="0.15"/>
    <x v="3"/>
    <x v="4"/>
    <n v="0"/>
    <x v="7"/>
    <s v="Cust 5301"/>
    <n v="48.01"/>
    <x v="7"/>
    <d v="2023-01-11T00:00:00"/>
    <s v="Cameron"/>
    <n v="842"/>
  </r>
  <r>
    <d v="2024-10-16T00:00:00"/>
    <x v="1"/>
    <x v="3"/>
    <n v="3"/>
    <n v="432"/>
    <x v="3"/>
    <s v="Wholesale"/>
    <n v="0.05"/>
    <x v="5"/>
    <x v="3"/>
    <n v="1"/>
    <x v="8"/>
    <s v="Cust 2284"/>
    <n v="42.11"/>
    <x v="8"/>
    <d v="2024-10-18T00:00:00"/>
    <s v="Sophie"/>
    <n v="1231"/>
  </r>
  <r>
    <d v="2025-03-05T00:00:00"/>
    <x v="4"/>
    <x v="2"/>
    <n v="5"/>
    <n v="323"/>
    <x v="3"/>
    <s v="Retail"/>
    <n v="0.1"/>
    <x v="2"/>
    <x v="1"/>
    <n v="0"/>
    <x v="9"/>
    <s v="Cust 3732"/>
    <n v="41.1"/>
    <x v="9"/>
    <d v="2025-03-13T00:00:00"/>
    <s v="Wendy"/>
    <n v="1454"/>
  </r>
  <r>
    <d v="2024-04-10T00:00:00"/>
    <x v="2"/>
    <x v="2"/>
    <n v="15"/>
    <n v="523"/>
    <x v="0"/>
    <s v="Wholesale"/>
    <n v="0.15"/>
    <x v="0"/>
    <x v="3"/>
    <n v="0"/>
    <x v="10"/>
    <s v="Cust 1462"/>
    <n v="12.14"/>
    <x v="10"/>
    <d v="2024-04-17T00:00:00"/>
    <s v="Ryan"/>
    <n v="6668"/>
  </r>
  <r>
    <d v="2024-07-12T00:00:00"/>
    <x v="0"/>
    <x v="1"/>
    <n v="19"/>
    <n v="207"/>
    <x v="3"/>
    <s v="Retail"/>
    <n v="0.1"/>
    <x v="0"/>
    <x v="1"/>
    <n v="1"/>
    <x v="11"/>
    <s v="Cust 4330"/>
    <n v="44.89"/>
    <x v="11"/>
    <d v="2024-07-18T00:00:00"/>
    <s v="Eric"/>
    <n v="3540"/>
  </r>
  <r>
    <d v="2023-07-21T00:00:00"/>
    <x v="3"/>
    <x v="1"/>
    <n v="1"/>
    <n v="121"/>
    <x v="0"/>
    <s v="Retail"/>
    <n v="0.05"/>
    <x v="4"/>
    <x v="4"/>
    <n v="0"/>
    <x v="12"/>
    <s v="Cust 2372"/>
    <n v="20.350000000000001"/>
    <x v="12"/>
    <d v="2023-07-31T00:00:00"/>
    <s v="Cameron"/>
    <n v="115"/>
  </r>
  <r>
    <d v="2025-01-18T00:00:00"/>
    <x v="4"/>
    <x v="5"/>
    <n v="1"/>
    <n v="158"/>
    <x v="1"/>
    <s v="Wholesale"/>
    <n v="0.15"/>
    <x v="3"/>
    <x v="3"/>
    <n v="0"/>
    <x v="13"/>
    <s v="Cust 4672"/>
    <n v="42.82"/>
    <x v="13"/>
    <d v="2025-01-22T00:00:00"/>
    <s v="Wendy"/>
    <n v="134"/>
  </r>
  <r>
    <d v="2024-12-08T00:00:00"/>
    <x v="2"/>
    <x v="2"/>
    <n v="15"/>
    <n v="220"/>
    <x v="0"/>
    <s v="Retail"/>
    <n v="0.15"/>
    <x v="4"/>
    <x v="3"/>
    <n v="0"/>
    <x v="14"/>
    <s v="Cust 4548"/>
    <n v="39.659999999999997"/>
    <x v="14"/>
    <d v="2024-12-15T00:00:00"/>
    <s v="Ryan"/>
    <n v="2805"/>
  </r>
  <r>
    <d v="2025-05-11T00:00:00"/>
    <x v="4"/>
    <x v="3"/>
    <n v="17"/>
    <n v="163"/>
    <x v="1"/>
    <s v="Wholesale"/>
    <n v="0.05"/>
    <x v="0"/>
    <x v="1"/>
    <n v="0"/>
    <x v="15"/>
    <s v="Cust 7037"/>
    <n v="8.11"/>
    <x v="15"/>
    <d v="2025-05-17T00:00:00"/>
    <s v="Wendy"/>
    <n v="2632"/>
  </r>
  <r>
    <d v="2023-02-26T00:00:00"/>
    <x v="4"/>
    <x v="0"/>
    <n v="19"/>
    <n v="236"/>
    <x v="3"/>
    <s v="Wholesale"/>
    <n v="0"/>
    <x v="5"/>
    <x v="0"/>
    <n v="0"/>
    <x v="16"/>
    <s v="Cust 4975"/>
    <n v="34.11"/>
    <x v="16"/>
    <d v="2023-03-04T00:00:00"/>
    <s v="Wendy"/>
    <n v="4484"/>
  </r>
  <r>
    <d v="2024-05-28T00:00:00"/>
    <x v="3"/>
    <x v="2"/>
    <n v="11"/>
    <n v="573"/>
    <x v="3"/>
    <s v="Retail"/>
    <n v="0.05"/>
    <x v="4"/>
    <x v="4"/>
    <n v="0"/>
    <x v="17"/>
    <s v="Cust 8014"/>
    <n v="34.71"/>
    <x v="17"/>
    <d v="2024-06-01T00:00:00"/>
    <s v="Cameron"/>
    <n v="5988"/>
  </r>
  <r>
    <d v="2023-11-30T00:00:00"/>
    <x v="0"/>
    <x v="1"/>
    <n v="20"/>
    <n v="519"/>
    <x v="0"/>
    <s v="Retail"/>
    <n v="0.15"/>
    <x v="3"/>
    <x v="1"/>
    <n v="0"/>
    <x v="18"/>
    <s v="Cust 1228"/>
    <n v="19.43"/>
    <x v="18"/>
    <d v="2023-12-08T00:00:00"/>
    <s v="Eric"/>
    <n v="8823"/>
  </r>
  <r>
    <d v="2023-06-22T00:00:00"/>
    <x v="4"/>
    <x v="2"/>
    <n v="14"/>
    <n v="31"/>
    <x v="0"/>
    <s v="Retail"/>
    <n v="0"/>
    <x v="3"/>
    <x v="0"/>
    <n v="1"/>
    <x v="19"/>
    <s v="Cust 4247"/>
    <n v="7.1"/>
    <x v="19"/>
    <d v="2023-07-02T00:00:00"/>
    <s v="Wendy"/>
    <n v="434"/>
  </r>
  <r>
    <d v="2025-06-05T00:00:00"/>
    <x v="4"/>
    <x v="1"/>
    <n v="10"/>
    <n v="319"/>
    <x v="3"/>
    <s v="Wholesale"/>
    <n v="0"/>
    <x v="4"/>
    <x v="0"/>
    <n v="0"/>
    <x v="20"/>
    <s v="Cust 4199"/>
    <n v="28.43"/>
    <x v="20"/>
    <d v="2025-06-08T00:00:00"/>
    <s v="Wendy"/>
    <n v="3190"/>
  </r>
  <r>
    <d v="2023-03-03T00:00:00"/>
    <x v="3"/>
    <x v="3"/>
    <n v="14"/>
    <n v="313"/>
    <x v="1"/>
    <s v="Retail"/>
    <n v="0.05"/>
    <x v="5"/>
    <x v="0"/>
    <n v="1"/>
    <x v="21"/>
    <s v="Cust 4186"/>
    <n v="46.83"/>
    <x v="21"/>
    <d v="2023-03-08T00:00:00"/>
    <s v="Cameron"/>
    <n v="4163"/>
  </r>
  <r>
    <d v="2024-02-18T00:00:00"/>
    <x v="2"/>
    <x v="0"/>
    <n v="14"/>
    <n v="395"/>
    <x v="2"/>
    <s v="Retail"/>
    <n v="0"/>
    <x v="3"/>
    <x v="4"/>
    <n v="1"/>
    <x v="22"/>
    <s v="Cust 8137"/>
    <n v="36.450000000000003"/>
    <x v="22"/>
    <d v="2024-02-22T00:00:00"/>
    <s v="Ryan"/>
    <n v="5530"/>
  </r>
  <r>
    <d v="2023-08-06T00:00:00"/>
    <x v="3"/>
    <x v="0"/>
    <n v="12"/>
    <n v="473"/>
    <x v="3"/>
    <s v="Retail"/>
    <n v="0.15"/>
    <x v="4"/>
    <x v="2"/>
    <n v="0"/>
    <x v="23"/>
    <s v="Cust 4638"/>
    <n v="27.97"/>
    <x v="23"/>
    <d v="2023-08-14T00:00:00"/>
    <s v="Cameron"/>
    <n v="4825"/>
  </r>
  <r>
    <d v="2024-05-23T00:00:00"/>
    <x v="2"/>
    <x v="2"/>
    <n v="5"/>
    <n v="288"/>
    <x v="1"/>
    <s v="Wholesale"/>
    <n v="0"/>
    <x v="0"/>
    <x v="2"/>
    <n v="0"/>
    <x v="24"/>
    <s v="Cust 8538"/>
    <n v="46.69"/>
    <x v="24"/>
    <d v="2024-05-30T00:00:00"/>
    <s v="Ryan"/>
    <n v="1440"/>
  </r>
  <r>
    <d v="2023-10-23T00:00:00"/>
    <x v="0"/>
    <x v="1"/>
    <n v="13"/>
    <n v="562"/>
    <x v="3"/>
    <s v="Retail"/>
    <n v="0"/>
    <x v="4"/>
    <x v="1"/>
    <n v="0"/>
    <x v="25"/>
    <s v="Cust 6322"/>
    <n v="38.130000000000003"/>
    <x v="25"/>
    <d v="2023-10-28T00:00:00"/>
    <s v="Eric"/>
    <n v="7306"/>
  </r>
  <r>
    <d v="2025-06-16T00:00:00"/>
    <x v="4"/>
    <x v="1"/>
    <n v="1"/>
    <n v="102"/>
    <x v="3"/>
    <s v="Retail"/>
    <n v="0"/>
    <x v="2"/>
    <x v="3"/>
    <n v="0"/>
    <x v="26"/>
    <s v="Cust 2609"/>
    <n v="11.59"/>
    <x v="26"/>
    <d v="2025-06-25T00:00:00"/>
    <s v="Wendy"/>
    <n v="102"/>
  </r>
  <r>
    <d v="2023-03-03T00:00:00"/>
    <x v="2"/>
    <x v="1"/>
    <n v="4"/>
    <n v="279"/>
    <x v="0"/>
    <s v="Retail"/>
    <n v="0"/>
    <x v="4"/>
    <x v="2"/>
    <n v="0"/>
    <x v="27"/>
    <s v="Cust 6880"/>
    <n v="24.78"/>
    <x v="21"/>
    <d v="2023-03-08T00:00:00"/>
    <s v="Ryan"/>
    <n v="1116"/>
  </r>
  <r>
    <d v="2024-11-18T00:00:00"/>
    <x v="1"/>
    <x v="0"/>
    <n v="1"/>
    <n v="179"/>
    <x v="1"/>
    <s v="Retail"/>
    <n v="0.15"/>
    <x v="3"/>
    <x v="3"/>
    <n v="1"/>
    <x v="28"/>
    <s v="Cust 1997"/>
    <n v="7.61"/>
    <x v="27"/>
    <d v="2024-11-21T00:00:00"/>
    <s v="Sophie"/>
    <n v="152"/>
  </r>
  <r>
    <d v="2023-05-09T00:00:00"/>
    <x v="3"/>
    <x v="5"/>
    <n v="1"/>
    <n v="472"/>
    <x v="1"/>
    <s v="Wholesale"/>
    <n v="0.1"/>
    <x v="3"/>
    <x v="0"/>
    <n v="0"/>
    <x v="29"/>
    <s v="Cust 7072"/>
    <n v="33.17"/>
    <x v="28"/>
    <d v="2023-05-17T00:00:00"/>
    <s v="Cameron"/>
    <n v="425"/>
  </r>
  <r>
    <d v="2024-12-07T00:00:00"/>
    <x v="2"/>
    <x v="5"/>
    <n v="12"/>
    <n v="306"/>
    <x v="3"/>
    <s v="Retail"/>
    <n v="0"/>
    <x v="2"/>
    <x v="3"/>
    <n v="0"/>
    <x v="30"/>
    <s v="Cust 7201"/>
    <n v="37.380000000000003"/>
    <x v="29"/>
    <d v="2024-12-14T00:00:00"/>
    <s v="Ryan"/>
    <n v="3672"/>
  </r>
  <r>
    <d v="2024-02-13T00:00:00"/>
    <x v="2"/>
    <x v="1"/>
    <n v="7"/>
    <n v="435"/>
    <x v="2"/>
    <s v="Retail"/>
    <n v="0.15"/>
    <x v="2"/>
    <x v="0"/>
    <n v="0"/>
    <x v="31"/>
    <s v="Cust 9923"/>
    <n v="12.35"/>
    <x v="30"/>
    <d v="2024-02-15T00:00:00"/>
    <s v="Ryan"/>
    <n v="2588"/>
  </r>
  <r>
    <d v="2025-03-09T00:00:00"/>
    <x v="1"/>
    <x v="2"/>
    <n v="6"/>
    <n v="65"/>
    <x v="2"/>
    <s v="Retail"/>
    <n v="0"/>
    <x v="3"/>
    <x v="3"/>
    <n v="0"/>
    <x v="32"/>
    <s v="Cust 2205"/>
    <n v="21.25"/>
    <x v="31"/>
    <d v="2025-03-15T00:00:00"/>
    <s v="Sophie"/>
    <n v="390"/>
  </r>
  <r>
    <d v="2023-04-05T00:00:00"/>
    <x v="3"/>
    <x v="2"/>
    <n v="17"/>
    <n v="476"/>
    <x v="3"/>
    <s v="Retail"/>
    <n v="0"/>
    <x v="1"/>
    <x v="1"/>
    <n v="0"/>
    <x v="33"/>
    <s v="Cust 6403"/>
    <n v="17.91"/>
    <x v="32"/>
    <d v="2023-04-11T00:00:00"/>
    <s v="Cameron"/>
    <n v="8092"/>
  </r>
  <r>
    <d v="2025-05-08T00:00:00"/>
    <x v="2"/>
    <x v="4"/>
    <n v="4"/>
    <n v="560"/>
    <x v="3"/>
    <s v="Retail"/>
    <n v="0.15"/>
    <x v="4"/>
    <x v="0"/>
    <n v="0"/>
    <x v="34"/>
    <s v="Cust 3953"/>
    <n v="41.91"/>
    <x v="33"/>
    <d v="2025-05-12T00:00:00"/>
    <s v="Ryan"/>
    <n v="1904"/>
  </r>
  <r>
    <d v="2023-09-03T00:00:00"/>
    <x v="2"/>
    <x v="5"/>
    <n v="14"/>
    <n v="82"/>
    <x v="2"/>
    <s v="Retail"/>
    <n v="0"/>
    <x v="1"/>
    <x v="2"/>
    <n v="0"/>
    <x v="35"/>
    <s v="Cust 7902"/>
    <n v="12.57"/>
    <x v="34"/>
    <d v="2023-09-11T00:00:00"/>
    <s v="Ryan"/>
    <n v="1148"/>
  </r>
  <r>
    <d v="2025-03-21T00:00:00"/>
    <x v="3"/>
    <x v="3"/>
    <n v="9"/>
    <n v="343"/>
    <x v="1"/>
    <s v="Retail"/>
    <n v="0.05"/>
    <x v="3"/>
    <x v="3"/>
    <n v="0"/>
    <x v="36"/>
    <s v="Cust 9968"/>
    <n v="40.29"/>
    <x v="35"/>
    <d v="2025-03-28T00:00:00"/>
    <s v="Cameron"/>
    <n v="2933"/>
  </r>
  <r>
    <d v="2025-06-20T00:00:00"/>
    <x v="1"/>
    <x v="3"/>
    <n v="7"/>
    <n v="301"/>
    <x v="0"/>
    <s v="Retail"/>
    <n v="0.15"/>
    <x v="4"/>
    <x v="4"/>
    <n v="1"/>
    <x v="37"/>
    <s v="Cust 3787"/>
    <n v="34.97"/>
    <x v="36"/>
    <d v="2025-06-30T00:00:00"/>
    <s v="Sophie"/>
    <n v="1791"/>
  </r>
  <r>
    <d v="2024-02-15T00:00:00"/>
    <x v="3"/>
    <x v="6"/>
    <n v="14"/>
    <n v="428"/>
    <x v="2"/>
    <s v="Retail"/>
    <n v="0.1"/>
    <x v="5"/>
    <x v="4"/>
    <n v="1"/>
    <x v="38"/>
    <s v="Cust 2469"/>
    <n v="24.77"/>
    <x v="37"/>
    <d v="2024-02-25T00:00:00"/>
    <s v="Cameron"/>
    <n v="5393"/>
  </r>
  <r>
    <d v="2023-06-09T00:00:00"/>
    <x v="3"/>
    <x v="0"/>
    <n v="2"/>
    <n v="503"/>
    <x v="3"/>
    <s v="Retail"/>
    <n v="0.15"/>
    <x v="1"/>
    <x v="1"/>
    <n v="0"/>
    <x v="39"/>
    <s v="Cust 6468"/>
    <n v="34.79"/>
    <x v="38"/>
    <d v="2023-06-17T00:00:00"/>
    <s v="Cameron"/>
    <n v="855"/>
  </r>
  <r>
    <d v="2023-08-10T00:00:00"/>
    <x v="1"/>
    <x v="6"/>
    <n v="5"/>
    <n v="470"/>
    <x v="1"/>
    <s v="Retail"/>
    <n v="0.1"/>
    <x v="0"/>
    <x v="3"/>
    <n v="0"/>
    <x v="40"/>
    <s v="Cust 5312"/>
    <n v="17.77"/>
    <x v="39"/>
    <d v="2023-08-14T00:00:00"/>
    <s v="Sophie"/>
    <n v="2115"/>
  </r>
  <r>
    <d v="2024-06-16T00:00:00"/>
    <x v="3"/>
    <x v="6"/>
    <n v="20"/>
    <n v="65"/>
    <x v="2"/>
    <s v="Wholesale"/>
    <n v="0.05"/>
    <x v="0"/>
    <x v="1"/>
    <n v="0"/>
    <x v="41"/>
    <s v="Cust 1482"/>
    <n v="21.72"/>
    <x v="40"/>
    <d v="2024-06-25T00:00:00"/>
    <s v="Cameron"/>
    <n v="1235"/>
  </r>
  <r>
    <d v="2023-07-23T00:00:00"/>
    <x v="1"/>
    <x v="0"/>
    <n v="12"/>
    <n v="36"/>
    <x v="1"/>
    <s v="Retail"/>
    <n v="0"/>
    <x v="0"/>
    <x v="0"/>
    <n v="0"/>
    <x v="42"/>
    <s v="Cust 7903"/>
    <n v="34.85"/>
    <x v="41"/>
    <d v="2023-07-26T00:00:00"/>
    <s v="Sophie"/>
    <n v="432"/>
  </r>
  <r>
    <d v="2023-05-20T00:00:00"/>
    <x v="3"/>
    <x v="6"/>
    <n v="4"/>
    <n v="459"/>
    <x v="3"/>
    <s v="Wholesale"/>
    <n v="0.15"/>
    <x v="3"/>
    <x v="1"/>
    <n v="1"/>
    <x v="43"/>
    <s v="Cust 9605"/>
    <n v="27.39"/>
    <x v="42"/>
    <d v="2023-05-27T00:00:00"/>
    <s v="Cameron"/>
    <n v="1561"/>
  </r>
  <r>
    <d v="2023-06-30T00:00:00"/>
    <x v="1"/>
    <x v="0"/>
    <n v="2"/>
    <n v="416"/>
    <x v="3"/>
    <s v="Retail"/>
    <n v="0.05"/>
    <x v="0"/>
    <x v="3"/>
    <n v="0"/>
    <x v="44"/>
    <s v="Cust 3298"/>
    <n v="11.62"/>
    <x v="43"/>
    <d v="2023-07-04T00:00:00"/>
    <s v="Sophie"/>
    <n v="790"/>
  </r>
  <r>
    <d v="2024-06-04T00:00:00"/>
    <x v="1"/>
    <x v="5"/>
    <n v="16"/>
    <n v="303"/>
    <x v="3"/>
    <s v="Retail"/>
    <n v="0"/>
    <x v="1"/>
    <x v="0"/>
    <n v="1"/>
    <x v="45"/>
    <s v="Cust 5533"/>
    <n v="20.76"/>
    <x v="44"/>
    <d v="2024-06-14T00:00:00"/>
    <s v="Sophie"/>
    <n v="4848"/>
  </r>
  <r>
    <d v="2025-02-03T00:00:00"/>
    <x v="4"/>
    <x v="3"/>
    <n v="11"/>
    <n v="33"/>
    <x v="1"/>
    <s v="Retail"/>
    <n v="0.15"/>
    <x v="2"/>
    <x v="0"/>
    <n v="0"/>
    <x v="46"/>
    <s v="Cust 6362"/>
    <n v="24.95"/>
    <x v="45"/>
    <d v="2025-02-05T00:00:00"/>
    <s v="Wendy"/>
    <n v="309"/>
  </r>
  <r>
    <d v="2024-01-09T00:00:00"/>
    <x v="0"/>
    <x v="5"/>
    <n v="8"/>
    <n v="583"/>
    <x v="3"/>
    <s v="Retail"/>
    <n v="0.15"/>
    <x v="2"/>
    <x v="1"/>
    <n v="0"/>
    <x v="47"/>
    <s v="Cust 4826"/>
    <n v="6.47"/>
    <x v="46"/>
    <d v="2024-01-13T00:00:00"/>
    <s v="Eric"/>
    <n v="3964"/>
  </r>
  <r>
    <d v="2024-03-14T00:00:00"/>
    <x v="2"/>
    <x v="2"/>
    <n v="5"/>
    <n v="165"/>
    <x v="1"/>
    <s v="Retail"/>
    <n v="0.1"/>
    <x v="0"/>
    <x v="1"/>
    <n v="0"/>
    <x v="48"/>
    <s v="Cust 2171"/>
    <n v="20.57"/>
    <x v="47"/>
    <d v="2024-03-16T00:00:00"/>
    <s v="Ryan"/>
    <n v="742"/>
  </r>
  <r>
    <d v="2024-09-06T00:00:00"/>
    <x v="4"/>
    <x v="4"/>
    <n v="14"/>
    <n v="243"/>
    <x v="3"/>
    <s v="Wholesale"/>
    <n v="0.15"/>
    <x v="1"/>
    <x v="4"/>
    <n v="1"/>
    <x v="49"/>
    <s v="Cust 4005"/>
    <n v="20.71"/>
    <x v="48"/>
    <d v="2024-09-13T00:00:00"/>
    <s v="Wendy"/>
    <n v="2892"/>
  </r>
  <r>
    <d v="2023-03-17T00:00:00"/>
    <x v="0"/>
    <x v="4"/>
    <n v="13"/>
    <n v="66"/>
    <x v="1"/>
    <s v="Wholesale"/>
    <n v="0.1"/>
    <x v="2"/>
    <x v="4"/>
    <n v="0"/>
    <x v="50"/>
    <s v="Cust 7032"/>
    <n v="12.87"/>
    <x v="49"/>
    <d v="2023-03-20T00:00:00"/>
    <s v="Eric"/>
    <n v="772"/>
  </r>
  <r>
    <d v="2025-01-17T00:00:00"/>
    <x v="4"/>
    <x v="3"/>
    <n v="2"/>
    <n v="252"/>
    <x v="2"/>
    <s v="Wholesale"/>
    <n v="0"/>
    <x v="1"/>
    <x v="3"/>
    <n v="0"/>
    <x v="51"/>
    <s v="Cust 7167"/>
    <n v="42.49"/>
    <x v="50"/>
    <d v="2025-01-24T00:00:00"/>
    <s v="Wendy"/>
    <n v="504"/>
  </r>
  <r>
    <d v="2024-09-12T00:00:00"/>
    <x v="1"/>
    <x v="0"/>
    <n v="1"/>
    <n v="269"/>
    <x v="0"/>
    <s v="Wholesale"/>
    <n v="0.1"/>
    <x v="0"/>
    <x v="4"/>
    <n v="1"/>
    <x v="52"/>
    <s v="Cust 5702"/>
    <n v="19.22"/>
    <x v="51"/>
    <d v="2024-09-18T00:00:00"/>
    <s v="Sophie"/>
    <n v="242"/>
  </r>
  <r>
    <d v="2024-01-05T00:00:00"/>
    <x v="1"/>
    <x v="4"/>
    <n v="2"/>
    <n v="371"/>
    <x v="0"/>
    <s v="Wholesale"/>
    <n v="0.05"/>
    <x v="5"/>
    <x v="2"/>
    <n v="0"/>
    <x v="53"/>
    <s v="Cust 4944"/>
    <n v="36.51"/>
    <x v="52"/>
    <d v="2024-01-15T00:00:00"/>
    <s v="Sophie"/>
    <n v="705"/>
  </r>
  <r>
    <d v="2024-04-19T00:00:00"/>
    <x v="4"/>
    <x v="5"/>
    <n v="11"/>
    <n v="288"/>
    <x v="1"/>
    <s v="Wholesale"/>
    <n v="0.15"/>
    <x v="4"/>
    <x v="0"/>
    <n v="0"/>
    <x v="54"/>
    <s v="Cust 8149"/>
    <n v="37.39"/>
    <x v="53"/>
    <d v="2024-04-25T00:00:00"/>
    <s v="Wendy"/>
    <n v="2693"/>
  </r>
  <r>
    <d v="2025-06-11T00:00:00"/>
    <x v="3"/>
    <x v="5"/>
    <n v="11"/>
    <n v="233"/>
    <x v="3"/>
    <s v="Wholesale"/>
    <n v="0.05"/>
    <x v="0"/>
    <x v="2"/>
    <n v="0"/>
    <x v="55"/>
    <s v="Cust 3638"/>
    <n v="36.33"/>
    <x v="54"/>
    <d v="2025-06-21T00:00:00"/>
    <s v="Cameron"/>
    <n v="2435"/>
  </r>
  <r>
    <d v="2025-03-06T00:00:00"/>
    <x v="0"/>
    <x v="1"/>
    <n v="17"/>
    <n v="146"/>
    <x v="0"/>
    <s v="Retail"/>
    <n v="0.15"/>
    <x v="3"/>
    <x v="4"/>
    <n v="0"/>
    <x v="56"/>
    <s v="Cust 9973"/>
    <n v="7.84"/>
    <x v="55"/>
    <d v="2025-03-15T00:00:00"/>
    <s v="Eric"/>
    <n v="2110"/>
  </r>
  <r>
    <d v="2023-05-24T00:00:00"/>
    <x v="0"/>
    <x v="3"/>
    <n v="5"/>
    <n v="100"/>
    <x v="2"/>
    <s v="Retail"/>
    <n v="0.1"/>
    <x v="0"/>
    <x v="1"/>
    <n v="1"/>
    <x v="57"/>
    <s v="Cust 4214"/>
    <n v="18.350000000000001"/>
    <x v="56"/>
    <d v="2023-05-26T00:00:00"/>
    <s v="Eric"/>
    <n v="450"/>
  </r>
  <r>
    <d v="2023-01-27T00:00:00"/>
    <x v="1"/>
    <x v="1"/>
    <n v="11"/>
    <n v="375"/>
    <x v="0"/>
    <s v="Retail"/>
    <n v="0.05"/>
    <x v="5"/>
    <x v="3"/>
    <n v="0"/>
    <x v="58"/>
    <s v="Cust 2647"/>
    <n v="15.95"/>
    <x v="57"/>
    <d v="2023-02-03T00:00:00"/>
    <s v="Sophie"/>
    <n v="3919"/>
  </r>
  <r>
    <d v="2024-03-21T00:00:00"/>
    <x v="1"/>
    <x v="0"/>
    <n v="18"/>
    <n v="317"/>
    <x v="0"/>
    <s v="Wholesale"/>
    <n v="0.05"/>
    <x v="5"/>
    <x v="4"/>
    <n v="0"/>
    <x v="59"/>
    <s v="Cust 3552"/>
    <n v="15.69"/>
    <x v="58"/>
    <d v="2024-03-27T00:00:00"/>
    <s v="Sophie"/>
    <n v="5421"/>
  </r>
  <r>
    <d v="2025-01-25T00:00:00"/>
    <x v="4"/>
    <x v="0"/>
    <n v="20"/>
    <n v="295"/>
    <x v="3"/>
    <s v="Retail"/>
    <n v="0.15"/>
    <x v="2"/>
    <x v="0"/>
    <n v="1"/>
    <x v="60"/>
    <s v="Cust 3354"/>
    <n v="13.66"/>
    <x v="59"/>
    <d v="2025-01-31T00:00:00"/>
    <s v="Wendy"/>
    <n v="5015"/>
  </r>
  <r>
    <d v="2023-06-12T00:00:00"/>
    <x v="3"/>
    <x v="1"/>
    <n v="8"/>
    <n v="302"/>
    <x v="3"/>
    <s v="Retail"/>
    <n v="0"/>
    <x v="0"/>
    <x v="4"/>
    <n v="0"/>
    <x v="61"/>
    <s v="Cust 3903"/>
    <n v="36.54"/>
    <x v="60"/>
    <d v="2023-06-21T00:00:00"/>
    <s v="Cameron"/>
    <n v="2416"/>
  </r>
  <r>
    <d v="2025-03-22T00:00:00"/>
    <x v="3"/>
    <x v="3"/>
    <n v="3"/>
    <n v="475"/>
    <x v="0"/>
    <s v="Retail"/>
    <n v="0.1"/>
    <x v="1"/>
    <x v="1"/>
    <n v="0"/>
    <x v="62"/>
    <s v="Cust 5358"/>
    <n v="15.62"/>
    <x v="61"/>
    <d v="2025-03-26T00:00:00"/>
    <s v="Cameron"/>
    <n v="1282"/>
  </r>
  <r>
    <d v="2024-02-24T00:00:00"/>
    <x v="3"/>
    <x v="2"/>
    <n v="16"/>
    <n v="47"/>
    <x v="3"/>
    <s v="Retail"/>
    <n v="0.15"/>
    <x v="5"/>
    <x v="3"/>
    <n v="0"/>
    <x v="63"/>
    <s v="Cust 8144"/>
    <n v="29.5"/>
    <x v="62"/>
    <d v="2024-02-27T00:00:00"/>
    <s v="Cameron"/>
    <n v="639"/>
  </r>
  <r>
    <d v="2023-12-09T00:00:00"/>
    <x v="1"/>
    <x v="3"/>
    <n v="15"/>
    <n v="511"/>
    <x v="0"/>
    <s v="Wholesale"/>
    <n v="0"/>
    <x v="2"/>
    <x v="0"/>
    <n v="0"/>
    <x v="64"/>
    <s v="Cust 6747"/>
    <n v="21.77"/>
    <x v="63"/>
    <d v="2023-12-12T00:00:00"/>
    <s v="Sophie"/>
    <n v="7665"/>
  </r>
  <r>
    <d v="2023-10-01T00:00:00"/>
    <x v="3"/>
    <x v="4"/>
    <n v="3"/>
    <n v="67"/>
    <x v="0"/>
    <s v="Retail"/>
    <n v="0.1"/>
    <x v="2"/>
    <x v="3"/>
    <n v="0"/>
    <x v="65"/>
    <s v="Cust 8330"/>
    <n v="22.43"/>
    <x v="64"/>
    <d v="2023-10-05T00:00:00"/>
    <s v="Cameron"/>
    <n v="181"/>
  </r>
  <r>
    <d v="2023-07-31T00:00:00"/>
    <x v="4"/>
    <x v="5"/>
    <n v="5"/>
    <n v="491"/>
    <x v="3"/>
    <s v="Wholesale"/>
    <n v="0.05"/>
    <x v="2"/>
    <x v="0"/>
    <n v="0"/>
    <x v="66"/>
    <s v="Cust 7186"/>
    <n v="12.24"/>
    <x v="65"/>
    <d v="2023-08-07T00:00:00"/>
    <s v="Wendy"/>
    <n v="2332"/>
  </r>
  <r>
    <d v="2024-12-24T00:00:00"/>
    <x v="1"/>
    <x v="3"/>
    <n v="8"/>
    <n v="406"/>
    <x v="1"/>
    <s v="Wholesale"/>
    <n v="0.05"/>
    <x v="3"/>
    <x v="2"/>
    <n v="0"/>
    <x v="67"/>
    <s v="Cust 8287"/>
    <n v="41.27"/>
    <x v="66"/>
    <d v="2024-12-31T00:00:00"/>
    <s v="Sophie"/>
    <n v="3086"/>
  </r>
  <r>
    <d v="2024-11-15T00:00:00"/>
    <x v="2"/>
    <x v="1"/>
    <n v="1"/>
    <n v="159"/>
    <x v="0"/>
    <s v="Retail"/>
    <n v="0.1"/>
    <x v="5"/>
    <x v="2"/>
    <n v="0"/>
    <x v="68"/>
    <s v="Cust 3986"/>
    <n v="35.14"/>
    <x v="67"/>
    <d v="2024-11-19T00:00:00"/>
    <s v="Ryan"/>
    <n v="143"/>
  </r>
  <r>
    <d v="2025-03-13T00:00:00"/>
    <x v="4"/>
    <x v="4"/>
    <n v="16"/>
    <n v="38"/>
    <x v="2"/>
    <s v="Retail"/>
    <n v="0.15"/>
    <x v="3"/>
    <x v="3"/>
    <n v="0"/>
    <x v="69"/>
    <s v="Cust 3213"/>
    <n v="8.3800000000000008"/>
    <x v="68"/>
    <d v="2025-03-22T00:00:00"/>
    <s v="Wendy"/>
    <n v="517"/>
  </r>
  <r>
    <d v="2024-03-03T00:00:00"/>
    <x v="0"/>
    <x v="5"/>
    <n v="15"/>
    <n v="328"/>
    <x v="3"/>
    <s v="Retail"/>
    <n v="0.15"/>
    <x v="1"/>
    <x v="1"/>
    <n v="0"/>
    <x v="70"/>
    <s v="Cust 1907"/>
    <n v="15.76"/>
    <x v="69"/>
    <d v="2024-03-12T00:00:00"/>
    <s v="Eric"/>
    <n v="4182"/>
  </r>
  <r>
    <d v="2023-02-11T00:00:00"/>
    <x v="3"/>
    <x v="5"/>
    <n v="20"/>
    <n v="548"/>
    <x v="1"/>
    <s v="Wholesale"/>
    <n v="0.1"/>
    <x v="0"/>
    <x v="2"/>
    <n v="1"/>
    <x v="71"/>
    <s v="Cust 4639"/>
    <n v="5.89"/>
    <x v="70"/>
    <d v="2023-02-14T00:00:00"/>
    <s v="Cameron"/>
    <n v="9864"/>
  </r>
  <r>
    <d v="2023-10-26T00:00:00"/>
    <x v="1"/>
    <x v="2"/>
    <n v="13"/>
    <n v="484"/>
    <x v="0"/>
    <s v="Wholesale"/>
    <n v="0.05"/>
    <x v="3"/>
    <x v="1"/>
    <n v="1"/>
    <x v="72"/>
    <s v="Cust 4153"/>
    <n v="6.57"/>
    <x v="71"/>
    <d v="2023-11-05T00:00:00"/>
    <s v="Sophie"/>
    <n v="5977"/>
  </r>
  <r>
    <d v="2023-10-21T00:00:00"/>
    <x v="1"/>
    <x v="4"/>
    <n v="13"/>
    <n v="196"/>
    <x v="1"/>
    <s v="Wholesale"/>
    <n v="0.05"/>
    <x v="1"/>
    <x v="2"/>
    <n v="0"/>
    <x v="73"/>
    <s v="Cust 7096"/>
    <n v="33.520000000000003"/>
    <x v="72"/>
    <d v="2023-10-28T00:00:00"/>
    <s v="Sophie"/>
    <n v="2421"/>
  </r>
  <r>
    <d v="2024-01-14T00:00:00"/>
    <x v="3"/>
    <x v="5"/>
    <n v="19"/>
    <n v="30"/>
    <x v="3"/>
    <s v="Retail"/>
    <n v="0.15"/>
    <x v="4"/>
    <x v="3"/>
    <n v="0"/>
    <x v="74"/>
    <s v="Cust 3806"/>
    <n v="33.590000000000003"/>
    <x v="73"/>
    <d v="2024-01-20T00:00:00"/>
    <s v="Cameron"/>
    <n v="484"/>
  </r>
  <r>
    <d v="2023-07-27T00:00:00"/>
    <x v="3"/>
    <x v="2"/>
    <n v="10"/>
    <n v="554"/>
    <x v="3"/>
    <s v="Wholesale"/>
    <n v="0.1"/>
    <x v="0"/>
    <x v="0"/>
    <n v="0"/>
    <x v="75"/>
    <s v="Cust 9345"/>
    <n v="31.3"/>
    <x v="74"/>
    <d v="2023-07-31T00:00:00"/>
    <s v="Cameron"/>
    <n v="4986"/>
  </r>
  <r>
    <d v="2024-10-23T00:00:00"/>
    <x v="1"/>
    <x v="1"/>
    <n v="14"/>
    <n v="446"/>
    <x v="0"/>
    <s v="Retail"/>
    <n v="0.1"/>
    <x v="5"/>
    <x v="0"/>
    <n v="0"/>
    <x v="76"/>
    <s v="Cust 4456"/>
    <n v="14.41"/>
    <x v="75"/>
    <d v="2024-10-25T00:00:00"/>
    <s v="Sophie"/>
    <n v="5620"/>
  </r>
  <r>
    <d v="2023-09-26T00:00:00"/>
    <x v="1"/>
    <x v="3"/>
    <n v="5"/>
    <n v="552"/>
    <x v="0"/>
    <s v="Retail"/>
    <n v="0.15"/>
    <x v="1"/>
    <x v="0"/>
    <n v="1"/>
    <x v="77"/>
    <s v="Cust 1089"/>
    <n v="7.87"/>
    <x v="76"/>
    <d v="2023-10-01T00:00:00"/>
    <s v="Sophie"/>
    <n v="2346"/>
  </r>
  <r>
    <d v="2023-12-16T00:00:00"/>
    <x v="0"/>
    <x v="1"/>
    <n v="13"/>
    <n v="241"/>
    <x v="3"/>
    <s v="Retail"/>
    <n v="0"/>
    <x v="3"/>
    <x v="1"/>
    <n v="0"/>
    <x v="78"/>
    <s v="Cust 7230"/>
    <n v="49.05"/>
    <x v="77"/>
    <d v="2023-12-20T00:00:00"/>
    <s v="Eric"/>
    <n v="3133"/>
  </r>
  <r>
    <d v="2024-01-02T00:00:00"/>
    <x v="3"/>
    <x v="6"/>
    <n v="19"/>
    <n v="352"/>
    <x v="1"/>
    <s v="Wholesale"/>
    <n v="0"/>
    <x v="1"/>
    <x v="2"/>
    <n v="0"/>
    <x v="79"/>
    <s v="Cust 6597"/>
    <n v="39.979999999999997"/>
    <x v="78"/>
    <d v="2024-01-05T00:00:00"/>
    <s v="Cameron"/>
    <n v="6688"/>
  </r>
  <r>
    <d v="2024-02-16T00:00:00"/>
    <x v="2"/>
    <x v="1"/>
    <n v="4"/>
    <n v="84"/>
    <x v="1"/>
    <s v="Retail"/>
    <n v="0.05"/>
    <x v="1"/>
    <x v="3"/>
    <n v="1"/>
    <x v="80"/>
    <s v="Cust 4108"/>
    <n v="38.82"/>
    <x v="79"/>
    <d v="2024-02-25T00:00:00"/>
    <s v="Ryan"/>
    <n v="319"/>
  </r>
  <r>
    <d v="2024-05-03T00:00:00"/>
    <x v="0"/>
    <x v="4"/>
    <n v="5"/>
    <n v="417"/>
    <x v="1"/>
    <s v="Wholesale"/>
    <n v="0.15"/>
    <x v="2"/>
    <x v="0"/>
    <n v="1"/>
    <x v="81"/>
    <s v="Cust 2883"/>
    <n v="24.03"/>
    <x v="80"/>
    <d v="2024-05-12T00:00:00"/>
    <s v="Eric"/>
    <n v="1772"/>
  </r>
  <r>
    <d v="2023-05-27T00:00:00"/>
    <x v="4"/>
    <x v="4"/>
    <n v="18"/>
    <n v="142"/>
    <x v="2"/>
    <s v="Retail"/>
    <n v="0.05"/>
    <x v="5"/>
    <x v="2"/>
    <n v="1"/>
    <x v="82"/>
    <s v="Cust 5018"/>
    <n v="12.38"/>
    <x v="81"/>
    <d v="2023-06-02T00:00:00"/>
    <s v="Wendy"/>
    <n v="2428"/>
  </r>
  <r>
    <d v="2023-01-05T00:00:00"/>
    <x v="0"/>
    <x v="2"/>
    <n v="12"/>
    <n v="583"/>
    <x v="1"/>
    <s v="Wholesale"/>
    <n v="0"/>
    <x v="5"/>
    <x v="2"/>
    <n v="0"/>
    <x v="83"/>
    <s v="Cust 1231"/>
    <n v="41.16"/>
    <x v="82"/>
    <d v="2023-01-11T00:00:00"/>
    <s v="Eric"/>
    <n v="6996"/>
  </r>
  <r>
    <d v="2025-05-21T00:00:00"/>
    <x v="0"/>
    <x v="3"/>
    <n v="20"/>
    <n v="130"/>
    <x v="1"/>
    <s v="Retail"/>
    <n v="0.15"/>
    <x v="4"/>
    <x v="0"/>
    <n v="0"/>
    <x v="84"/>
    <s v="Cust 2209"/>
    <n v="40.21"/>
    <x v="83"/>
    <d v="2025-05-23T00:00:00"/>
    <s v="Eric"/>
    <n v="2210"/>
  </r>
  <r>
    <d v="2023-07-21T00:00:00"/>
    <x v="3"/>
    <x v="5"/>
    <n v="17"/>
    <n v="432"/>
    <x v="0"/>
    <s v="Retail"/>
    <n v="0"/>
    <x v="0"/>
    <x v="1"/>
    <n v="1"/>
    <x v="85"/>
    <s v="Cust 6684"/>
    <n v="37.75"/>
    <x v="12"/>
    <d v="2023-07-25T00:00:00"/>
    <s v="Cameron"/>
    <n v="7344"/>
  </r>
  <r>
    <d v="2025-05-25T00:00:00"/>
    <x v="0"/>
    <x v="0"/>
    <n v="15"/>
    <n v="16"/>
    <x v="2"/>
    <s v="Retail"/>
    <n v="0"/>
    <x v="5"/>
    <x v="3"/>
    <n v="0"/>
    <x v="86"/>
    <s v="Cust 5289"/>
    <n v="23.49"/>
    <x v="84"/>
    <d v="2025-06-03T00:00:00"/>
    <s v="Eric"/>
    <n v="240"/>
  </r>
  <r>
    <d v="2024-11-16T00:00:00"/>
    <x v="1"/>
    <x v="5"/>
    <n v="20"/>
    <n v="548"/>
    <x v="0"/>
    <s v="Retail"/>
    <n v="0.1"/>
    <x v="5"/>
    <x v="1"/>
    <n v="0"/>
    <x v="87"/>
    <s v="Cust 9159"/>
    <n v="33.47"/>
    <x v="85"/>
    <d v="2024-11-22T00:00:00"/>
    <s v="Sophie"/>
    <n v="9864"/>
  </r>
  <r>
    <d v="2023-11-19T00:00:00"/>
    <x v="2"/>
    <x v="0"/>
    <n v="16"/>
    <n v="526"/>
    <x v="2"/>
    <s v="Wholesale"/>
    <n v="0.05"/>
    <x v="2"/>
    <x v="0"/>
    <n v="0"/>
    <x v="88"/>
    <s v="Cust 4844"/>
    <n v="36.47"/>
    <x v="86"/>
    <d v="2023-11-25T00:00:00"/>
    <s v="Ryan"/>
    <n v="7995"/>
  </r>
  <r>
    <d v="2025-01-12T00:00:00"/>
    <x v="3"/>
    <x v="0"/>
    <n v="15"/>
    <n v="411"/>
    <x v="1"/>
    <s v="Wholesale"/>
    <n v="0.05"/>
    <x v="5"/>
    <x v="0"/>
    <n v="0"/>
    <x v="89"/>
    <s v="Cust 3273"/>
    <n v="48.51"/>
    <x v="87"/>
    <d v="2025-01-21T00:00:00"/>
    <s v="Cameron"/>
    <n v="5857"/>
  </r>
  <r>
    <d v="2023-03-29T00:00:00"/>
    <x v="2"/>
    <x v="4"/>
    <n v="19"/>
    <n v="560"/>
    <x v="1"/>
    <s v="Wholesale"/>
    <n v="0.1"/>
    <x v="3"/>
    <x v="2"/>
    <n v="0"/>
    <x v="90"/>
    <s v="Cust 8160"/>
    <n v="18.3"/>
    <x v="88"/>
    <d v="2023-04-03T00:00:00"/>
    <s v="Ryan"/>
    <n v="9576"/>
  </r>
  <r>
    <d v="2025-03-01T00:00:00"/>
    <x v="2"/>
    <x v="2"/>
    <n v="8"/>
    <n v="180"/>
    <x v="2"/>
    <s v="Retail"/>
    <n v="0.05"/>
    <x v="3"/>
    <x v="0"/>
    <n v="0"/>
    <x v="91"/>
    <s v="Cust 4439"/>
    <n v="14.8"/>
    <x v="89"/>
    <d v="2025-03-05T00:00:00"/>
    <s v="Ryan"/>
    <n v="1368"/>
  </r>
  <r>
    <d v="2023-10-18T00:00:00"/>
    <x v="2"/>
    <x v="3"/>
    <n v="12"/>
    <n v="494"/>
    <x v="0"/>
    <s v="Wholesale"/>
    <n v="0.15"/>
    <x v="4"/>
    <x v="0"/>
    <n v="1"/>
    <x v="92"/>
    <s v="Cust 1127"/>
    <n v="18.05"/>
    <x v="90"/>
    <d v="2023-10-20T00:00:00"/>
    <s v="Ryan"/>
    <n v="5039"/>
  </r>
  <r>
    <d v="2025-04-13T00:00:00"/>
    <x v="0"/>
    <x v="2"/>
    <n v="10"/>
    <n v="463"/>
    <x v="2"/>
    <s v="Wholesale"/>
    <n v="0"/>
    <x v="5"/>
    <x v="2"/>
    <n v="0"/>
    <x v="93"/>
    <s v="Cust 4696"/>
    <n v="5.01"/>
    <x v="91"/>
    <d v="2025-04-15T00:00:00"/>
    <s v="Eric"/>
    <n v="4630"/>
  </r>
  <r>
    <d v="2025-05-13T00:00:00"/>
    <x v="3"/>
    <x v="0"/>
    <n v="7"/>
    <n v="460"/>
    <x v="1"/>
    <s v="Retail"/>
    <n v="0.05"/>
    <x v="1"/>
    <x v="4"/>
    <n v="1"/>
    <x v="94"/>
    <s v="Cust 3014"/>
    <n v="11.54"/>
    <x v="92"/>
    <d v="2025-05-23T00:00:00"/>
    <s v="Cameron"/>
    <n v="3059"/>
  </r>
  <r>
    <d v="2024-04-21T00:00:00"/>
    <x v="4"/>
    <x v="6"/>
    <n v="17"/>
    <n v="310"/>
    <x v="0"/>
    <s v="Wholesale"/>
    <n v="0.05"/>
    <x v="0"/>
    <x v="0"/>
    <n v="0"/>
    <x v="95"/>
    <s v="Cust 2539"/>
    <n v="6.11"/>
    <x v="93"/>
    <d v="2024-04-27T00:00:00"/>
    <s v="Wendy"/>
    <n v="5006"/>
  </r>
  <r>
    <d v="2025-01-31T00:00:00"/>
    <x v="3"/>
    <x v="4"/>
    <n v="1"/>
    <n v="324"/>
    <x v="0"/>
    <s v="Wholesale"/>
    <n v="0.05"/>
    <x v="0"/>
    <x v="2"/>
    <n v="0"/>
    <x v="96"/>
    <s v="Cust 3916"/>
    <n v="27.48"/>
    <x v="94"/>
    <d v="2025-02-08T00:00:00"/>
    <s v="Cameron"/>
    <n v="308"/>
  </r>
  <r>
    <d v="2025-03-14T00:00:00"/>
    <x v="3"/>
    <x v="3"/>
    <n v="10"/>
    <n v="503"/>
    <x v="2"/>
    <s v="Retail"/>
    <n v="0"/>
    <x v="5"/>
    <x v="2"/>
    <n v="0"/>
    <x v="97"/>
    <s v="Cust 6329"/>
    <n v="44.61"/>
    <x v="95"/>
    <d v="2025-03-19T00:00:00"/>
    <s v="Cameron"/>
    <n v="5030"/>
  </r>
  <r>
    <d v="2024-05-26T00:00:00"/>
    <x v="4"/>
    <x v="0"/>
    <n v="20"/>
    <n v="492"/>
    <x v="3"/>
    <s v="Wholesale"/>
    <n v="0.15"/>
    <x v="1"/>
    <x v="0"/>
    <n v="1"/>
    <x v="98"/>
    <s v="Cust 4384"/>
    <n v="43.46"/>
    <x v="96"/>
    <d v="2024-05-29T00:00:00"/>
    <s v="Wendy"/>
    <n v="8364"/>
  </r>
  <r>
    <d v="2023-07-22T00:00:00"/>
    <x v="2"/>
    <x v="1"/>
    <n v="17"/>
    <n v="468"/>
    <x v="1"/>
    <s v="Retail"/>
    <n v="0.05"/>
    <x v="3"/>
    <x v="2"/>
    <n v="0"/>
    <x v="99"/>
    <s v="Cust 7756"/>
    <n v="17.88"/>
    <x v="97"/>
    <d v="2023-07-26T00:00:00"/>
    <s v="Ryan"/>
    <n v="7558"/>
  </r>
  <r>
    <d v="2024-03-21T00:00:00"/>
    <x v="2"/>
    <x v="0"/>
    <n v="11"/>
    <n v="402"/>
    <x v="3"/>
    <s v="Retail"/>
    <n v="0.15"/>
    <x v="2"/>
    <x v="1"/>
    <n v="0"/>
    <x v="100"/>
    <s v="Cust 6086"/>
    <n v="48.03"/>
    <x v="58"/>
    <d v="2024-03-30T00:00:00"/>
    <s v="Ryan"/>
    <n v="3759"/>
  </r>
  <r>
    <d v="2023-04-05T00:00:00"/>
    <x v="4"/>
    <x v="6"/>
    <n v="3"/>
    <n v="221"/>
    <x v="0"/>
    <s v="Wholesale"/>
    <n v="0"/>
    <x v="2"/>
    <x v="4"/>
    <n v="0"/>
    <x v="101"/>
    <s v="Cust 3845"/>
    <n v="32.31"/>
    <x v="32"/>
    <d v="2023-04-08T00:00:00"/>
    <s v="Wendy"/>
    <n v="663"/>
  </r>
  <r>
    <d v="2024-08-26T00:00:00"/>
    <x v="0"/>
    <x v="4"/>
    <n v="6"/>
    <n v="188"/>
    <x v="2"/>
    <s v="Wholesale"/>
    <n v="0.05"/>
    <x v="1"/>
    <x v="1"/>
    <n v="0"/>
    <x v="102"/>
    <s v="Cust 9996"/>
    <n v="6.77"/>
    <x v="98"/>
    <d v="2024-09-01T00:00:00"/>
    <s v="Eric"/>
    <n v="1072"/>
  </r>
  <r>
    <d v="2024-07-07T00:00:00"/>
    <x v="2"/>
    <x v="2"/>
    <n v="3"/>
    <n v="566"/>
    <x v="3"/>
    <s v="Retail"/>
    <n v="0"/>
    <x v="5"/>
    <x v="1"/>
    <n v="1"/>
    <x v="103"/>
    <s v="Cust 1711"/>
    <n v="28.97"/>
    <x v="99"/>
    <d v="2024-07-17T00:00:00"/>
    <s v="Ryan"/>
    <n v="1698"/>
  </r>
  <r>
    <d v="2023-09-29T00:00:00"/>
    <x v="0"/>
    <x v="4"/>
    <n v="14"/>
    <n v="167"/>
    <x v="3"/>
    <s v="Retail"/>
    <n v="0.05"/>
    <x v="1"/>
    <x v="1"/>
    <n v="1"/>
    <x v="104"/>
    <s v="Cust 4522"/>
    <n v="47.05"/>
    <x v="100"/>
    <d v="2023-10-08T00:00:00"/>
    <s v="Eric"/>
    <n v="2221"/>
  </r>
  <r>
    <d v="2023-10-04T00:00:00"/>
    <x v="4"/>
    <x v="4"/>
    <n v="16"/>
    <n v="36"/>
    <x v="2"/>
    <s v="Wholesale"/>
    <n v="0.1"/>
    <x v="3"/>
    <x v="3"/>
    <n v="0"/>
    <x v="105"/>
    <s v="Cust 4233"/>
    <n v="26.64"/>
    <x v="101"/>
    <d v="2023-10-11T00:00:00"/>
    <s v="Wendy"/>
    <n v="518"/>
  </r>
  <r>
    <d v="2025-06-09T00:00:00"/>
    <x v="3"/>
    <x v="6"/>
    <n v="2"/>
    <n v="74"/>
    <x v="0"/>
    <s v="Wholesale"/>
    <n v="0.05"/>
    <x v="3"/>
    <x v="3"/>
    <n v="0"/>
    <x v="106"/>
    <s v="Cust 4121"/>
    <n v="28.05"/>
    <x v="102"/>
    <d v="2025-06-16T00:00:00"/>
    <s v="Cameron"/>
    <n v="141"/>
  </r>
  <r>
    <d v="2025-06-12T00:00:00"/>
    <x v="0"/>
    <x v="6"/>
    <n v="16"/>
    <n v="459"/>
    <x v="1"/>
    <s v="Wholesale"/>
    <n v="0.1"/>
    <x v="0"/>
    <x v="0"/>
    <n v="0"/>
    <x v="107"/>
    <s v="Cust 9092"/>
    <n v="26.99"/>
    <x v="103"/>
    <d v="2025-06-14T00:00:00"/>
    <s v="Eric"/>
    <n v="6610"/>
  </r>
  <r>
    <d v="2024-06-29T00:00:00"/>
    <x v="0"/>
    <x v="3"/>
    <n v="3"/>
    <n v="168"/>
    <x v="1"/>
    <s v="Retail"/>
    <n v="0"/>
    <x v="3"/>
    <x v="4"/>
    <n v="1"/>
    <x v="108"/>
    <s v="Cust 9090"/>
    <n v="21.08"/>
    <x v="104"/>
    <d v="2024-07-06T00:00:00"/>
    <s v="Eric"/>
    <n v="504"/>
  </r>
  <r>
    <d v="2024-03-23T00:00:00"/>
    <x v="2"/>
    <x v="6"/>
    <n v="14"/>
    <n v="38"/>
    <x v="0"/>
    <s v="Retail"/>
    <n v="0.15"/>
    <x v="1"/>
    <x v="2"/>
    <n v="1"/>
    <x v="109"/>
    <s v="Cust 1983"/>
    <n v="49.6"/>
    <x v="105"/>
    <d v="2024-04-02T00:00:00"/>
    <s v="Ryan"/>
    <n v="452"/>
  </r>
  <r>
    <d v="2024-07-14T00:00:00"/>
    <x v="1"/>
    <x v="5"/>
    <n v="4"/>
    <n v="151"/>
    <x v="0"/>
    <s v="Wholesale"/>
    <n v="0"/>
    <x v="1"/>
    <x v="1"/>
    <n v="1"/>
    <x v="110"/>
    <s v="Cust 8834"/>
    <n v="41.4"/>
    <x v="106"/>
    <d v="2024-07-21T00:00:00"/>
    <s v="Sophie"/>
    <n v="604"/>
  </r>
  <r>
    <d v="2024-03-15T00:00:00"/>
    <x v="1"/>
    <x v="5"/>
    <n v="17"/>
    <n v="79"/>
    <x v="1"/>
    <s v="Wholesale"/>
    <n v="0.1"/>
    <x v="5"/>
    <x v="1"/>
    <n v="0"/>
    <x v="111"/>
    <s v="Cust 9780"/>
    <n v="8.02"/>
    <x v="107"/>
    <d v="2024-03-25T00:00:00"/>
    <s v="Sophie"/>
    <n v="1209"/>
  </r>
  <r>
    <d v="2025-04-19T00:00:00"/>
    <x v="3"/>
    <x v="3"/>
    <n v="15"/>
    <n v="37"/>
    <x v="0"/>
    <s v="Retail"/>
    <n v="0.05"/>
    <x v="3"/>
    <x v="4"/>
    <n v="1"/>
    <x v="112"/>
    <s v="Cust 1293"/>
    <n v="43.69"/>
    <x v="108"/>
    <d v="2025-04-24T00:00:00"/>
    <s v="Cameron"/>
    <n v="527"/>
  </r>
  <r>
    <d v="2024-02-15T00:00:00"/>
    <x v="4"/>
    <x v="5"/>
    <n v="18"/>
    <n v="537"/>
    <x v="1"/>
    <s v="Wholesale"/>
    <n v="0.15"/>
    <x v="3"/>
    <x v="3"/>
    <n v="0"/>
    <x v="113"/>
    <s v="Cust 3173"/>
    <n v="23.94"/>
    <x v="37"/>
    <d v="2024-02-20T00:00:00"/>
    <s v="Wendy"/>
    <n v="8216"/>
  </r>
  <r>
    <d v="2024-01-25T00:00:00"/>
    <x v="0"/>
    <x v="2"/>
    <n v="5"/>
    <n v="216"/>
    <x v="2"/>
    <s v="Wholesale"/>
    <n v="0"/>
    <x v="2"/>
    <x v="0"/>
    <n v="0"/>
    <x v="114"/>
    <s v="Cust 8641"/>
    <n v="28.36"/>
    <x v="109"/>
    <d v="2024-02-04T00:00:00"/>
    <s v="Eric"/>
    <n v="1080"/>
  </r>
  <r>
    <d v="2025-04-15T00:00:00"/>
    <x v="3"/>
    <x v="0"/>
    <n v="18"/>
    <n v="210"/>
    <x v="3"/>
    <s v="Wholesale"/>
    <n v="0"/>
    <x v="3"/>
    <x v="2"/>
    <n v="0"/>
    <x v="115"/>
    <s v="Cust 7656"/>
    <n v="38.229999999999997"/>
    <x v="110"/>
    <d v="2025-04-23T00:00:00"/>
    <s v="Cameron"/>
    <n v="3780"/>
  </r>
  <r>
    <d v="2025-04-15T00:00:00"/>
    <x v="3"/>
    <x v="3"/>
    <n v="8"/>
    <n v="349"/>
    <x v="1"/>
    <s v="Retail"/>
    <n v="0.1"/>
    <x v="2"/>
    <x v="0"/>
    <n v="0"/>
    <x v="116"/>
    <s v="Cust 5523"/>
    <n v="19.170000000000002"/>
    <x v="110"/>
    <d v="2025-04-20T00:00:00"/>
    <s v="Cameron"/>
    <n v="2513"/>
  </r>
  <r>
    <d v="2024-08-11T00:00:00"/>
    <x v="4"/>
    <x v="6"/>
    <n v="2"/>
    <n v="289"/>
    <x v="2"/>
    <s v="Retail"/>
    <n v="0.05"/>
    <x v="4"/>
    <x v="0"/>
    <n v="0"/>
    <x v="117"/>
    <s v="Cust 2015"/>
    <n v="5.13"/>
    <x v="111"/>
    <d v="2024-08-13T00:00:00"/>
    <s v="Wendy"/>
    <n v="549"/>
  </r>
  <r>
    <d v="2023-12-01T00:00:00"/>
    <x v="1"/>
    <x v="2"/>
    <n v="5"/>
    <n v="397"/>
    <x v="0"/>
    <s v="Wholesale"/>
    <n v="0"/>
    <x v="4"/>
    <x v="2"/>
    <n v="0"/>
    <x v="118"/>
    <s v="Cust 6895"/>
    <n v="48.63"/>
    <x v="112"/>
    <d v="2023-12-08T00:00:00"/>
    <s v="Sophie"/>
    <n v="1985"/>
  </r>
  <r>
    <d v="2023-08-06T00:00:00"/>
    <x v="3"/>
    <x v="0"/>
    <n v="10"/>
    <n v="509"/>
    <x v="3"/>
    <s v="Retail"/>
    <n v="0.05"/>
    <x v="5"/>
    <x v="0"/>
    <n v="0"/>
    <x v="119"/>
    <s v="Cust 1797"/>
    <n v="9.35"/>
    <x v="23"/>
    <d v="2023-08-11T00:00:00"/>
    <s v="Cameron"/>
    <n v="4836"/>
  </r>
  <r>
    <d v="2024-01-24T00:00:00"/>
    <x v="3"/>
    <x v="0"/>
    <n v="11"/>
    <n v="260"/>
    <x v="2"/>
    <s v="Wholesale"/>
    <n v="0.1"/>
    <x v="3"/>
    <x v="4"/>
    <n v="0"/>
    <x v="120"/>
    <s v="Cust 9969"/>
    <n v="13.73"/>
    <x v="113"/>
    <d v="2024-01-31T00:00:00"/>
    <s v="Cameron"/>
    <n v="2574"/>
  </r>
  <r>
    <d v="2024-03-07T00:00:00"/>
    <x v="3"/>
    <x v="3"/>
    <n v="9"/>
    <n v="313"/>
    <x v="3"/>
    <s v="Retail"/>
    <n v="0"/>
    <x v="3"/>
    <x v="0"/>
    <n v="0"/>
    <x v="121"/>
    <s v="Cust 1815"/>
    <n v="14.04"/>
    <x v="114"/>
    <d v="2024-03-13T00:00:00"/>
    <s v="Cameron"/>
    <n v="2817"/>
  </r>
  <r>
    <d v="2024-01-22T00:00:00"/>
    <x v="1"/>
    <x v="5"/>
    <n v="5"/>
    <n v="107"/>
    <x v="2"/>
    <s v="Wholesale"/>
    <n v="0.1"/>
    <x v="3"/>
    <x v="3"/>
    <n v="1"/>
    <x v="122"/>
    <s v="Cust 7773"/>
    <n v="25.24"/>
    <x v="115"/>
    <d v="2024-01-28T00:00:00"/>
    <s v="Sophie"/>
    <n v="482"/>
  </r>
  <r>
    <d v="2023-02-23T00:00:00"/>
    <x v="0"/>
    <x v="6"/>
    <n v="1"/>
    <n v="109"/>
    <x v="0"/>
    <s v="Retail"/>
    <n v="0.15"/>
    <x v="2"/>
    <x v="4"/>
    <n v="1"/>
    <x v="123"/>
    <s v="Cust 1499"/>
    <n v="8.0299999999999994"/>
    <x v="0"/>
    <d v="2023-02-27T00:00:00"/>
    <s v="Eric"/>
    <n v="93"/>
  </r>
  <r>
    <d v="2023-06-14T00:00:00"/>
    <x v="2"/>
    <x v="5"/>
    <n v="8"/>
    <n v="324"/>
    <x v="0"/>
    <s v="Retail"/>
    <n v="0"/>
    <x v="4"/>
    <x v="4"/>
    <n v="1"/>
    <x v="124"/>
    <s v="Cust 3809"/>
    <n v="35.229999999999997"/>
    <x v="116"/>
    <d v="2023-06-22T00:00:00"/>
    <s v="Ryan"/>
    <n v="2592"/>
  </r>
  <r>
    <d v="2025-05-13T00:00:00"/>
    <x v="2"/>
    <x v="0"/>
    <n v="16"/>
    <n v="384"/>
    <x v="1"/>
    <s v="Retail"/>
    <n v="0.05"/>
    <x v="2"/>
    <x v="4"/>
    <n v="0"/>
    <x v="125"/>
    <s v="Cust 7824"/>
    <n v="21.5"/>
    <x v="92"/>
    <d v="2025-05-15T00:00:00"/>
    <s v="Ryan"/>
    <n v="5837"/>
  </r>
  <r>
    <d v="2024-07-30T00:00:00"/>
    <x v="3"/>
    <x v="6"/>
    <n v="16"/>
    <n v="164"/>
    <x v="2"/>
    <s v="Retail"/>
    <n v="0.15"/>
    <x v="4"/>
    <x v="1"/>
    <n v="0"/>
    <x v="126"/>
    <s v="Cust 7258"/>
    <n v="37.950000000000003"/>
    <x v="117"/>
    <d v="2024-08-06T00:00:00"/>
    <s v="Cameron"/>
    <n v="2230"/>
  </r>
  <r>
    <d v="2024-07-18T00:00:00"/>
    <x v="0"/>
    <x v="5"/>
    <n v="5"/>
    <n v="23"/>
    <x v="0"/>
    <s v="Wholesale"/>
    <n v="0"/>
    <x v="2"/>
    <x v="2"/>
    <n v="0"/>
    <x v="127"/>
    <s v="Cust 1151"/>
    <n v="26.44"/>
    <x v="118"/>
    <d v="2024-07-27T00:00:00"/>
    <s v="Eric"/>
    <n v="115"/>
  </r>
  <r>
    <d v="2024-08-26T00:00:00"/>
    <x v="0"/>
    <x v="6"/>
    <n v="20"/>
    <n v="489"/>
    <x v="2"/>
    <s v="Wholesale"/>
    <n v="0.15"/>
    <x v="0"/>
    <x v="1"/>
    <n v="0"/>
    <x v="128"/>
    <s v="Cust 6486"/>
    <n v="21.77"/>
    <x v="98"/>
    <d v="2024-09-01T00:00:00"/>
    <s v="Eric"/>
    <n v="8313"/>
  </r>
  <r>
    <d v="2025-06-08T00:00:00"/>
    <x v="4"/>
    <x v="5"/>
    <n v="7"/>
    <n v="453"/>
    <x v="1"/>
    <s v="Wholesale"/>
    <n v="0.05"/>
    <x v="2"/>
    <x v="1"/>
    <n v="0"/>
    <x v="129"/>
    <s v="Cust 4034"/>
    <n v="46.97"/>
    <x v="119"/>
    <d v="2025-06-15T00:00:00"/>
    <s v="Wendy"/>
    <n v="3012"/>
  </r>
  <r>
    <d v="2025-05-16T00:00:00"/>
    <x v="2"/>
    <x v="2"/>
    <n v="11"/>
    <n v="465"/>
    <x v="1"/>
    <s v="Wholesale"/>
    <n v="0"/>
    <x v="3"/>
    <x v="3"/>
    <n v="1"/>
    <x v="130"/>
    <s v="Cust 9794"/>
    <n v="17.59"/>
    <x v="120"/>
    <d v="2025-05-23T00:00:00"/>
    <s v="Ryan"/>
    <n v="5115"/>
  </r>
  <r>
    <d v="2024-07-18T00:00:00"/>
    <x v="0"/>
    <x v="1"/>
    <n v="14"/>
    <n v="443"/>
    <x v="0"/>
    <s v="Retail"/>
    <n v="0"/>
    <x v="0"/>
    <x v="1"/>
    <n v="0"/>
    <x v="131"/>
    <s v="Cust 2414"/>
    <n v="28.76"/>
    <x v="118"/>
    <d v="2024-07-24T00:00:00"/>
    <s v="Eric"/>
    <n v="6202"/>
  </r>
  <r>
    <d v="2023-09-17T00:00:00"/>
    <x v="4"/>
    <x v="0"/>
    <n v="12"/>
    <n v="469"/>
    <x v="0"/>
    <s v="Wholesale"/>
    <n v="0"/>
    <x v="5"/>
    <x v="0"/>
    <n v="0"/>
    <x v="132"/>
    <s v="Cust 9024"/>
    <n v="33.299999999999997"/>
    <x v="121"/>
    <d v="2023-09-26T00:00:00"/>
    <s v="Wendy"/>
    <n v="5628"/>
  </r>
  <r>
    <d v="2023-03-13T00:00:00"/>
    <x v="0"/>
    <x v="4"/>
    <n v="14"/>
    <n v="249"/>
    <x v="2"/>
    <s v="Wholesale"/>
    <n v="0.05"/>
    <x v="5"/>
    <x v="3"/>
    <n v="1"/>
    <x v="133"/>
    <s v="Cust 2663"/>
    <n v="21.76"/>
    <x v="122"/>
    <d v="2023-03-19T00:00:00"/>
    <s v="Eric"/>
    <n v="3312"/>
  </r>
  <r>
    <d v="2023-03-29T00:00:00"/>
    <x v="1"/>
    <x v="3"/>
    <n v="4"/>
    <n v="565"/>
    <x v="3"/>
    <s v="Wholesale"/>
    <n v="0.05"/>
    <x v="1"/>
    <x v="4"/>
    <n v="0"/>
    <x v="134"/>
    <s v="Cust 2293"/>
    <n v="27.04"/>
    <x v="88"/>
    <d v="2023-04-03T00:00:00"/>
    <s v="Sophie"/>
    <n v="2147"/>
  </r>
  <r>
    <d v="2023-07-14T00:00:00"/>
    <x v="3"/>
    <x v="2"/>
    <n v="12"/>
    <n v="245"/>
    <x v="0"/>
    <s v="Wholesale"/>
    <n v="0.05"/>
    <x v="2"/>
    <x v="0"/>
    <n v="0"/>
    <x v="135"/>
    <s v="Cust 8963"/>
    <n v="44.75"/>
    <x v="123"/>
    <d v="2023-07-23T00:00:00"/>
    <s v="Cameron"/>
    <n v="2793"/>
  </r>
  <r>
    <d v="2024-03-22T00:00:00"/>
    <x v="4"/>
    <x v="0"/>
    <n v="13"/>
    <n v="291"/>
    <x v="2"/>
    <s v="Retail"/>
    <n v="0.05"/>
    <x v="4"/>
    <x v="2"/>
    <n v="0"/>
    <x v="136"/>
    <s v="Cust 9238"/>
    <n v="26.09"/>
    <x v="124"/>
    <d v="2024-03-31T00:00:00"/>
    <s v="Wendy"/>
    <n v="3594"/>
  </r>
  <r>
    <d v="2024-05-14T00:00:00"/>
    <x v="3"/>
    <x v="0"/>
    <n v="11"/>
    <n v="229"/>
    <x v="2"/>
    <s v="Retail"/>
    <n v="0.1"/>
    <x v="5"/>
    <x v="4"/>
    <n v="0"/>
    <x v="137"/>
    <s v="Cust 1390"/>
    <n v="35.39"/>
    <x v="125"/>
    <d v="2024-05-17T00:00:00"/>
    <s v="Cameron"/>
    <n v="2267"/>
  </r>
  <r>
    <d v="2023-05-30T00:00:00"/>
    <x v="3"/>
    <x v="4"/>
    <n v="2"/>
    <n v="427"/>
    <x v="1"/>
    <s v="Wholesale"/>
    <n v="0.05"/>
    <x v="4"/>
    <x v="0"/>
    <n v="0"/>
    <x v="138"/>
    <s v="Cust 8548"/>
    <n v="19.420000000000002"/>
    <x v="126"/>
    <d v="2023-06-02T00:00:00"/>
    <s v="Cameron"/>
    <n v="811"/>
  </r>
  <r>
    <d v="2023-03-19T00:00:00"/>
    <x v="2"/>
    <x v="1"/>
    <n v="2"/>
    <n v="444"/>
    <x v="2"/>
    <s v="Wholesale"/>
    <n v="0.05"/>
    <x v="1"/>
    <x v="4"/>
    <n v="0"/>
    <x v="139"/>
    <s v="Cust 2919"/>
    <n v="13.65"/>
    <x v="127"/>
    <d v="2023-03-22T00:00:00"/>
    <s v="Ryan"/>
    <n v="844"/>
  </r>
  <r>
    <d v="2023-08-09T00:00:00"/>
    <x v="3"/>
    <x v="2"/>
    <n v="13"/>
    <n v="281"/>
    <x v="0"/>
    <s v="Wholesale"/>
    <n v="0.15"/>
    <x v="1"/>
    <x v="2"/>
    <n v="0"/>
    <x v="140"/>
    <s v="Cust 5847"/>
    <n v="10.14"/>
    <x v="128"/>
    <d v="2023-08-14T00:00:00"/>
    <s v="Cameron"/>
    <n v="3105"/>
  </r>
  <r>
    <d v="2024-10-13T00:00:00"/>
    <x v="2"/>
    <x v="3"/>
    <n v="13"/>
    <n v="417"/>
    <x v="0"/>
    <s v="Wholesale"/>
    <n v="0.15"/>
    <x v="5"/>
    <x v="2"/>
    <n v="0"/>
    <x v="141"/>
    <s v="Cust 5711"/>
    <n v="21.74"/>
    <x v="129"/>
    <d v="2024-10-20T00:00:00"/>
    <s v="Ryan"/>
    <n v="4608"/>
  </r>
  <r>
    <d v="2025-02-17T00:00:00"/>
    <x v="0"/>
    <x v="3"/>
    <n v="11"/>
    <n v="589"/>
    <x v="0"/>
    <s v="Retail"/>
    <n v="0"/>
    <x v="1"/>
    <x v="0"/>
    <n v="0"/>
    <x v="142"/>
    <s v="Cust 5461"/>
    <n v="49.93"/>
    <x v="130"/>
    <d v="2025-02-25T00:00:00"/>
    <s v="Eric"/>
    <n v="6479"/>
  </r>
  <r>
    <d v="2025-06-11T00:00:00"/>
    <x v="2"/>
    <x v="1"/>
    <n v="18"/>
    <n v="153"/>
    <x v="2"/>
    <s v="Retail"/>
    <n v="0.15"/>
    <x v="4"/>
    <x v="3"/>
    <n v="1"/>
    <x v="143"/>
    <s v="Cust 8905"/>
    <n v="20.3"/>
    <x v="54"/>
    <d v="2025-06-20T00:00:00"/>
    <s v="Ryan"/>
    <n v="2341"/>
  </r>
  <r>
    <d v="2024-04-29T00:00:00"/>
    <x v="3"/>
    <x v="5"/>
    <n v="4"/>
    <n v="164"/>
    <x v="0"/>
    <s v="Retail"/>
    <n v="0"/>
    <x v="5"/>
    <x v="1"/>
    <n v="1"/>
    <x v="144"/>
    <s v="Cust 9618"/>
    <n v="31.8"/>
    <x v="131"/>
    <d v="2024-05-01T00:00:00"/>
    <s v="Cameron"/>
    <n v="656"/>
  </r>
  <r>
    <d v="2023-03-18T00:00:00"/>
    <x v="4"/>
    <x v="0"/>
    <n v="19"/>
    <n v="484"/>
    <x v="2"/>
    <s v="Wholesale"/>
    <n v="0.15"/>
    <x v="5"/>
    <x v="3"/>
    <n v="1"/>
    <x v="145"/>
    <s v="Cust 5203"/>
    <n v="29.51"/>
    <x v="132"/>
    <d v="2023-03-20T00:00:00"/>
    <s v="Wendy"/>
    <n v="7817"/>
  </r>
  <r>
    <d v="2024-12-21T00:00:00"/>
    <x v="2"/>
    <x v="3"/>
    <n v="9"/>
    <n v="380"/>
    <x v="0"/>
    <s v="Retail"/>
    <n v="0.1"/>
    <x v="3"/>
    <x v="2"/>
    <n v="0"/>
    <x v="146"/>
    <s v="Cust 1732"/>
    <n v="31"/>
    <x v="133"/>
    <d v="2024-12-27T00:00:00"/>
    <s v="Ryan"/>
    <n v="3078"/>
  </r>
  <r>
    <d v="2023-04-23T00:00:00"/>
    <x v="4"/>
    <x v="3"/>
    <n v="17"/>
    <n v="332"/>
    <x v="1"/>
    <s v="Retail"/>
    <n v="0.1"/>
    <x v="2"/>
    <x v="2"/>
    <n v="1"/>
    <x v="147"/>
    <s v="Cust 4734"/>
    <n v="33.81"/>
    <x v="134"/>
    <d v="2023-05-02T00:00:00"/>
    <s v="Wendy"/>
    <n v="5080"/>
  </r>
  <r>
    <d v="2025-05-11T00:00:00"/>
    <x v="3"/>
    <x v="3"/>
    <n v="15"/>
    <n v="211"/>
    <x v="2"/>
    <s v="Wholesale"/>
    <n v="0.05"/>
    <x v="2"/>
    <x v="0"/>
    <n v="0"/>
    <x v="148"/>
    <s v="Cust 5895"/>
    <n v="10.91"/>
    <x v="15"/>
    <d v="2025-05-21T00:00:00"/>
    <s v="Cameron"/>
    <n v="3007"/>
  </r>
  <r>
    <d v="2024-03-03T00:00:00"/>
    <x v="1"/>
    <x v="1"/>
    <n v="9"/>
    <n v="383"/>
    <x v="3"/>
    <s v="Wholesale"/>
    <n v="0"/>
    <x v="0"/>
    <x v="4"/>
    <n v="0"/>
    <x v="149"/>
    <s v="Cust 9691"/>
    <n v="47.94"/>
    <x v="69"/>
    <d v="2024-03-05T00:00:00"/>
    <s v="Sophie"/>
    <n v="3447"/>
  </r>
  <r>
    <d v="2025-01-20T00:00:00"/>
    <x v="2"/>
    <x v="4"/>
    <n v="3"/>
    <n v="386"/>
    <x v="2"/>
    <s v="Retail"/>
    <n v="0.15"/>
    <x v="3"/>
    <x v="2"/>
    <n v="0"/>
    <x v="150"/>
    <s v="Cust 5406"/>
    <n v="32.450000000000003"/>
    <x v="135"/>
    <d v="2025-01-30T00:00:00"/>
    <s v="Ryan"/>
    <n v="984"/>
  </r>
  <r>
    <d v="2025-03-22T00:00:00"/>
    <x v="2"/>
    <x v="5"/>
    <n v="5"/>
    <n v="226"/>
    <x v="2"/>
    <s v="Retail"/>
    <n v="0"/>
    <x v="0"/>
    <x v="0"/>
    <n v="1"/>
    <x v="151"/>
    <s v="Cust 5750"/>
    <n v="10.88"/>
    <x v="61"/>
    <d v="2025-03-30T00:00:00"/>
    <s v="Ryan"/>
    <n v="1130"/>
  </r>
  <r>
    <d v="2025-03-28T00:00:00"/>
    <x v="1"/>
    <x v="6"/>
    <n v="20"/>
    <n v="313"/>
    <x v="3"/>
    <s v="Retail"/>
    <n v="0.15"/>
    <x v="2"/>
    <x v="1"/>
    <n v="0"/>
    <x v="152"/>
    <s v="Cust 6506"/>
    <n v="47.39"/>
    <x v="136"/>
    <d v="2025-03-30T00:00:00"/>
    <s v="Sophie"/>
    <n v="5321"/>
  </r>
  <r>
    <d v="2025-02-17T00:00:00"/>
    <x v="2"/>
    <x v="1"/>
    <n v="13"/>
    <n v="434"/>
    <x v="2"/>
    <s v="Wholesale"/>
    <n v="0.05"/>
    <x v="2"/>
    <x v="4"/>
    <n v="0"/>
    <x v="153"/>
    <s v="Cust 8280"/>
    <n v="17.61"/>
    <x v="130"/>
    <d v="2025-02-21T00:00:00"/>
    <s v="Ryan"/>
    <n v="5360"/>
  </r>
  <r>
    <d v="2024-11-08T00:00:00"/>
    <x v="1"/>
    <x v="5"/>
    <n v="20"/>
    <n v="159"/>
    <x v="1"/>
    <s v="Wholesale"/>
    <n v="0"/>
    <x v="0"/>
    <x v="0"/>
    <n v="0"/>
    <x v="154"/>
    <s v="Cust 4358"/>
    <n v="26.32"/>
    <x v="137"/>
    <d v="2024-11-11T00:00:00"/>
    <s v="Sophie"/>
    <n v="3180"/>
  </r>
  <r>
    <d v="2024-03-17T00:00:00"/>
    <x v="1"/>
    <x v="1"/>
    <n v="18"/>
    <n v="32"/>
    <x v="0"/>
    <s v="Retail"/>
    <n v="0.05"/>
    <x v="5"/>
    <x v="2"/>
    <n v="0"/>
    <x v="155"/>
    <s v="Cust 3588"/>
    <n v="6.04"/>
    <x v="138"/>
    <d v="2024-03-21T00:00:00"/>
    <s v="Sophie"/>
    <n v="547"/>
  </r>
  <r>
    <d v="2023-08-29T00:00:00"/>
    <x v="1"/>
    <x v="4"/>
    <n v="3"/>
    <n v="528"/>
    <x v="2"/>
    <s v="Retail"/>
    <n v="0.1"/>
    <x v="5"/>
    <x v="4"/>
    <n v="0"/>
    <x v="156"/>
    <s v="Cust 4539"/>
    <n v="48.66"/>
    <x v="139"/>
    <d v="2023-09-01T00:00:00"/>
    <s v="Sophie"/>
    <n v="1426"/>
  </r>
  <r>
    <d v="2023-06-22T00:00:00"/>
    <x v="1"/>
    <x v="3"/>
    <n v="14"/>
    <n v="291"/>
    <x v="1"/>
    <s v="Retail"/>
    <n v="0"/>
    <x v="3"/>
    <x v="4"/>
    <n v="0"/>
    <x v="157"/>
    <s v="Cust 7067"/>
    <n v="39.979999999999997"/>
    <x v="19"/>
    <d v="2023-06-30T00:00:00"/>
    <s v="Sophie"/>
    <n v="4074"/>
  </r>
  <r>
    <d v="2024-02-24T00:00:00"/>
    <x v="1"/>
    <x v="1"/>
    <n v="8"/>
    <n v="350"/>
    <x v="2"/>
    <s v="Retail"/>
    <n v="0"/>
    <x v="1"/>
    <x v="1"/>
    <n v="1"/>
    <x v="158"/>
    <s v="Cust 7720"/>
    <n v="31.65"/>
    <x v="62"/>
    <d v="2024-03-01T00:00:00"/>
    <s v="Sophie"/>
    <n v="2800"/>
  </r>
  <r>
    <d v="2024-04-10T00:00:00"/>
    <x v="2"/>
    <x v="1"/>
    <n v="10"/>
    <n v="195"/>
    <x v="3"/>
    <s v="Retail"/>
    <n v="0.05"/>
    <x v="1"/>
    <x v="2"/>
    <n v="0"/>
    <x v="159"/>
    <s v="Cust 5668"/>
    <n v="46.91"/>
    <x v="10"/>
    <d v="2024-04-15T00:00:00"/>
    <s v="Ryan"/>
    <n v="1852"/>
  </r>
  <r>
    <d v="2023-05-14T00:00:00"/>
    <x v="1"/>
    <x v="4"/>
    <n v="13"/>
    <n v="291"/>
    <x v="1"/>
    <s v="Wholesale"/>
    <n v="0"/>
    <x v="1"/>
    <x v="0"/>
    <n v="0"/>
    <x v="160"/>
    <s v="Cust 8367"/>
    <n v="7.66"/>
    <x v="140"/>
    <d v="2023-05-19T00:00:00"/>
    <s v="Sophie"/>
    <n v="3783"/>
  </r>
  <r>
    <d v="2023-03-11T00:00:00"/>
    <x v="1"/>
    <x v="4"/>
    <n v="6"/>
    <n v="94"/>
    <x v="0"/>
    <s v="Wholesale"/>
    <n v="0.15"/>
    <x v="0"/>
    <x v="2"/>
    <n v="0"/>
    <x v="161"/>
    <s v="Cust 4438"/>
    <n v="11"/>
    <x v="141"/>
    <d v="2023-03-18T00:00:00"/>
    <s v="Sophie"/>
    <n v="479"/>
  </r>
  <r>
    <d v="2024-08-24T00:00:00"/>
    <x v="3"/>
    <x v="6"/>
    <n v="5"/>
    <n v="16"/>
    <x v="3"/>
    <s v="Retail"/>
    <n v="0"/>
    <x v="0"/>
    <x v="2"/>
    <n v="1"/>
    <x v="162"/>
    <s v="Cust 3481"/>
    <n v="8.66"/>
    <x v="142"/>
    <d v="2024-08-26T00:00:00"/>
    <s v="Cameron"/>
    <n v="80"/>
  </r>
  <r>
    <d v="2024-02-23T00:00:00"/>
    <x v="1"/>
    <x v="4"/>
    <n v="16"/>
    <n v="120"/>
    <x v="3"/>
    <s v="Retail"/>
    <n v="0.15"/>
    <x v="5"/>
    <x v="4"/>
    <n v="0"/>
    <x v="163"/>
    <s v="Cust 1489"/>
    <n v="8.42"/>
    <x v="143"/>
    <d v="2024-03-01T00:00:00"/>
    <s v="Sophie"/>
    <n v="1632"/>
  </r>
  <r>
    <d v="2024-01-30T00:00:00"/>
    <x v="2"/>
    <x v="4"/>
    <n v="11"/>
    <n v="119"/>
    <x v="1"/>
    <s v="Retail"/>
    <n v="0.05"/>
    <x v="0"/>
    <x v="0"/>
    <n v="0"/>
    <x v="164"/>
    <s v="Cust 6649"/>
    <n v="39.32"/>
    <x v="144"/>
    <d v="2024-02-06T00:00:00"/>
    <s v="Ryan"/>
    <n v="1244"/>
  </r>
  <r>
    <d v="2024-01-23T00:00:00"/>
    <x v="0"/>
    <x v="5"/>
    <n v="10"/>
    <n v="92"/>
    <x v="2"/>
    <s v="Wholesale"/>
    <n v="0.1"/>
    <x v="2"/>
    <x v="4"/>
    <n v="1"/>
    <x v="165"/>
    <s v="Cust 6114"/>
    <n v="42.61"/>
    <x v="145"/>
    <d v="2024-01-29T00:00:00"/>
    <s v="Eric"/>
    <n v="828"/>
  </r>
  <r>
    <d v="2023-01-05T00:00:00"/>
    <x v="2"/>
    <x v="0"/>
    <n v="19"/>
    <n v="464"/>
    <x v="0"/>
    <s v="Retail"/>
    <n v="0"/>
    <x v="5"/>
    <x v="4"/>
    <n v="0"/>
    <x v="166"/>
    <s v="Cust 9589"/>
    <n v="49.38"/>
    <x v="82"/>
    <d v="2023-01-08T00:00:00"/>
    <s v="Ryan"/>
    <n v="8816"/>
  </r>
  <r>
    <d v="2023-12-21T00:00:00"/>
    <x v="2"/>
    <x v="2"/>
    <n v="7"/>
    <n v="285"/>
    <x v="3"/>
    <s v="Wholesale"/>
    <n v="0.05"/>
    <x v="5"/>
    <x v="1"/>
    <n v="0"/>
    <x v="167"/>
    <s v="Cust 8184"/>
    <n v="5.36"/>
    <x v="146"/>
    <d v="2023-12-30T00:00:00"/>
    <s v="Ryan"/>
    <n v="1895"/>
  </r>
  <r>
    <d v="2023-05-25T00:00:00"/>
    <x v="4"/>
    <x v="0"/>
    <n v="20"/>
    <n v="343"/>
    <x v="2"/>
    <s v="Wholesale"/>
    <n v="0.05"/>
    <x v="1"/>
    <x v="3"/>
    <n v="0"/>
    <x v="168"/>
    <s v="Cust 2490"/>
    <n v="28.77"/>
    <x v="147"/>
    <d v="2023-06-02T00:00:00"/>
    <s v="Wendy"/>
    <n v="6517"/>
  </r>
  <r>
    <d v="2025-06-30T00:00:00"/>
    <x v="3"/>
    <x v="3"/>
    <n v="6"/>
    <n v="95"/>
    <x v="3"/>
    <s v="Wholesale"/>
    <n v="0.15"/>
    <x v="4"/>
    <x v="1"/>
    <n v="0"/>
    <x v="169"/>
    <s v="Cust 1647"/>
    <n v="18.72"/>
    <x v="148"/>
    <d v="2025-07-08T00:00:00"/>
    <s v="Cameron"/>
    <n v="484"/>
  </r>
  <r>
    <d v="2025-02-12T00:00:00"/>
    <x v="4"/>
    <x v="2"/>
    <n v="13"/>
    <n v="105"/>
    <x v="0"/>
    <s v="Retail"/>
    <n v="0.05"/>
    <x v="4"/>
    <x v="2"/>
    <n v="0"/>
    <x v="170"/>
    <s v="Cust 2017"/>
    <n v="7.79"/>
    <x v="149"/>
    <d v="2025-02-19T00:00:00"/>
    <s v="Wendy"/>
    <n v="1297"/>
  </r>
  <r>
    <d v="2024-01-03T00:00:00"/>
    <x v="4"/>
    <x v="5"/>
    <n v="12"/>
    <n v="164"/>
    <x v="0"/>
    <s v="Wholesale"/>
    <n v="0.1"/>
    <x v="0"/>
    <x v="4"/>
    <n v="1"/>
    <x v="171"/>
    <s v="Cust 3446"/>
    <n v="38.9"/>
    <x v="150"/>
    <d v="2024-01-07T00:00:00"/>
    <s v="Wendy"/>
    <n v="1771"/>
  </r>
  <r>
    <d v="2023-02-03T00:00:00"/>
    <x v="1"/>
    <x v="5"/>
    <n v="10"/>
    <n v="325"/>
    <x v="2"/>
    <s v="Wholesale"/>
    <n v="0.1"/>
    <x v="1"/>
    <x v="4"/>
    <n v="0"/>
    <x v="172"/>
    <s v="Cust 4877"/>
    <n v="47.39"/>
    <x v="151"/>
    <d v="2023-02-13T00:00:00"/>
    <s v="Sophie"/>
    <n v="2925"/>
  </r>
  <r>
    <d v="2024-03-01T00:00:00"/>
    <x v="0"/>
    <x v="4"/>
    <n v="17"/>
    <n v="543"/>
    <x v="1"/>
    <s v="Wholesale"/>
    <n v="0"/>
    <x v="1"/>
    <x v="3"/>
    <n v="1"/>
    <x v="173"/>
    <s v="Cust 9112"/>
    <n v="7.13"/>
    <x v="152"/>
    <d v="2024-03-08T00:00:00"/>
    <s v="Eric"/>
    <n v="9231"/>
  </r>
  <r>
    <d v="2023-05-24T00:00:00"/>
    <x v="2"/>
    <x v="5"/>
    <n v="14"/>
    <n v="207"/>
    <x v="2"/>
    <s v="Wholesale"/>
    <n v="0.05"/>
    <x v="0"/>
    <x v="0"/>
    <n v="0"/>
    <x v="174"/>
    <s v="Cust 8172"/>
    <n v="5.7"/>
    <x v="56"/>
    <d v="2023-06-02T00:00:00"/>
    <s v="Ryan"/>
    <n v="2753"/>
  </r>
  <r>
    <d v="2025-06-22T00:00:00"/>
    <x v="2"/>
    <x v="6"/>
    <n v="17"/>
    <n v="528"/>
    <x v="3"/>
    <s v="Retail"/>
    <n v="0.05"/>
    <x v="5"/>
    <x v="4"/>
    <n v="0"/>
    <x v="175"/>
    <s v="Cust 4597"/>
    <n v="21.32"/>
    <x v="153"/>
    <d v="2025-06-28T00:00:00"/>
    <s v="Ryan"/>
    <n v="8527"/>
  </r>
  <r>
    <d v="2023-04-10T00:00:00"/>
    <x v="2"/>
    <x v="3"/>
    <n v="11"/>
    <n v="71"/>
    <x v="0"/>
    <s v="Retail"/>
    <n v="0.05"/>
    <x v="4"/>
    <x v="0"/>
    <n v="1"/>
    <x v="176"/>
    <s v="Cust 3690"/>
    <n v="44.2"/>
    <x v="154"/>
    <d v="2023-04-14T00:00:00"/>
    <s v="Ryan"/>
    <n v="742"/>
  </r>
  <r>
    <d v="2025-03-04T00:00:00"/>
    <x v="3"/>
    <x v="6"/>
    <n v="8"/>
    <n v="486"/>
    <x v="0"/>
    <s v="Retail"/>
    <n v="0"/>
    <x v="3"/>
    <x v="3"/>
    <n v="0"/>
    <x v="177"/>
    <s v="Cust 2893"/>
    <n v="10.68"/>
    <x v="155"/>
    <d v="2025-03-10T00:00:00"/>
    <s v="Cameron"/>
    <n v="3888"/>
  </r>
  <r>
    <d v="2024-07-11T00:00:00"/>
    <x v="0"/>
    <x v="0"/>
    <n v="6"/>
    <n v="555"/>
    <x v="2"/>
    <s v="Retail"/>
    <n v="0.1"/>
    <x v="2"/>
    <x v="2"/>
    <n v="1"/>
    <x v="178"/>
    <s v="Cust 5602"/>
    <n v="23.69"/>
    <x v="156"/>
    <d v="2024-07-20T00:00:00"/>
    <s v="Eric"/>
    <n v="2997"/>
  </r>
  <r>
    <d v="2024-08-17T00:00:00"/>
    <x v="0"/>
    <x v="2"/>
    <n v="13"/>
    <n v="421"/>
    <x v="0"/>
    <s v="Wholesale"/>
    <n v="0"/>
    <x v="5"/>
    <x v="4"/>
    <n v="0"/>
    <x v="179"/>
    <s v="Cust 5616"/>
    <n v="24.51"/>
    <x v="157"/>
    <d v="2024-08-20T00:00:00"/>
    <s v="Eric"/>
    <n v="5473"/>
  </r>
  <r>
    <d v="2025-06-30T00:00:00"/>
    <x v="2"/>
    <x v="0"/>
    <n v="16"/>
    <n v="76"/>
    <x v="3"/>
    <s v="Wholesale"/>
    <n v="0.1"/>
    <x v="1"/>
    <x v="4"/>
    <n v="0"/>
    <x v="180"/>
    <s v="Cust 1312"/>
    <n v="41.88"/>
    <x v="148"/>
    <d v="2025-07-09T00:00:00"/>
    <s v="Ryan"/>
    <n v="1094"/>
  </r>
  <r>
    <d v="2024-11-06T00:00:00"/>
    <x v="1"/>
    <x v="6"/>
    <n v="3"/>
    <n v="504"/>
    <x v="2"/>
    <s v="Wholesale"/>
    <n v="0.1"/>
    <x v="5"/>
    <x v="2"/>
    <n v="0"/>
    <x v="181"/>
    <s v="Cust 6315"/>
    <n v="37.49"/>
    <x v="158"/>
    <d v="2024-11-13T00:00:00"/>
    <s v="Sophie"/>
    <n v="1361"/>
  </r>
  <r>
    <d v="2025-04-01T00:00:00"/>
    <x v="0"/>
    <x v="5"/>
    <n v="5"/>
    <n v="32"/>
    <x v="3"/>
    <s v="Retail"/>
    <n v="0"/>
    <x v="4"/>
    <x v="0"/>
    <n v="1"/>
    <x v="182"/>
    <s v="Cust 1224"/>
    <n v="29.56"/>
    <x v="159"/>
    <d v="2025-04-04T00:00:00"/>
    <s v="Eric"/>
    <n v="160"/>
  </r>
  <r>
    <d v="2024-07-01T00:00:00"/>
    <x v="4"/>
    <x v="0"/>
    <n v="16"/>
    <n v="73"/>
    <x v="2"/>
    <s v="Wholesale"/>
    <n v="0.05"/>
    <x v="2"/>
    <x v="4"/>
    <n v="0"/>
    <x v="183"/>
    <s v="Cust 7182"/>
    <n v="5.7"/>
    <x v="160"/>
    <d v="2024-07-06T00:00:00"/>
    <s v="Wendy"/>
    <n v="1110"/>
  </r>
  <r>
    <d v="2023-12-09T00:00:00"/>
    <x v="4"/>
    <x v="6"/>
    <n v="18"/>
    <n v="422"/>
    <x v="3"/>
    <s v="Retail"/>
    <n v="0.05"/>
    <x v="5"/>
    <x v="1"/>
    <n v="0"/>
    <x v="184"/>
    <s v="Cust 7901"/>
    <n v="23.42"/>
    <x v="63"/>
    <d v="2023-12-18T00:00:00"/>
    <s v="Wendy"/>
    <n v="7216"/>
  </r>
  <r>
    <d v="2023-06-27T00:00:00"/>
    <x v="2"/>
    <x v="2"/>
    <n v="15"/>
    <n v="478"/>
    <x v="0"/>
    <s v="Retail"/>
    <n v="0.1"/>
    <x v="3"/>
    <x v="3"/>
    <n v="0"/>
    <x v="185"/>
    <s v="Cust 1736"/>
    <n v="35.630000000000003"/>
    <x v="161"/>
    <d v="2023-06-30T00:00:00"/>
    <s v="Ryan"/>
    <n v="6453"/>
  </r>
  <r>
    <d v="2023-07-14T00:00:00"/>
    <x v="1"/>
    <x v="3"/>
    <n v="9"/>
    <n v="502"/>
    <x v="3"/>
    <s v="Retail"/>
    <n v="0"/>
    <x v="5"/>
    <x v="0"/>
    <n v="1"/>
    <x v="186"/>
    <s v="Cust 7795"/>
    <n v="39.74"/>
    <x v="123"/>
    <d v="2023-07-17T00:00:00"/>
    <s v="Sophie"/>
    <n v="4518"/>
  </r>
  <r>
    <d v="2023-02-08T00:00:00"/>
    <x v="1"/>
    <x v="5"/>
    <n v="7"/>
    <n v="248"/>
    <x v="2"/>
    <s v="Wholesale"/>
    <n v="0.15"/>
    <x v="1"/>
    <x v="1"/>
    <n v="0"/>
    <x v="187"/>
    <s v="Cust 2471"/>
    <n v="13.63"/>
    <x v="162"/>
    <d v="2023-02-16T00:00:00"/>
    <s v="Sophie"/>
    <n v="1476"/>
  </r>
  <r>
    <d v="2024-06-28T00:00:00"/>
    <x v="4"/>
    <x v="5"/>
    <n v="6"/>
    <n v="177"/>
    <x v="2"/>
    <s v="Wholesale"/>
    <n v="0.15"/>
    <x v="3"/>
    <x v="3"/>
    <n v="1"/>
    <x v="188"/>
    <s v="Cust 3068"/>
    <n v="31.02"/>
    <x v="163"/>
    <d v="2024-07-07T00:00:00"/>
    <s v="Wendy"/>
    <n v="903"/>
  </r>
  <r>
    <d v="2024-04-15T00:00:00"/>
    <x v="4"/>
    <x v="0"/>
    <n v="2"/>
    <n v="143"/>
    <x v="3"/>
    <s v="Wholesale"/>
    <n v="0"/>
    <x v="5"/>
    <x v="2"/>
    <n v="0"/>
    <x v="189"/>
    <s v="Cust 3848"/>
    <n v="36.94"/>
    <x v="164"/>
    <d v="2024-04-22T00:00:00"/>
    <s v="Wendy"/>
    <n v="286"/>
  </r>
  <r>
    <d v="2023-11-27T00:00:00"/>
    <x v="0"/>
    <x v="4"/>
    <n v="12"/>
    <n v="538"/>
    <x v="2"/>
    <s v="Wholesale"/>
    <n v="0.05"/>
    <x v="1"/>
    <x v="4"/>
    <n v="0"/>
    <x v="190"/>
    <s v="Cust 7777"/>
    <n v="18.54"/>
    <x v="165"/>
    <d v="2023-12-06T00:00:00"/>
    <s v="Eric"/>
    <n v="6133"/>
  </r>
  <r>
    <d v="2025-03-27T00:00:00"/>
    <x v="0"/>
    <x v="6"/>
    <n v="5"/>
    <n v="87"/>
    <x v="3"/>
    <s v="Wholesale"/>
    <n v="0"/>
    <x v="3"/>
    <x v="3"/>
    <n v="0"/>
    <x v="191"/>
    <s v="Cust 6613"/>
    <n v="13.01"/>
    <x v="166"/>
    <d v="2025-03-29T00:00:00"/>
    <s v="Eric"/>
    <n v="435"/>
  </r>
  <r>
    <d v="2023-08-06T00:00:00"/>
    <x v="1"/>
    <x v="4"/>
    <n v="7"/>
    <n v="498"/>
    <x v="0"/>
    <s v="Wholesale"/>
    <n v="0.1"/>
    <x v="1"/>
    <x v="2"/>
    <n v="1"/>
    <x v="192"/>
    <s v="Cust 2326"/>
    <n v="27.65"/>
    <x v="23"/>
    <d v="2023-08-10T00:00:00"/>
    <s v="Sophie"/>
    <n v="3137"/>
  </r>
  <r>
    <d v="2024-12-13T00:00:00"/>
    <x v="1"/>
    <x v="6"/>
    <n v="15"/>
    <n v="57"/>
    <x v="0"/>
    <s v="Wholesale"/>
    <n v="0.15"/>
    <x v="3"/>
    <x v="3"/>
    <n v="0"/>
    <x v="193"/>
    <s v="Cust 8304"/>
    <n v="7.02"/>
    <x v="167"/>
    <d v="2024-12-22T00:00:00"/>
    <s v="Sophie"/>
    <n v="727"/>
  </r>
  <r>
    <d v="2025-01-17T00:00:00"/>
    <x v="3"/>
    <x v="5"/>
    <n v="18"/>
    <n v="124"/>
    <x v="0"/>
    <s v="Wholesale"/>
    <n v="0.15"/>
    <x v="3"/>
    <x v="3"/>
    <n v="0"/>
    <x v="194"/>
    <s v="Cust 3630"/>
    <n v="45.77"/>
    <x v="50"/>
    <d v="2025-01-26T00:00:00"/>
    <s v="Cameron"/>
    <n v="1897"/>
  </r>
  <r>
    <d v="2023-11-26T00:00:00"/>
    <x v="4"/>
    <x v="2"/>
    <n v="12"/>
    <n v="107"/>
    <x v="2"/>
    <s v="Retail"/>
    <n v="0.1"/>
    <x v="5"/>
    <x v="0"/>
    <n v="0"/>
    <x v="195"/>
    <s v="Cust 8617"/>
    <n v="18.170000000000002"/>
    <x v="168"/>
    <d v="2023-12-02T00:00:00"/>
    <s v="Wendy"/>
    <n v="1156"/>
  </r>
  <r>
    <d v="2023-02-14T00:00:00"/>
    <x v="0"/>
    <x v="3"/>
    <n v="8"/>
    <n v="411"/>
    <x v="1"/>
    <s v="Retail"/>
    <n v="0.1"/>
    <x v="2"/>
    <x v="1"/>
    <n v="0"/>
    <x v="196"/>
    <s v="Cust 3530"/>
    <n v="28.57"/>
    <x v="169"/>
    <d v="2023-02-18T00:00:00"/>
    <s v="Eric"/>
    <n v="2959"/>
  </r>
  <r>
    <d v="2025-02-02T00:00:00"/>
    <x v="3"/>
    <x v="6"/>
    <n v="7"/>
    <n v="248"/>
    <x v="2"/>
    <s v="Retail"/>
    <n v="0"/>
    <x v="4"/>
    <x v="4"/>
    <n v="0"/>
    <x v="197"/>
    <s v="Cust 3884"/>
    <n v="31.8"/>
    <x v="170"/>
    <d v="2025-02-06T00:00:00"/>
    <s v="Cameron"/>
    <n v="1736"/>
  </r>
  <r>
    <d v="2023-04-11T00:00:00"/>
    <x v="4"/>
    <x v="6"/>
    <n v="3"/>
    <n v="487"/>
    <x v="0"/>
    <s v="Wholesale"/>
    <n v="0.1"/>
    <x v="3"/>
    <x v="1"/>
    <n v="0"/>
    <x v="198"/>
    <s v="Cust 5739"/>
    <n v="16.5"/>
    <x v="171"/>
    <d v="2023-04-20T00:00:00"/>
    <s v="Wendy"/>
    <n v="1315"/>
  </r>
  <r>
    <d v="2024-07-08T00:00:00"/>
    <x v="2"/>
    <x v="4"/>
    <n v="18"/>
    <n v="415"/>
    <x v="2"/>
    <s v="Wholesale"/>
    <n v="0.1"/>
    <x v="0"/>
    <x v="4"/>
    <n v="0"/>
    <x v="199"/>
    <s v="Cust 9707"/>
    <n v="33.58"/>
    <x v="172"/>
    <d v="2024-07-13T00:00:00"/>
    <s v="Ryan"/>
    <n v="6723"/>
  </r>
  <r>
    <d v="2023-02-08T00:00:00"/>
    <x v="3"/>
    <x v="6"/>
    <n v="19"/>
    <n v="165"/>
    <x v="0"/>
    <s v="Wholesale"/>
    <n v="0.15"/>
    <x v="1"/>
    <x v="0"/>
    <n v="0"/>
    <x v="200"/>
    <s v="Cust 9288"/>
    <n v="25.2"/>
    <x v="162"/>
    <d v="2023-02-14T00:00:00"/>
    <s v="Cameron"/>
    <n v="2665"/>
  </r>
  <r>
    <d v="2024-04-09T00:00:00"/>
    <x v="4"/>
    <x v="2"/>
    <n v="2"/>
    <n v="117"/>
    <x v="2"/>
    <s v="Wholesale"/>
    <n v="0"/>
    <x v="0"/>
    <x v="2"/>
    <n v="0"/>
    <x v="201"/>
    <s v="Cust 1216"/>
    <n v="6.58"/>
    <x v="173"/>
    <d v="2024-04-16T00:00:00"/>
    <s v="Wendy"/>
    <n v="234"/>
  </r>
  <r>
    <d v="2023-08-14T00:00:00"/>
    <x v="3"/>
    <x v="6"/>
    <n v="9"/>
    <n v="462"/>
    <x v="2"/>
    <s v="Wholesale"/>
    <n v="0.15"/>
    <x v="2"/>
    <x v="1"/>
    <n v="0"/>
    <x v="202"/>
    <s v="Cust 2489"/>
    <n v="47.81"/>
    <x v="174"/>
    <d v="2023-08-18T00:00:00"/>
    <s v="Cameron"/>
    <n v="3534"/>
  </r>
  <r>
    <d v="2024-09-02T00:00:00"/>
    <x v="4"/>
    <x v="5"/>
    <n v="19"/>
    <n v="209"/>
    <x v="3"/>
    <s v="Retail"/>
    <n v="0.05"/>
    <x v="2"/>
    <x v="2"/>
    <n v="0"/>
    <x v="203"/>
    <s v="Cust 7171"/>
    <n v="38.409999999999997"/>
    <x v="175"/>
    <d v="2024-09-06T00:00:00"/>
    <s v="Wendy"/>
    <n v="3772"/>
  </r>
  <r>
    <d v="2025-06-29T00:00:00"/>
    <x v="3"/>
    <x v="4"/>
    <n v="16"/>
    <n v="278"/>
    <x v="1"/>
    <s v="Wholesale"/>
    <n v="0.15"/>
    <x v="1"/>
    <x v="4"/>
    <n v="0"/>
    <x v="204"/>
    <s v="Cust 9125"/>
    <n v="24.29"/>
    <x v="176"/>
    <d v="2025-07-04T00:00:00"/>
    <s v="Cameron"/>
    <n v="3781"/>
  </r>
  <r>
    <d v="2025-04-02T00:00:00"/>
    <x v="4"/>
    <x v="0"/>
    <n v="2"/>
    <n v="580"/>
    <x v="0"/>
    <s v="Wholesale"/>
    <n v="0.05"/>
    <x v="4"/>
    <x v="3"/>
    <n v="0"/>
    <x v="205"/>
    <s v="Cust 9697"/>
    <n v="7.33"/>
    <x v="177"/>
    <d v="2025-04-08T00:00:00"/>
    <s v="Wendy"/>
    <n v="1102"/>
  </r>
  <r>
    <d v="2023-04-27T00:00:00"/>
    <x v="3"/>
    <x v="5"/>
    <n v="8"/>
    <n v="536"/>
    <x v="0"/>
    <s v="Retail"/>
    <n v="0"/>
    <x v="3"/>
    <x v="4"/>
    <n v="1"/>
    <x v="206"/>
    <s v="Cust 8171"/>
    <n v="14.58"/>
    <x v="178"/>
    <d v="2023-05-07T00:00:00"/>
    <s v="Cameron"/>
    <n v="4288"/>
  </r>
  <r>
    <d v="2024-08-07T00:00:00"/>
    <x v="0"/>
    <x v="1"/>
    <n v="1"/>
    <n v="94"/>
    <x v="1"/>
    <s v="Wholesale"/>
    <n v="0"/>
    <x v="3"/>
    <x v="0"/>
    <n v="0"/>
    <x v="207"/>
    <s v="Cust 2004"/>
    <n v="49.17"/>
    <x v="179"/>
    <d v="2024-08-17T00:00:00"/>
    <s v="Eric"/>
    <n v="94"/>
  </r>
  <r>
    <d v="2023-04-15T00:00:00"/>
    <x v="4"/>
    <x v="0"/>
    <n v="16"/>
    <n v="490"/>
    <x v="2"/>
    <s v="Retail"/>
    <n v="0.1"/>
    <x v="2"/>
    <x v="4"/>
    <n v="0"/>
    <x v="208"/>
    <s v="Cust 4214"/>
    <n v="9.69"/>
    <x v="180"/>
    <d v="2023-04-25T00:00:00"/>
    <s v="Wendy"/>
    <n v="7056"/>
  </r>
  <r>
    <d v="2023-08-12T00:00:00"/>
    <x v="1"/>
    <x v="2"/>
    <n v="4"/>
    <n v="552"/>
    <x v="1"/>
    <s v="Retail"/>
    <n v="0.05"/>
    <x v="0"/>
    <x v="1"/>
    <n v="1"/>
    <x v="209"/>
    <s v="Cust 9837"/>
    <n v="26.32"/>
    <x v="181"/>
    <d v="2023-08-15T00:00:00"/>
    <s v="Sophie"/>
    <n v="2098"/>
  </r>
  <r>
    <d v="2023-06-19T00:00:00"/>
    <x v="4"/>
    <x v="6"/>
    <n v="17"/>
    <n v="596"/>
    <x v="3"/>
    <s v="Retail"/>
    <n v="0.15"/>
    <x v="5"/>
    <x v="2"/>
    <n v="0"/>
    <x v="210"/>
    <s v="Cust 2082"/>
    <n v="9.73"/>
    <x v="182"/>
    <d v="2023-06-28T00:00:00"/>
    <s v="Wendy"/>
    <n v="8612"/>
  </r>
  <r>
    <d v="2023-12-29T00:00:00"/>
    <x v="0"/>
    <x v="6"/>
    <n v="1"/>
    <n v="180"/>
    <x v="1"/>
    <s v="Wholesale"/>
    <n v="0.1"/>
    <x v="0"/>
    <x v="3"/>
    <n v="0"/>
    <x v="211"/>
    <s v="Cust 3001"/>
    <n v="27.07"/>
    <x v="183"/>
    <d v="2024-01-07T00:00:00"/>
    <s v="Eric"/>
    <n v="162"/>
  </r>
  <r>
    <d v="2023-03-26T00:00:00"/>
    <x v="0"/>
    <x v="2"/>
    <n v="12"/>
    <n v="302"/>
    <x v="3"/>
    <s v="Retail"/>
    <n v="0.15"/>
    <x v="5"/>
    <x v="2"/>
    <n v="1"/>
    <x v="212"/>
    <s v="Cust 6161"/>
    <n v="43.67"/>
    <x v="184"/>
    <d v="2023-03-30T00:00:00"/>
    <s v="Eric"/>
    <n v="3080"/>
  </r>
  <r>
    <d v="2023-09-01T00:00:00"/>
    <x v="1"/>
    <x v="1"/>
    <n v="20"/>
    <n v="274"/>
    <x v="3"/>
    <s v="Retail"/>
    <n v="0.15"/>
    <x v="2"/>
    <x v="3"/>
    <n v="0"/>
    <x v="213"/>
    <s v="Cust 5220"/>
    <n v="14.76"/>
    <x v="185"/>
    <d v="2023-09-07T00:00:00"/>
    <s v="Sophie"/>
    <n v="4658"/>
  </r>
  <r>
    <d v="2024-08-05T00:00:00"/>
    <x v="4"/>
    <x v="5"/>
    <n v="6"/>
    <n v="187"/>
    <x v="0"/>
    <s v="Wholesale"/>
    <n v="0.1"/>
    <x v="2"/>
    <x v="3"/>
    <n v="0"/>
    <x v="214"/>
    <s v="Cust 3386"/>
    <n v="11.03"/>
    <x v="186"/>
    <d v="2024-08-13T00:00:00"/>
    <s v="Wendy"/>
    <n v="1010"/>
  </r>
  <r>
    <d v="2025-01-23T00:00:00"/>
    <x v="2"/>
    <x v="3"/>
    <n v="16"/>
    <n v="563"/>
    <x v="3"/>
    <s v="Retail"/>
    <n v="0"/>
    <x v="2"/>
    <x v="1"/>
    <n v="0"/>
    <x v="215"/>
    <s v="Cust 1591"/>
    <n v="18.23"/>
    <x v="187"/>
    <d v="2025-01-27T00:00:00"/>
    <s v="Ryan"/>
    <n v="9008"/>
  </r>
  <r>
    <d v="2023-05-16T00:00:00"/>
    <x v="0"/>
    <x v="5"/>
    <n v="4"/>
    <n v="85"/>
    <x v="3"/>
    <s v="Wholesale"/>
    <n v="0.1"/>
    <x v="3"/>
    <x v="2"/>
    <n v="0"/>
    <x v="216"/>
    <s v="Cust 3434"/>
    <n v="38.51"/>
    <x v="188"/>
    <d v="2023-05-23T00:00:00"/>
    <s v="Eric"/>
    <n v="306"/>
  </r>
  <r>
    <d v="2023-02-14T00:00:00"/>
    <x v="2"/>
    <x v="5"/>
    <n v="12"/>
    <n v="452"/>
    <x v="0"/>
    <s v="Wholesale"/>
    <n v="0.15"/>
    <x v="3"/>
    <x v="0"/>
    <n v="0"/>
    <x v="217"/>
    <s v="Cust 1501"/>
    <n v="9.5399999999999991"/>
    <x v="169"/>
    <d v="2023-02-22T00:00:00"/>
    <s v="Ryan"/>
    <n v="4610"/>
  </r>
  <r>
    <d v="2024-06-03T00:00:00"/>
    <x v="3"/>
    <x v="5"/>
    <n v="1"/>
    <n v="260"/>
    <x v="3"/>
    <s v="Retail"/>
    <n v="0.15"/>
    <x v="0"/>
    <x v="1"/>
    <n v="0"/>
    <x v="218"/>
    <s v="Cust 9683"/>
    <n v="19.2"/>
    <x v="189"/>
    <d v="2024-06-12T00:00:00"/>
    <s v="Cameron"/>
    <n v="221"/>
  </r>
  <r>
    <d v="2023-11-08T00:00:00"/>
    <x v="3"/>
    <x v="5"/>
    <n v="20"/>
    <n v="268"/>
    <x v="3"/>
    <s v="Retail"/>
    <n v="0.05"/>
    <x v="4"/>
    <x v="4"/>
    <n v="0"/>
    <x v="219"/>
    <s v="Cust 5416"/>
    <n v="20.96"/>
    <x v="190"/>
    <d v="2023-11-15T00:00:00"/>
    <s v="Cameron"/>
    <n v="5092"/>
  </r>
  <r>
    <d v="2023-01-24T00:00:00"/>
    <x v="4"/>
    <x v="1"/>
    <n v="10"/>
    <n v="266"/>
    <x v="0"/>
    <s v="Wholesale"/>
    <n v="0"/>
    <x v="4"/>
    <x v="1"/>
    <n v="0"/>
    <x v="220"/>
    <s v="Cust 2153"/>
    <n v="21.01"/>
    <x v="191"/>
    <d v="2023-01-26T00:00:00"/>
    <s v="Wendy"/>
    <n v="2660"/>
  </r>
  <r>
    <d v="2025-03-20T00:00:00"/>
    <x v="4"/>
    <x v="0"/>
    <n v="18"/>
    <n v="493"/>
    <x v="3"/>
    <s v="Wholesale"/>
    <n v="0.05"/>
    <x v="4"/>
    <x v="4"/>
    <n v="1"/>
    <x v="221"/>
    <s v="Cust 3572"/>
    <n v="46.87"/>
    <x v="192"/>
    <d v="2025-03-28T00:00:00"/>
    <s v="Wendy"/>
    <n v="8430"/>
  </r>
  <r>
    <d v="2024-02-22T00:00:00"/>
    <x v="4"/>
    <x v="4"/>
    <n v="4"/>
    <n v="37"/>
    <x v="2"/>
    <s v="Wholesale"/>
    <n v="0.05"/>
    <x v="2"/>
    <x v="2"/>
    <n v="1"/>
    <x v="222"/>
    <s v="Cust 6372"/>
    <n v="24.86"/>
    <x v="193"/>
    <d v="2024-03-01T00:00:00"/>
    <s v="Wendy"/>
    <n v="141"/>
  </r>
  <r>
    <d v="2025-04-02T00:00:00"/>
    <x v="2"/>
    <x v="6"/>
    <n v="12"/>
    <n v="413"/>
    <x v="3"/>
    <s v="Retail"/>
    <n v="0.15"/>
    <x v="5"/>
    <x v="4"/>
    <n v="0"/>
    <x v="223"/>
    <s v="Cust 6109"/>
    <n v="23.25"/>
    <x v="177"/>
    <d v="2025-04-10T00:00:00"/>
    <s v="Ryan"/>
    <n v="4213"/>
  </r>
  <r>
    <d v="2025-06-12T00:00:00"/>
    <x v="2"/>
    <x v="3"/>
    <n v="19"/>
    <n v="446"/>
    <x v="0"/>
    <s v="Retail"/>
    <n v="0.1"/>
    <x v="0"/>
    <x v="1"/>
    <n v="0"/>
    <x v="224"/>
    <s v="Cust 5234"/>
    <n v="14.88"/>
    <x v="103"/>
    <d v="2025-06-18T00:00:00"/>
    <s v="Ryan"/>
    <n v="7627"/>
  </r>
  <r>
    <d v="2023-05-13T00:00:00"/>
    <x v="0"/>
    <x v="0"/>
    <n v="7"/>
    <n v="83"/>
    <x v="3"/>
    <s v="Wholesale"/>
    <n v="0.15"/>
    <x v="2"/>
    <x v="3"/>
    <n v="1"/>
    <x v="225"/>
    <s v="Cust 5530"/>
    <n v="15.66"/>
    <x v="194"/>
    <d v="2023-05-17T00:00:00"/>
    <s v="Eric"/>
    <n v="494"/>
  </r>
  <r>
    <d v="2023-03-25T00:00:00"/>
    <x v="1"/>
    <x v="2"/>
    <n v="17"/>
    <n v="340"/>
    <x v="1"/>
    <s v="Retail"/>
    <n v="0"/>
    <x v="1"/>
    <x v="4"/>
    <n v="0"/>
    <x v="226"/>
    <s v="Cust 5398"/>
    <n v="44.86"/>
    <x v="195"/>
    <d v="2023-03-28T00:00:00"/>
    <s v="Sophie"/>
    <n v="5780"/>
  </r>
  <r>
    <d v="2024-11-22T00:00:00"/>
    <x v="1"/>
    <x v="6"/>
    <n v="19"/>
    <n v="364"/>
    <x v="0"/>
    <s v="Retail"/>
    <n v="0.15"/>
    <x v="2"/>
    <x v="3"/>
    <n v="1"/>
    <x v="227"/>
    <s v="Cust 3247"/>
    <n v="39.76"/>
    <x v="196"/>
    <d v="2024-11-25T00:00:00"/>
    <s v="Sophie"/>
    <n v="5879"/>
  </r>
  <r>
    <d v="2023-07-07T00:00:00"/>
    <x v="0"/>
    <x v="5"/>
    <n v="3"/>
    <n v="72"/>
    <x v="0"/>
    <s v="Wholesale"/>
    <n v="0"/>
    <x v="1"/>
    <x v="1"/>
    <n v="1"/>
    <x v="228"/>
    <s v="Cust 7137"/>
    <n v="46.25"/>
    <x v="197"/>
    <d v="2023-07-17T00:00:00"/>
    <s v="Eric"/>
    <n v="216"/>
  </r>
  <r>
    <d v="2024-10-05T00:00:00"/>
    <x v="0"/>
    <x v="5"/>
    <n v="20"/>
    <n v="576"/>
    <x v="3"/>
    <s v="Wholesale"/>
    <n v="0.05"/>
    <x v="0"/>
    <x v="2"/>
    <n v="0"/>
    <x v="229"/>
    <s v="Cust 4627"/>
    <n v="25.22"/>
    <x v="198"/>
    <d v="2024-10-09T00:00:00"/>
    <s v="Eric"/>
    <n v="10944"/>
  </r>
  <r>
    <d v="2024-03-31T00:00:00"/>
    <x v="4"/>
    <x v="0"/>
    <n v="7"/>
    <n v="121"/>
    <x v="0"/>
    <s v="Wholesale"/>
    <n v="0"/>
    <x v="4"/>
    <x v="0"/>
    <n v="0"/>
    <x v="230"/>
    <s v="Cust 4878"/>
    <n v="43.8"/>
    <x v="199"/>
    <d v="2024-04-08T00:00:00"/>
    <s v="Wendy"/>
    <n v="847"/>
  </r>
  <r>
    <d v="2025-04-01T00:00:00"/>
    <x v="4"/>
    <x v="6"/>
    <n v="8"/>
    <n v="96"/>
    <x v="1"/>
    <s v="Wholesale"/>
    <n v="0.05"/>
    <x v="3"/>
    <x v="3"/>
    <n v="0"/>
    <x v="231"/>
    <s v="Cust 2779"/>
    <n v="34.07"/>
    <x v="159"/>
    <d v="2025-04-04T00:00:00"/>
    <s v="Wendy"/>
    <n v="730"/>
  </r>
  <r>
    <d v="2023-08-23T00:00:00"/>
    <x v="4"/>
    <x v="6"/>
    <n v="14"/>
    <n v="471"/>
    <x v="1"/>
    <s v="Wholesale"/>
    <n v="0.05"/>
    <x v="3"/>
    <x v="1"/>
    <n v="0"/>
    <x v="232"/>
    <s v="Cust 8606"/>
    <n v="26.38"/>
    <x v="200"/>
    <d v="2023-08-26T00:00:00"/>
    <s v="Wendy"/>
    <n v="6264"/>
  </r>
  <r>
    <d v="2024-08-14T00:00:00"/>
    <x v="1"/>
    <x v="1"/>
    <n v="20"/>
    <n v="14"/>
    <x v="3"/>
    <s v="Wholesale"/>
    <n v="0.1"/>
    <x v="3"/>
    <x v="3"/>
    <n v="0"/>
    <x v="233"/>
    <s v="Cust 9599"/>
    <n v="6.22"/>
    <x v="201"/>
    <d v="2024-08-21T00:00:00"/>
    <s v="Sophie"/>
    <n v="252"/>
  </r>
  <r>
    <d v="2025-02-14T00:00:00"/>
    <x v="3"/>
    <x v="5"/>
    <n v="18"/>
    <n v="500"/>
    <x v="0"/>
    <s v="Retail"/>
    <n v="0.15"/>
    <x v="1"/>
    <x v="3"/>
    <n v="0"/>
    <x v="234"/>
    <s v="Cust 4500"/>
    <n v="9.64"/>
    <x v="202"/>
    <d v="2025-02-19T00:00:00"/>
    <s v="Cameron"/>
    <n v="7650"/>
  </r>
  <r>
    <d v="2023-11-11T00:00:00"/>
    <x v="4"/>
    <x v="4"/>
    <n v="14"/>
    <n v="16"/>
    <x v="0"/>
    <s v="Wholesale"/>
    <n v="0.1"/>
    <x v="4"/>
    <x v="3"/>
    <n v="0"/>
    <x v="235"/>
    <s v="Cust 4173"/>
    <n v="22.72"/>
    <x v="203"/>
    <d v="2023-11-16T00:00:00"/>
    <s v="Wendy"/>
    <n v="202"/>
  </r>
  <r>
    <d v="2024-04-01T00:00:00"/>
    <x v="3"/>
    <x v="2"/>
    <n v="17"/>
    <n v="481"/>
    <x v="2"/>
    <s v="Wholesale"/>
    <n v="0.15"/>
    <x v="3"/>
    <x v="0"/>
    <n v="0"/>
    <x v="236"/>
    <s v="Cust 7607"/>
    <n v="37.090000000000003"/>
    <x v="204"/>
    <d v="2024-04-09T00:00:00"/>
    <s v="Cameron"/>
    <n v="6950"/>
  </r>
  <r>
    <d v="2024-06-13T00:00:00"/>
    <x v="1"/>
    <x v="3"/>
    <n v="5"/>
    <n v="556"/>
    <x v="2"/>
    <s v="Retail"/>
    <n v="0.05"/>
    <x v="4"/>
    <x v="2"/>
    <n v="0"/>
    <x v="237"/>
    <s v="Cust 4768"/>
    <n v="29.4"/>
    <x v="205"/>
    <d v="2024-06-20T00:00:00"/>
    <s v="Sophie"/>
    <n v="2641"/>
  </r>
  <r>
    <d v="2023-11-28T00:00:00"/>
    <x v="2"/>
    <x v="3"/>
    <n v="18"/>
    <n v="174"/>
    <x v="0"/>
    <s v="Wholesale"/>
    <n v="0.1"/>
    <x v="2"/>
    <x v="0"/>
    <n v="0"/>
    <x v="238"/>
    <s v="Cust 5746"/>
    <n v="32.19"/>
    <x v="206"/>
    <d v="2023-12-03T00:00:00"/>
    <s v="Ryan"/>
    <n v="2819"/>
  </r>
  <r>
    <d v="2024-11-11T00:00:00"/>
    <x v="3"/>
    <x v="2"/>
    <n v="11"/>
    <n v="286"/>
    <x v="1"/>
    <s v="Retail"/>
    <n v="0.1"/>
    <x v="5"/>
    <x v="3"/>
    <n v="1"/>
    <x v="239"/>
    <s v="Cust 3002"/>
    <n v="8.59"/>
    <x v="207"/>
    <d v="2024-11-16T00:00:00"/>
    <s v="Cameron"/>
    <n v="2831"/>
  </r>
  <r>
    <d v="2024-11-04T00:00:00"/>
    <x v="2"/>
    <x v="2"/>
    <n v="16"/>
    <n v="41"/>
    <x v="3"/>
    <s v="Retail"/>
    <n v="0"/>
    <x v="1"/>
    <x v="2"/>
    <n v="0"/>
    <x v="240"/>
    <s v="Cust 3237"/>
    <n v="24.72"/>
    <x v="208"/>
    <d v="2024-11-08T00:00:00"/>
    <s v="Ryan"/>
    <n v="656"/>
  </r>
  <r>
    <d v="2023-01-01T00:00:00"/>
    <x v="3"/>
    <x v="3"/>
    <n v="11"/>
    <n v="468"/>
    <x v="3"/>
    <s v="Retail"/>
    <n v="0"/>
    <x v="3"/>
    <x v="3"/>
    <n v="0"/>
    <x v="241"/>
    <s v="Cust 6437"/>
    <n v="19.920000000000002"/>
    <x v="209"/>
    <d v="2023-01-11T00:00:00"/>
    <s v="Cameron"/>
    <n v="5148"/>
  </r>
  <r>
    <d v="2025-01-18T00:00:00"/>
    <x v="2"/>
    <x v="5"/>
    <n v="1"/>
    <n v="412"/>
    <x v="2"/>
    <s v="Retail"/>
    <n v="0.1"/>
    <x v="0"/>
    <x v="1"/>
    <n v="0"/>
    <x v="242"/>
    <s v="Cust 8806"/>
    <n v="7.46"/>
    <x v="13"/>
    <d v="2025-01-20T00:00:00"/>
    <s v="Ryan"/>
    <n v="371"/>
  </r>
  <r>
    <d v="2023-05-02T00:00:00"/>
    <x v="3"/>
    <x v="6"/>
    <n v="13"/>
    <n v="134"/>
    <x v="1"/>
    <s v="Wholesale"/>
    <n v="0.05"/>
    <x v="0"/>
    <x v="2"/>
    <n v="0"/>
    <x v="243"/>
    <s v="Cust 8678"/>
    <n v="9.6"/>
    <x v="210"/>
    <d v="2023-05-10T00:00:00"/>
    <s v="Cameron"/>
    <n v="1655"/>
  </r>
  <r>
    <d v="2025-05-27T00:00:00"/>
    <x v="4"/>
    <x v="6"/>
    <n v="10"/>
    <n v="351"/>
    <x v="0"/>
    <s v="Retail"/>
    <n v="0.15"/>
    <x v="2"/>
    <x v="0"/>
    <n v="0"/>
    <x v="244"/>
    <s v="Cust 9649"/>
    <n v="42.74"/>
    <x v="211"/>
    <d v="2025-06-02T00:00:00"/>
    <s v="Wendy"/>
    <n v="2984"/>
  </r>
  <r>
    <d v="2024-12-27T00:00:00"/>
    <x v="1"/>
    <x v="4"/>
    <n v="14"/>
    <n v="551"/>
    <x v="2"/>
    <s v="Wholesale"/>
    <n v="0.1"/>
    <x v="4"/>
    <x v="0"/>
    <n v="1"/>
    <x v="245"/>
    <s v="Cust 1960"/>
    <n v="12.35"/>
    <x v="212"/>
    <d v="2025-01-05T00:00:00"/>
    <s v="Sophie"/>
    <n v="6943"/>
  </r>
  <r>
    <d v="2025-03-18T00:00:00"/>
    <x v="4"/>
    <x v="3"/>
    <n v="2"/>
    <n v="131"/>
    <x v="0"/>
    <s v="Retail"/>
    <n v="0.1"/>
    <x v="0"/>
    <x v="3"/>
    <n v="0"/>
    <x v="246"/>
    <s v="Cust 3910"/>
    <n v="14.74"/>
    <x v="213"/>
    <d v="2025-03-24T00:00:00"/>
    <s v="Wendy"/>
    <n v="236"/>
  </r>
  <r>
    <d v="2024-03-24T00:00:00"/>
    <x v="0"/>
    <x v="0"/>
    <n v="6"/>
    <n v="595"/>
    <x v="2"/>
    <s v="Wholesale"/>
    <n v="0"/>
    <x v="4"/>
    <x v="4"/>
    <n v="1"/>
    <x v="247"/>
    <s v="Cust 4944"/>
    <n v="28.92"/>
    <x v="214"/>
    <d v="2024-03-31T00:00:00"/>
    <s v="Eric"/>
    <n v="3570"/>
  </r>
  <r>
    <d v="2024-12-26T00:00:00"/>
    <x v="0"/>
    <x v="0"/>
    <n v="6"/>
    <n v="517"/>
    <x v="2"/>
    <s v="Wholesale"/>
    <n v="0.05"/>
    <x v="5"/>
    <x v="0"/>
    <n v="1"/>
    <x v="248"/>
    <s v="Cust 9618"/>
    <n v="5.15"/>
    <x v="215"/>
    <d v="2025-01-03T00:00:00"/>
    <s v="Eric"/>
    <n v="2947"/>
  </r>
  <r>
    <d v="2023-01-11T00:00:00"/>
    <x v="2"/>
    <x v="2"/>
    <n v="6"/>
    <n v="203"/>
    <x v="3"/>
    <s v="Retail"/>
    <n v="0.05"/>
    <x v="0"/>
    <x v="1"/>
    <n v="0"/>
    <x v="249"/>
    <s v="Cust 2279"/>
    <n v="24.39"/>
    <x v="6"/>
    <d v="2023-01-14T00:00:00"/>
    <s v="Ryan"/>
    <n v="1157"/>
  </r>
  <r>
    <d v="2025-06-01T00:00:00"/>
    <x v="1"/>
    <x v="0"/>
    <n v="13"/>
    <n v="306"/>
    <x v="1"/>
    <s v="Wholesale"/>
    <n v="0.15"/>
    <x v="2"/>
    <x v="4"/>
    <n v="0"/>
    <x v="250"/>
    <s v="Cust 4689"/>
    <n v="25.16"/>
    <x v="216"/>
    <d v="2025-06-10T00:00:00"/>
    <s v="Sophie"/>
    <n v="3381"/>
  </r>
  <r>
    <d v="2024-09-26T00:00:00"/>
    <x v="0"/>
    <x v="2"/>
    <n v="11"/>
    <n v="473"/>
    <x v="3"/>
    <s v="Retail"/>
    <n v="0.15"/>
    <x v="3"/>
    <x v="2"/>
    <n v="1"/>
    <x v="251"/>
    <s v="Cust 7381"/>
    <n v="16.8"/>
    <x v="217"/>
    <d v="2024-10-01T00:00:00"/>
    <s v="Eric"/>
    <n v="4423"/>
  </r>
  <r>
    <d v="2024-08-10T00:00:00"/>
    <x v="0"/>
    <x v="1"/>
    <n v="20"/>
    <n v="337"/>
    <x v="2"/>
    <s v="Retail"/>
    <n v="0.1"/>
    <x v="4"/>
    <x v="1"/>
    <n v="0"/>
    <x v="252"/>
    <s v="Cust 2724"/>
    <n v="43.17"/>
    <x v="218"/>
    <d v="2024-08-17T00:00:00"/>
    <s v="Eric"/>
    <n v="6066"/>
  </r>
  <r>
    <d v="2025-03-02T00:00:00"/>
    <x v="1"/>
    <x v="1"/>
    <n v="12"/>
    <n v="34"/>
    <x v="2"/>
    <s v="Retail"/>
    <n v="0.1"/>
    <x v="2"/>
    <x v="4"/>
    <n v="0"/>
    <x v="253"/>
    <s v="Cust 2823"/>
    <n v="17.64"/>
    <x v="219"/>
    <d v="2025-03-10T00:00:00"/>
    <s v="Sophie"/>
    <n v="367"/>
  </r>
  <r>
    <d v="2023-02-21T00:00:00"/>
    <x v="0"/>
    <x v="5"/>
    <n v="4"/>
    <n v="477"/>
    <x v="0"/>
    <s v="Wholesale"/>
    <n v="0"/>
    <x v="3"/>
    <x v="2"/>
    <n v="0"/>
    <x v="254"/>
    <s v="Cust 9402"/>
    <n v="45.54"/>
    <x v="220"/>
    <d v="2023-03-02T00:00:00"/>
    <s v="Eric"/>
    <n v="1908"/>
  </r>
  <r>
    <d v="2024-11-20T00:00:00"/>
    <x v="0"/>
    <x v="0"/>
    <n v="6"/>
    <n v="563"/>
    <x v="2"/>
    <s v="Retail"/>
    <n v="0"/>
    <x v="1"/>
    <x v="2"/>
    <n v="0"/>
    <x v="255"/>
    <s v="Cust 6561"/>
    <n v="43.73"/>
    <x v="221"/>
    <d v="2024-11-27T00:00:00"/>
    <s v="Eric"/>
    <n v="3378"/>
  </r>
  <r>
    <d v="2023-08-26T00:00:00"/>
    <x v="0"/>
    <x v="3"/>
    <n v="20"/>
    <n v="18"/>
    <x v="0"/>
    <s v="Retail"/>
    <n v="0"/>
    <x v="4"/>
    <x v="3"/>
    <n v="1"/>
    <x v="256"/>
    <s v="Cust 3116"/>
    <n v="35.369999999999997"/>
    <x v="222"/>
    <d v="2023-08-29T00:00:00"/>
    <s v="Eric"/>
    <n v="360"/>
  </r>
  <r>
    <d v="2024-01-01T00:00:00"/>
    <x v="1"/>
    <x v="4"/>
    <n v="7"/>
    <n v="209"/>
    <x v="0"/>
    <s v="Retail"/>
    <n v="0"/>
    <x v="2"/>
    <x v="4"/>
    <n v="0"/>
    <x v="257"/>
    <s v="Cust 1015"/>
    <n v="20.64"/>
    <x v="223"/>
    <d v="2024-01-08T00:00:00"/>
    <s v="Sophie"/>
    <n v="1463"/>
  </r>
  <r>
    <d v="2024-11-24T00:00:00"/>
    <x v="1"/>
    <x v="6"/>
    <n v="12"/>
    <n v="330"/>
    <x v="3"/>
    <s v="Retail"/>
    <n v="0.05"/>
    <x v="4"/>
    <x v="4"/>
    <n v="0"/>
    <x v="258"/>
    <s v="Cust 1207"/>
    <n v="48.33"/>
    <x v="224"/>
    <d v="2024-11-30T00:00:00"/>
    <s v="Sophie"/>
    <n v="3762"/>
  </r>
  <r>
    <d v="2024-08-25T00:00:00"/>
    <x v="1"/>
    <x v="5"/>
    <n v="7"/>
    <n v="50"/>
    <x v="2"/>
    <s v="Retail"/>
    <n v="0.15"/>
    <x v="4"/>
    <x v="4"/>
    <n v="0"/>
    <x v="259"/>
    <s v="Cust 2501"/>
    <n v="17.12"/>
    <x v="225"/>
    <d v="2024-09-01T00:00:00"/>
    <s v="Sophie"/>
    <n v="298"/>
  </r>
  <r>
    <d v="2023-06-10T00:00:00"/>
    <x v="1"/>
    <x v="0"/>
    <n v="2"/>
    <n v="375"/>
    <x v="2"/>
    <s v="Wholesale"/>
    <n v="0.15"/>
    <x v="3"/>
    <x v="0"/>
    <n v="0"/>
    <x v="260"/>
    <s v="Cust 2330"/>
    <n v="34.64"/>
    <x v="226"/>
    <d v="2023-06-18T00:00:00"/>
    <s v="Sophie"/>
    <n v="638"/>
  </r>
  <r>
    <d v="2024-12-18T00:00:00"/>
    <x v="2"/>
    <x v="6"/>
    <n v="7"/>
    <n v="468"/>
    <x v="1"/>
    <s v="Retail"/>
    <n v="0.1"/>
    <x v="3"/>
    <x v="3"/>
    <n v="0"/>
    <x v="261"/>
    <s v="Cust 7436"/>
    <n v="15.64"/>
    <x v="227"/>
    <d v="2024-12-26T00:00:00"/>
    <s v="Ryan"/>
    <n v="2948"/>
  </r>
  <r>
    <d v="2023-08-28T00:00:00"/>
    <x v="0"/>
    <x v="3"/>
    <n v="3"/>
    <n v="376"/>
    <x v="1"/>
    <s v="Retail"/>
    <n v="0.05"/>
    <x v="2"/>
    <x v="3"/>
    <n v="1"/>
    <x v="262"/>
    <s v="Cust 2762"/>
    <n v="6.15"/>
    <x v="228"/>
    <d v="2023-09-01T00:00:00"/>
    <s v="Eric"/>
    <n v="1072"/>
  </r>
  <r>
    <d v="2023-01-22T00:00:00"/>
    <x v="4"/>
    <x v="1"/>
    <n v="13"/>
    <n v="140"/>
    <x v="1"/>
    <s v="Retail"/>
    <n v="0"/>
    <x v="0"/>
    <x v="3"/>
    <n v="0"/>
    <x v="263"/>
    <s v="Cust 3599"/>
    <n v="17.690000000000001"/>
    <x v="229"/>
    <d v="2023-01-31T00:00:00"/>
    <s v="Wendy"/>
    <n v="1820"/>
  </r>
  <r>
    <d v="2023-02-07T00:00:00"/>
    <x v="2"/>
    <x v="4"/>
    <n v="3"/>
    <n v="506"/>
    <x v="0"/>
    <s v="Retail"/>
    <n v="0.15"/>
    <x v="2"/>
    <x v="3"/>
    <n v="0"/>
    <x v="264"/>
    <s v="Cust 4127"/>
    <n v="25.71"/>
    <x v="230"/>
    <d v="2023-02-14T00:00:00"/>
    <s v="Ryan"/>
    <n v="1290"/>
  </r>
  <r>
    <d v="2023-11-22T00:00:00"/>
    <x v="1"/>
    <x v="4"/>
    <n v="8"/>
    <n v="139"/>
    <x v="1"/>
    <s v="Wholesale"/>
    <n v="0.05"/>
    <x v="2"/>
    <x v="0"/>
    <n v="1"/>
    <x v="265"/>
    <s v="Cust 6855"/>
    <n v="48.51"/>
    <x v="231"/>
    <d v="2023-11-29T00:00:00"/>
    <s v="Sophie"/>
    <n v="1056"/>
  </r>
  <r>
    <d v="2023-01-25T00:00:00"/>
    <x v="4"/>
    <x v="2"/>
    <n v="6"/>
    <n v="135"/>
    <x v="2"/>
    <s v="Retail"/>
    <n v="0.15"/>
    <x v="3"/>
    <x v="3"/>
    <n v="1"/>
    <x v="266"/>
    <s v="Cust 7017"/>
    <n v="33.5"/>
    <x v="232"/>
    <d v="2023-01-29T00:00:00"/>
    <s v="Wendy"/>
    <n v="688"/>
  </r>
  <r>
    <d v="2025-03-05T00:00:00"/>
    <x v="1"/>
    <x v="5"/>
    <n v="18"/>
    <n v="376"/>
    <x v="3"/>
    <s v="Wholesale"/>
    <n v="0.05"/>
    <x v="4"/>
    <x v="3"/>
    <n v="0"/>
    <x v="267"/>
    <s v="Cust 6957"/>
    <n v="26.78"/>
    <x v="9"/>
    <d v="2025-03-09T00:00:00"/>
    <s v="Sophie"/>
    <n v="6430"/>
  </r>
  <r>
    <d v="2023-02-02T00:00:00"/>
    <x v="2"/>
    <x v="6"/>
    <n v="10"/>
    <n v="538"/>
    <x v="3"/>
    <s v="Retail"/>
    <n v="0.1"/>
    <x v="5"/>
    <x v="1"/>
    <n v="1"/>
    <x v="268"/>
    <s v="Cust 9822"/>
    <n v="17.25"/>
    <x v="233"/>
    <d v="2023-02-12T00:00:00"/>
    <s v="Ryan"/>
    <n v="4842"/>
  </r>
  <r>
    <d v="2023-05-24T00:00:00"/>
    <x v="2"/>
    <x v="5"/>
    <n v="15"/>
    <n v="505"/>
    <x v="1"/>
    <s v="Wholesale"/>
    <n v="0.1"/>
    <x v="1"/>
    <x v="0"/>
    <n v="0"/>
    <x v="269"/>
    <s v="Cust 7425"/>
    <n v="37.5"/>
    <x v="56"/>
    <d v="2023-06-01T00:00:00"/>
    <s v="Ryan"/>
    <n v="6818"/>
  </r>
  <r>
    <d v="2024-05-30T00:00:00"/>
    <x v="1"/>
    <x v="6"/>
    <n v="4"/>
    <n v="312"/>
    <x v="2"/>
    <s v="Wholesale"/>
    <n v="0.15"/>
    <x v="4"/>
    <x v="3"/>
    <n v="1"/>
    <x v="270"/>
    <s v="Cust 6468"/>
    <n v="17.989999999999998"/>
    <x v="234"/>
    <d v="2024-06-06T00:00:00"/>
    <s v="Sophie"/>
    <n v="1061"/>
  </r>
  <r>
    <d v="2024-01-23T00:00:00"/>
    <x v="4"/>
    <x v="2"/>
    <n v="15"/>
    <n v="580"/>
    <x v="2"/>
    <s v="Retail"/>
    <n v="0.15"/>
    <x v="0"/>
    <x v="2"/>
    <n v="0"/>
    <x v="271"/>
    <s v="Cust 8897"/>
    <n v="31.22"/>
    <x v="145"/>
    <d v="2024-01-31T00:00:00"/>
    <s v="Wendy"/>
    <n v="7395"/>
  </r>
  <r>
    <d v="2023-02-06T00:00:00"/>
    <x v="2"/>
    <x v="3"/>
    <n v="10"/>
    <n v="217"/>
    <x v="1"/>
    <s v="Retail"/>
    <n v="0.15"/>
    <x v="5"/>
    <x v="2"/>
    <n v="0"/>
    <x v="272"/>
    <s v="Cust 9816"/>
    <n v="33.14"/>
    <x v="235"/>
    <d v="2023-02-15T00:00:00"/>
    <s v="Ryan"/>
    <n v="1844"/>
  </r>
  <r>
    <d v="2024-07-15T00:00:00"/>
    <x v="4"/>
    <x v="1"/>
    <n v="15"/>
    <n v="476"/>
    <x v="0"/>
    <s v="Wholesale"/>
    <n v="0.05"/>
    <x v="3"/>
    <x v="0"/>
    <n v="0"/>
    <x v="273"/>
    <s v="Cust 8227"/>
    <n v="24.48"/>
    <x v="236"/>
    <d v="2024-07-19T00:00:00"/>
    <s v="Wendy"/>
    <n v="6783"/>
  </r>
  <r>
    <d v="2025-03-06T00:00:00"/>
    <x v="0"/>
    <x v="3"/>
    <n v="5"/>
    <n v="89"/>
    <x v="2"/>
    <s v="Wholesale"/>
    <n v="0.1"/>
    <x v="2"/>
    <x v="3"/>
    <n v="0"/>
    <x v="274"/>
    <s v="Cust 4990"/>
    <n v="22.42"/>
    <x v="55"/>
    <d v="2025-03-16T00:00:00"/>
    <s v="Eric"/>
    <n v="400"/>
  </r>
  <r>
    <d v="2023-07-29T00:00:00"/>
    <x v="3"/>
    <x v="1"/>
    <n v="17"/>
    <n v="7"/>
    <x v="1"/>
    <s v="Retail"/>
    <n v="0.1"/>
    <x v="2"/>
    <x v="1"/>
    <n v="0"/>
    <x v="275"/>
    <s v="Cust 5834"/>
    <n v="42.37"/>
    <x v="237"/>
    <d v="2023-08-08T00:00:00"/>
    <s v="Cameron"/>
    <n v="107"/>
  </r>
  <r>
    <d v="2023-07-26T00:00:00"/>
    <x v="2"/>
    <x v="6"/>
    <n v="6"/>
    <n v="355"/>
    <x v="3"/>
    <s v="Retail"/>
    <n v="0.1"/>
    <x v="5"/>
    <x v="0"/>
    <n v="0"/>
    <x v="276"/>
    <s v="Cust 7330"/>
    <n v="30.49"/>
    <x v="238"/>
    <d v="2023-07-29T00:00:00"/>
    <s v="Ryan"/>
    <n v="1917"/>
  </r>
  <r>
    <d v="2024-04-10T00:00:00"/>
    <x v="4"/>
    <x v="5"/>
    <n v="8"/>
    <n v="295"/>
    <x v="2"/>
    <s v="Retail"/>
    <n v="0.1"/>
    <x v="4"/>
    <x v="0"/>
    <n v="0"/>
    <x v="277"/>
    <s v="Cust 5273"/>
    <n v="36.04"/>
    <x v="10"/>
    <d v="2024-04-13T00:00:00"/>
    <s v="Wendy"/>
    <n v="2124"/>
  </r>
  <r>
    <d v="2025-01-24T00:00:00"/>
    <x v="2"/>
    <x v="2"/>
    <n v="16"/>
    <n v="61"/>
    <x v="1"/>
    <s v="Wholesale"/>
    <n v="0"/>
    <x v="3"/>
    <x v="2"/>
    <n v="0"/>
    <x v="278"/>
    <s v="Cust 6138"/>
    <n v="7.03"/>
    <x v="239"/>
    <d v="2025-01-27T00:00:00"/>
    <s v="Ryan"/>
    <n v="976"/>
  </r>
  <r>
    <d v="2025-04-27T00:00:00"/>
    <x v="4"/>
    <x v="0"/>
    <n v="2"/>
    <n v="560"/>
    <x v="0"/>
    <s v="Wholesale"/>
    <n v="0.1"/>
    <x v="4"/>
    <x v="2"/>
    <n v="1"/>
    <x v="279"/>
    <s v="Cust 2084"/>
    <n v="42.34"/>
    <x v="240"/>
    <d v="2025-05-03T00:00:00"/>
    <s v="Wendy"/>
    <n v="1008"/>
  </r>
  <r>
    <d v="2025-02-20T00:00:00"/>
    <x v="0"/>
    <x v="1"/>
    <n v="4"/>
    <n v="233"/>
    <x v="0"/>
    <s v="Wholesale"/>
    <n v="0.1"/>
    <x v="2"/>
    <x v="0"/>
    <n v="0"/>
    <x v="280"/>
    <s v="Cust 2799"/>
    <n v="11.88"/>
    <x v="241"/>
    <d v="2025-02-23T00:00:00"/>
    <s v="Eric"/>
    <n v="839"/>
  </r>
  <r>
    <d v="2023-09-14T00:00:00"/>
    <x v="2"/>
    <x v="6"/>
    <n v="10"/>
    <n v="231"/>
    <x v="1"/>
    <s v="Retail"/>
    <n v="0.15"/>
    <x v="5"/>
    <x v="3"/>
    <n v="0"/>
    <x v="281"/>
    <s v="Cust 5234"/>
    <n v="28.33"/>
    <x v="242"/>
    <d v="2023-09-19T00:00:00"/>
    <s v="Ryan"/>
    <n v="1964"/>
  </r>
  <r>
    <d v="2024-04-17T00:00:00"/>
    <x v="4"/>
    <x v="5"/>
    <n v="7"/>
    <n v="354"/>
    <x v="2"/>
    <s v="Wholesale"/>
    <n v="0.15"/>
    <x v="1"/>
    <x v="3"/>
    <n v="1"/>
    <x v="282"/>
    <s v="Cust 3051"/>
    <n v="15.74"/>
    <x v="243"/>
    <d v="2024-04-27T00:00:00"/>
    <s v="Wendy"/>
    <n v="2106"/>
  </r>
  <r>
    <d v="2024-11-14T00:00:00"/>
    <x v="3"/>
    <x v="5"/>
    <n v="12"/>
    <n v="561"/>
    <x v="1"/>
    <s v="Retail"/>
    <n v="0"/>
    <x v="1"/>
    <x v="1"/>
    <n v="0"/>
    <x v="283"/>
    <s v="Cust 5456"/>
    <n v="35.020000000000003"/>
    <x v="244"/>
    <d v="2024-11-18T00:00:00"/>
    <s v="Cameron"/>
    <n v="6732"/>
  </r>
  <r>
    <d v="2024-07-25T00:00:00"/>
    <x v="2"/>
    <x v="3"/>
    <n v="15"/>
    <n v="247"/>
    <x v="3"/>
    <s v="Wholesale"/>
    <n v="0.1"/>
    <x v="5"/>
    <x v="1"/>
    <n v="0"/>
    <x v="284"/>
    <s v="Cust 6029"/>
    <n v="45.42"/>
    <x v="245"/>
    <d v="2024-07-27T00:00:00"/>
    <s v="Ryan"/>
    <n v="3334"/>
  </r>
  <r>
    <d v="2024-08-05T00:00:00"/>
    <x v="0"/>
    <x v="1"/>
    <n v="19"/>
    <n v="271"/>
    <x v="1"/>
    <s v="Wholesale"/>
    <n v="0.1"/>
    <x v="1"/>
    <x v="2"/>
    <n v="0"/>
    <x v="285"/>
    <s v="Cust 4002"/>
    <n v="35.33"/>
    <x v="186"/>
    <d v="2024-08-15T00:00:00"/>
    <s v="Eric"/>
    <n v="4634"/>
  </r>
  <r>
    <d v="2025-01-23T00:00:00"/>
    <x v="4"/>
    <x v="0"/>
    <n v="6"/>
    <n v="533"/>
    <x v="1"/>
    <s v="Wholesale"/>
    <n v="0"/>
    <x v="4"/>
    <x v="3"/>
    <n v="1"/>
    <x v="286"/>
    <s v="Cust 5830"/>
    <n v="25.09"/>
    <x v="187"/>
    <d v="2025-02-02T00:00:00"/>
    <s v="Wendy"/>
    <n v="3198"/>
  </r>
  <r>
    <d v="2025-04-27T00:00:00"/>
    <x v="4"/>
    <x v="6"/>
    <n v="16"/>
    <n v="330"/>
    <x v="1"/>
    <s v="Wholesale"/>
    <n v="0.15"/>
    <x v="5"/>
    <x v="3"/>
    <n v="1"/>
    <x v="287"/>
    <s v="Cust 8088"/>
    <n v="39.39"/>
    <x v="240"/>
    <d v="2025-05-03T00:00:00"/>
    <s v="Wendy"/>
    <n v="4488"/>
  </r>
  <r>
    <d v="2024-09-20T00:00:00"/>
    <x v="1"/>
    <x v="1"/>
    <n v="6"/>
    <n v="170"/>
    <x v="1"/>
    <s v="Retail"/>
    <n v="0"/>
    <x v="0"/>
    <x v="1"/>
    <n v="0"/>
    <x v="288"/>
    <s v="Cust 6455"/>
    <n v="38.61"/>
    <x v="246"/>
    <d v="2024-09-23T00:00:00"/>
    <s v="Sophie"/>
    <n v="1020"/>
  </r>
  <r>
    <d v="2023-09-08T00:00:00"/>
    <x v="4"/>
    <x v="0"/>
    <n v="19"/>
    <n v="213"/>
    <x v="3"/>
    <s v="Wholesale"/>
    <n v="0.15"/>
    <x v="3"/>
    <x v="0"/>
    <n v="0"/>
    <x v="289"/>
    <s v="Cust 4117"/>
    <n v="42.88"/>
    <x v="247"/>
    <d v="2023-09-15T00:00:00"/>
    <s v="Wendy"/>
    <n v="3440"/>
  </r>
  <r>
    <d v="2025-04-20T00:00:00"/>
    <x v="1"/>
    <x v="0"/>
    <n v="5"/>
    <n v="579"/>
    <x v="1"/>
    <s v="Wholesale"/>
    <n v="0"/>
    <x v="5"/>
    <x v="2"/>
    <n v="1"/>
    <x v="290"/>
    <s v="Cust 1385"/>
    <n v="44.09"/>
    <x v="248"/>
    <d v="2025-04-28T00:00:00"/>
    <s v="Sophie"/>
    <n v="2895"/>
  </r>
  <r>
    <d v="2024-06-20T00:00:00"/>
    <x v="2"/>
    <x v="1"/>
    <n v="3"/>
    <n v="457"/>
    <x v="2"/>
    <s v="Retail"/>
    <n v="0.1"/>
    <x v="2"/>
    <x v="1"/>
    <n v="0"/>
    <x v="291"/>
    <s v="Cust 5185"/>
    <n v="17.57"/>
    <x v="249"/>
    <d v="2024-06-27T00:00:00"/>
    <s v="Ryan"/>
    <n v="1234"/>
  </r>
  <r>
    <d v="2023-01-11T00:00:00"/>
    <x v="0"/>
    <x v="5"/>
    <n v="12"/>
    <n v="522"/>
    <x v="3"/>
    <s v="Retail"/>
    <n v="0"/>
    <x v="0"/>
    <x v="2"/>
    <n v="1"/>
    <x v="292"/>
    <s v="Cust 8704"/>
    <n v="49.59"/>
    <x v="6"/>
    <d v="2023-01-20T00:00:00"/>
    <s v="Eric"/>
    <n v="6264"/>
  </r>
  <r>
    <d v="2023-07-04T00:00:00"/>
    <x v="2"/>
    <x v="2"/>
    <n v="17"/>
    <n v="468"/>
    <x v="3"/>
    <s v="Retail"/>
    <n v="0.05"/>
    <x v="4"/>
    <x v="4"/>
    <n v="0"/>
    <x v="293"/>
    <s v="Cust 3528"/>
    <n v="13.84"/>
    <x v="250"/>
    <d v="2023-07-07T00:00:00"/>
    <s v="Ryan"/>
    <n v="7558"/>
  </r>
  <r>
    <d v="2025-03-08T00:00:00"/>
    <x v="3"/>
    <x v="4"/>
    <n v="9"/>
    <n v="9"/>
    <x v="3"/>
    <s v="Retail"/>
    <n v="0.15"/>
    <x v="1"/>
    <x v="0"/>
    <n v="0"/>
    <x v="294"/>
    <s v="Cust 3907"/>
    <n v="42.7"/>
    <x v="251"/>
    <d v="2025-03-18T00:00:00"/>
    <s v="Cameron"/>
    <n v="69"/>
  </r>
  <r>
    <d v="2025-02-10T00:00:00"/>
    <x v="1"/>
    <x v="3"/>
    <n v="6"/>
    <n v="521"/>
    <x v="1"/>
    <s v="Wholesale"/>
    <n v="0.15"/>
    <x v="2"/>
    <x v="4"/>
    <n v="0"/>
    <x v="295"/>
    <s v="Cust 9005"/>
    <n v="31.14"/>
    <x v="252"/>
    <d v="2025-02-12T00:00:00"/>
    <s v="Sophie"/>
    <n v="2657"/>
  </r>
  <r>
    <d v="2025-03-17T00:00:00"/>
    <x v="4"/>
    <x v="4"/>
    <n v="10"/>
    <n v="290"/>
    <x v="2"/>
    <s v="Retail"/>
    <n v="0.1"/>
    <x v="4"/>
    <x v="4"/>
    <n v="0"/>
    <x v="296"/>
    <s v="Cust 3635"/>
    <n v="32.96"/>
    <x v="253"/>
    <d v="2025-03-21T00:00:00"/>
    <s v="Wendy"/>
    <n v="2610"/>
  </r>
  <r>
    <d v="2023-11-09T00:00:00"/>
    <x v="0"/>
    <x v="6"/>
    <n v="3"/>
    <n v="142"/>
    <x v="3"/>
    <s v="Retail"/>
    <n v="0.05"/>
    <x v="5"/>
    <x v="0"/>
    <n v="0"/>
    <x v="297"/>
    <s v="Cust 2122"/>
    <n v="32.799999999999997"/>
    <x v="254"/>
    <d v="2023-11-15T00:00:00"/>
    <s v="Eric"/>
    <n v="405"/>
  </r>
  <r>
    <d v="2023-11-30T00:00:00"/>
    <x v="3"/>
    <x v="6"/>
    <n v="15"/>
    <n v="354"/>
    <x v="0"/>
    <s v="Retail"/>
    <n v="0.05"/>
    <x v="3"/>
    <x v="0"/>
    <n v="1"/>
    <x v="298"/>
    <s v="Cust 4467"/>
    <n v="25.3"/>
    <x v="18"/>
    <d v="2023-12-08T00:00:00"/>
    <s v="Cameron"/>
    <n v="5044"/>
  </r>
  <r>
    <d v="2024-08-15T00:00:00"/>
    <x v="1"/>
    <x v="5"/>
    <n v="20"/>
    <n v="359"/>
    <x v="0"/>
    <s v="Wholesale"/>
    <n v="0"/>
    <x v="1"/>
    <x v="3"/>
    <n v="1"/>
    <x v="299"/>
    <s v="Cust 6146"/>
    <n v="21.11"/>
    <x v="255"/>
    <d v="2024-08-20T00:00:00"/>
    <s v="Sophie"/>
    <n v="7180"/>
  </r>
  <r>
    <d v="2023-03-21T00:00:00"/>
    <x v="4"/>
    <x v="5"/>
    <n v="16"/>
    <n v="33"/>
    <x v="2"/>
    <s v="Retail"/>
    <n v="0.05"/>
    <x v="0"/>
    <x v="0"/>
    <n v="0"/>
    <x v="300"/>
    <s v="Cust 4001"/>
    <n v="22.94"/>
    <x v="256"/>
    <d v="2023-03-26T00:00:00"/>
    <s v="Wendy"/>
    <n v="502"/>
  </r>
  <r>
    <d v="2023-10-26T00:00:00"/>
    <x v="4"/>
    <x v="4"/>
    <n v="2"/>
    <n v="124"/>
    <x v="0"/>
    <s v="Retail"/>
    <n v="0"/>
    <x v="0"/>
    <x v="0"/>
    <n v="0"/>
    <x v="301"/>
    <s v="Cust 3365"/>
    <n v="37.049999999999997"/>
    <x v="71"/>
    <d v="2023-10-31T00:00:00"/>
    <s v="Wendy"/>
    <n v="248"/>
  </r>
  <r>
    <d v="2023-11-03T00:00:00"/>
    <x v="4"/>
    <x v="1"/>
    <n v="12"/>
    <n v="18"/>
    <x v="3"/>
    <s v="Retail"/>
    <n v="0.1"/>
    <x v="3"/>
    <x v="0"/>
    <n v="0"/>
    <x v="302"/>
    <s v="Cust 2194"/>
    <n v="12.18"/>
    <x v="257"/>
    <d v="2023-11-11T00:00:00"/>
    <s v="Wendy"/>
    <n v="194"/>
  </r>
  <r>
    <d v="2025-01-30T00:00:00"/>
    <x v="2"/>
    <x v="3"/>
    <n v="16"/>
    <n v="346"/>
    <x v="2"/>
    <s v="Retail"/>
    <n v="0.15"/>
    <x v="2"/>
    <x v="1"/>
    <n v="0"/>
    <x v="303"/>
    <s v="Cust 7942"/>
    <n v="13.43"/>
    <x v="258"/>
    <d v="2025-02-05T00:00:00"/>
    <s v="Ryan"/>
    <n v="4706"/>
  </r>
  <r>
    <d v="2024-01-25T00:00:00"/>
    <x v="4"/>
    <x v="0"/>
    <n v="13"/>
    <n v="453"/>
    <x v="1"/>
    <s v="Wholesale"/>
    <n v="0.05"/>
    <x v="1"/>
    <x v="1"/>
    <n v="0"/>
    <x v="304"/>
    <s v="Cust 8451"/>
    <n v="46.28"/>
    <x v="109"/>
    <d v="2024-02-03T00:00:00"/>
    <s v="Wendy"/>
    <n v="5595"/>
  </r>
  <r>
    <d v="2025-03-29T00:00:00"/>
    <x v="1"/>
    <x v="0"/>
    <n v="10"/>
    <n v="278"/>
    <x v="0"/>
    <s v="Retail"/>
    <n v="0.15"/>
    <x v="3"/>
    <x v="1"/>
    <n v="1"/>
    <x v="305"/>
    <s v="Cust 4238"/>
    <n v="35.020000000000003"/>
    <x v="259"/>
    <d v="2025-04-02T00:00:00"/>
    <s v="Sophie"/>
    <n v="2363"/>
  </r>
  <r>
    <d v="2024-11-02T00:00:00"/>
    <x v="3"/>
    <x v="3"/>
    <n v="16"/>
    <n v="90"/>
    <x v="1"/>
    <s v="Wholesale"/>
    <n v="0"/>
    <x v="1"/>
    <x v="3"/>
    <n v="1"/>
    <x v="306"/>
    <s v="Cust 2529"/>
    <n v="44.69"/>
    <x v="260"/>
    <d v="2024-11-09T00:00:00"/>
    <s v="Cameron"/>
    <n v="1440"/>
  </r>
  <r>
    <d v="2024-06-30T00:00:00"/>
    <x v="3"/>
    <x v="3"/>
    <n v="11"/>
    <n v="535"/>
    <x v="3"/>
    <s v="Wholesale"/>
    <n v="0"/>
    <x v="2"/>
    <x v="4"/>
    <n v="0"/>
    <x v="307"/>
    <s v="Cust 7057"/>
    <n v="35.96"/>
    <x v="261"/>
    <d v="2024-07-09T00:00:00"/>
    <s v="Cameron"/>
    <n v="5885"/>
  </r>
  <r>
    <d v="2023-01-11T00:00:00"/>
    <x v="1"/>
    <x v="5"/>
    <n v="9"/>
    <n v="16"/>
    <x v="3"/>
    <s v="Retail"/>
    <n v="0.1"/>
    <x v="2"/>
    <x v="1"/>
    <n v="1"/>
    <x v="308"/>
    <s v="Cust 9069"/>
    <n v="27.81"/>
    <x v="6"/>
    <d v="2023-01-19T00:00:00"/>
    <s v="Sophie"/>
    <n v="130"/>
  </r>
  <r>
    <d v="2025-06-05T00:00:00"/>
    <x v="2"/>
    <x v="2"/>
    <n v="13"/>
    <n v="467"/>
    <x v="2"/>
    <s v="Wholesale"/>
    <n v="0"/>
    <x v="0"/>
    <x v="4"/>
    <n v="0"/>
    <x v="309"/>
    <s v="Cust 5858"/>
    <n v="18.63"/>
    <x v="20"/>
    <d v="2025-06-14T00:00:00"/>
    <s v="Ryan"/>
    <n v="6071"/>
  </r>
  <r>
    <d v="2024-03-21T00:00:00"/>
    <x v="2"/>
    <x v="4"/>
    <n v="16"/>
    <n v="593"/>
    <x v="3"/>
    <s v="Retail"/>
    <n v="0.1"/>
    <x v="0"/>
    <x v="1"/>
    <n v="0"/>
    <x v="310"/>
    <s v="Cust 2712"/>
    <n v="18.77"/>
    <x v="58"/>
    <d v="2024-03-24T00:00:00"/>
    <s v="Ryan"/>
    <n v="8539"/>
  </r>
  <r>
    <d v="2023-08-31T00:00:00"/>
    <x v="1"/>
    <x v="2"/>
    <n v="6"/>
    <n v="567"/>
    <x v="2"/>
    <s v="Wholesale"/>
    <n v="0.05"/>
    <x v="1"/>
    <x v="1"/>
    <n v="0"/>
    <x v="311"/>
    <s v="Cust 7052"/>
    <n v="45.98"/>
    <x v="262"/>
    <d v="2023-09-08T00:00:00"/>
    <s v="Sophie"/>
    <n v="3232"/>
  </r>
  <r>
    <d v="2024-10-07T00:00:00"/>
    <x v="1"/>
    <x v="1"/>
    <n v="17"/>
    <n v="523"/>
    <x v="1"/>
    <s v="Retail"/>
    <n v="0.05"/>
    <x v="0"/>
    <x v="3"/>
    <n v="0"/>
    <x v="312"/>
    <s v="Cust 9397"/>
    <n v="37.380000000000003"/>
    <x v="263"/>
    <d v="2024-10-17T00:00:00"/>
    <s v="Sophie"/>
    <n v="8446"/>
  </r>
  <r>
    <d v="2023-04-12T00:00:00"/>
    <x v="2"/>
    <x v="0"/>
    <n v="17"/>
    <n v="376"/>
    <x v="2"/>
    <s v="Wholesale"/>
    <n v="0"/>
    <x v="1"/>
    <x v="3"/>
    <n v="0"/>
    <x v="313"/>
    <s v="Cust 4614"/>
    <n v="33.380000000000003"/>
    <x v="264"/>
    <d v="2023-04-15T00:00:00"/>
    <s v="Ryan"/>
    <n v="6392"/>
  </r>
  <r>
    <d v="2023-11-06T00:00:00"/>
    <x v="1"/>
    <x v="6"/>
    <n v="5"/>
    <n v="95"/>
    <x v="1"/>
    <s v="Retail"/>
    <n v="0.15"/>
    <x v="2"/>
    <x v="2"/>
    <n v="0"/>
    <x v="314"/>
    <s v="Cust 1573"/>
    <n v="48.55"/>
    <x v="265"/>
    <d v="2023-11-16T00:00:00"/>
    <s v="Sophie"/>
    <n v="404"/>
  </r>
  <r>
    <d v="2023-04-28T00:00:00"/>
    <x v="4"/>
    <x v="2"/>
    <n v="2"/>
    <n v="211"/>
    <x v="3"/>
    <s v="Wholesale"/>
    <n v="0.15"/>
    <x v="4"/>
    <x v="2"/>
    <n v="0"/>
    <x v="315"/>
    <s v="Cust 5660"/>
    <n v="7.78"/>
    <x v="266"/>
    <d v="2023-05-08T00:00:00"/>
    <s v="Wendy"/>
    <n v="359"/>
  </r>
  <r>
    <d v="2023-12-18T00:00:00"/>
    <x v="4"/>
    <x v="6"/>
    <n v="7"/>
    <n v="393"/>
    <x v="0"/>
    <s v="Retail"/>
    <n v="0.1"/>
    <x v="1"/>
    <x v="4"/>
    <n v="0"/>
    <x v="316"/>
    <s v="Cust 3952"/>
    <n v="34.35"/>
    <x v="267"/>
    <d v="2023-12-21T00:00:00"/>
    <s v="Wendy"/>
    <n v="2476"/>
  </r>
  <r>
    <d v="2024-10-10T00:00:00"/>
    <x v="1"/>
    <x v="1"/>
    <n v="13"/>
    <n v="114"/>
    <x v="1"/>
    <s v="Retail"/>
    <n v="0"/>
    <x v="5"/>
    <x v="4"/>
    <n v="0"/>
    <x v="317"/>
    <s v="Cust 5407"/>
    <n v="43.81"/>
    <x v="268"/>
    <d v="2024-10-16T00:00:00"/>
    <s v="Sophie"/>
    <n v="1482"/>
  </r>
  <r>
    <d v="2023-02-05T00:00:00"/>
    <x v="2"/>
    <x v="5"/>
    <n v="18"/>
    <n v="336"/>
    <x v="0"/>
    <s v="Retail"/>
    <n v="0"/>
    <x v="2"/>
    <x v="0"/>
    <n v="0"/>
    <x v="318"/>
    <s v="Cust 9595"/>
    <n v="18.59"/>
    <x v="269"/>
    <d v="2023-02-07T00:00:00"/>
    <s v="Ryan"/>
    <n v="6048"/>
  </r>
  <r>
    <d v="2024-08-04T00:00:00"/>
    <x v="3"/>
    <x v="4"/>
    <n v="9"/>
    <n v="24"/>
    <x v="2"/>
    <s v="Wholesale"/>
    <n v="0.15"/>
    <x v="0"/>
    <x v="1"/>
    <n v="1"/>
    <x v="319"/>
    <s v="Cust 3245"/>
    <n v="22.06"/>
    <x v="270"/>
    <d v="2024-08-14T00:00:00"/>
    <s v="Cameron"/>
    <n v="184"/>
  </r>
  <r>
    <d v="2024-10-23T00:00:00"/>
    <x v="3"/>
    <x v="5"/>
    <n v="12"/>
    <n v="352"/>
    <x v="1"/>
    <s v="Retail"/>
    <n v="0.05"/>
    <x v="0"/>
    <x v="2"/>
    <n v="0"/>
    <x v="320"/>
    <s v="Cust 7180"/>
    <n v="18.39"/>
    <x v="75"/>
    <d v="2024-11-01T00:00:00"/>
    <s v="Cameron"/>
    <n v="4013"/>
  </r>
  <r>
    <d v="2024-02-13T00:00:00"/>
    <x v="4"/>
    <x v="4"/>
    <n v="7"/>
    <n v="354"/>
    <x v="2"/>
    <s v="Wholesale"/>
    <n v="0.05"/>
    <x v="3"/>
    <x v="1"/>
    <n v="0"/>
    <x v="321"/>
    <s v="Cust 5973"/>
    <n v="5.93"/>
    <x v="30"/>
    <d v="2024-02-20T00:00:00"/>
    <s v="Wendy"/>
    <n v="2354"/>
  </r>
  <r>
    <d v="2024-06-03T00:00:00"/>
    <x v="1"/>
    <x v="5"/>
    <n v="15"/>
    <n v="10"/>
    <x v="2"/>
    <s v="Retail"/>
    <n v="0"/>
    <x v="1"/>
    <x v="1"/>
    <n v="0"/>
    <x v="322"/>
    <s v="Cust 4310"/>
    <n v="36.270000000000003"/>
    <x v="189"/>
    <d v="2024-06-07T00:00:00"/>
    <s v="Sophie"/>
    <n v="150"/>
  </r>
  <r>
    <d v="2023-04-14T00:00:00"/>
    <x v="1"/>
    <x v="6"/>
    <n v="17"/>
    <n v="464"/>
    <x v="1"/>
    <s v="Retail"/>
    <n v="0.15"/>
    <x v="3"/>
    <x v="3"/>
    <n v="1"/>
    <x v="323"/>
    <s v="Cust 6243"/>
    <n v="46.83"/>
    <x v="271"/>
    <d v="2023-04-18T00:00:00"/>
    <s v="Sophie"/>
    <n v="6705"/>
  </r>
  <r>
    <d v="2024-10-19T00:00:00"/>
    <x v="3"/>
    <x v="0"/>
    <n v="16"/>
    <n v="436"/>
    <x v="2"/>
    <s v="Retail"/>
    <n v="0.05"/>
    <x v="4"/>
    <x v="0"/>
    <n v="0"/>
    <x v="324"/>
    <s v="Cust 2448"/>
    <n v="47.61"/>
    <x v="272"/>
    <d v="2024-10-23T00:00:00"/>
    <s v="Cameron"/>
    <n v="6627"/>
  </r>
  <r>
    <d v="2023-12-18T00:00:00"/>
    <x v="1"/>
    <x v="0"/>
    <n v="9"/>
    <n v="220"/>
    <x v="0"/>
    <s v="Wholesale"/>
    <n v="0.05"/>
    <x v="5"/>
    <x v="1"/>
    <n v="0"/>
    <x v="325"/>
    <s v="Cust 9386"/>
    <n v="44.78"/>
    <x v="267"/>
    <d v="2023-12-22T00:00:00"/>
    <s v="Sophie"/>
    <n v="1881"/>
  </r>
  <r>
    <d v="2023-08-31T00:00:00"/>
    <x v="2"/>
    <x v="0"/>
    <n v="5"/>
    <n v="311"/>
    <x v="1"/>
    <s v="Wholesale"/>
    <n v="0.15"/>
    <x v="4"/>
    <x v="4"/>
    <n v="0"/>
    <x v="326"/>
    <s v="Cust 2227"/>
    <n v="36.979999999999997"/>
    <x v="262"/>
    <d v="2023-09-06T00:00:00"/>
    <s v="Ryan"/>
    <n v="1322"/>
  </r>
  <r>
    <d v="2023-09-19T00:00:00"/>
    <x v="1"/>
    <x v="0"/>
    <n v="4"/>
    <n v="548"/>
    <x v="3"/>
    <s v="Retail"/>
    <n v="0.15"/>
    <x v="2"/>
    <x v="1"/>
    <n v="0"/>
    <x v="327"/>
    <s v="Cust 3803"/>
    <n v="25.88"/>
    <x v="273"/>
    <d v="2023-09-26T00:00:00"/>
    <s v="Sophie"/>
    <n v="1863"/>
  </r>
  <r>
    <d v="2023-02-27T00:00:00"/>
    <x v="3"/>
    <x v="0"/>
    <n v="9"/>
    <n v="53"/>
    <x v="3"/>
    <s v="Retail"/>
    <n v="0.15"/>
    <x v="4"/>
    <x v="0"/>
    <n v="0"/>
    <x v="328"/>
    <s v="Cust 1236"/>
    <n v="14.59"/>
    <x v="274"/>
    <d v="2023-03-04T00:00:00"/>
    <s v="Cameron"/>
    <n v="405"/>
  </r>
  <r>
    <d v="2024-01-28T00:00:00"/>
    <x v="1"/>
    <x v="5"/>
    <n v="9"/>
    <n v="435"/>
    <x v="3"/>
    <s v="Wholesale"/>
    <n v="0.1"/>
    <x v="5"/>
    <x v="0"/>
    <n v="0"/>
    <x v="329"/>
    <s v="Cust 2669"/>
    <n v="20.11"/>
    <x v="275"/>
    <d v="2024-01-31T00:00:00"/>
    <s v="Sophie"/>
    <n v="3524"/>
  </r>
  <r>
    <d v="2025-05-06T00:00:00"/>
    <x v="1"/>
    <x v="4"/>
    <n v="9"/>
    <n v="124"/>
    <x v="2"/>
    <s v="Wholesale"/>
    <n v="0"/>
    <x v="0"/>
    <x v="3"/>
    <n v="0"/>
    <x v="330"/>
    <s v="Cust 3746"/>
    <n v="13.31"/>
    <x v="276"/>
    <d v="2025-05-10T00:00:00"/>
    <s v="Sophie"/>
    <n v="1116"/>
  </r>
  <r>
    <d v="2024-09-13T00:00:00"/>
    <x v="0"/>
    <x v="4"/>
    <n v="2"/>
    <n v="375"/>
    <x v="3"/>
    <s v="Retail"/>
    <n v="0.05"/>
    <x v="4"/>
    <x v="2"/>
    <n v="0"/>
    <x v="331"/>
    <s v="Cust 9694"/>
    <n v="26.39"/>
    <x v="277"/>
    <d v="2024-09-15T00:00:00"/>
    <s v="Eric"/>
    <n v="712"/>
  </r>
  <r>
    <d v="2023-05-25T00:00:00"/>
    <x v="0"/>
    <x v="6"/>
    <n v="13"/>
    <n v="211"/>
    <x v="0"/>
    <s v="Retail"/>
    <n v="0.1"/>
    <x v="5"/>
    <x v="1"/>
    <n v="1"/>
    <x v="332"/>
    <s v="Cust 4993"/>
    <n v="19.579999999999998"/>
    <x v="147"/>
    <d v="2023-05-29T00:00:00"/>
    <s v="Eric"/>
    <n v="2469"/>
  </r>
  <r>
    <d v="2024-09-26T00:00:00"/>
    <x v="1"/>
    <x v="5"/>
    <n v="7"/>
    <n v="89"/>
    <x v="2"/>
    <s v="Retail"/>
    <n v="0"/>
    <x v="1"/>
    <x v="0"/>
    <n v="0"/>
    <x v="333"/>
    <s v="Cust 1271"/>
    <n v="8.36"/>
    <x v="217"/>
    <d v="2024-10-01T00:00:00"/>
    <s v="Sophie"/>
    <n v="623"/>
  </r>
  <r>
    <d v="2023-02-13T00:00:00"/>
    <x v="1"/>
    <x v="1"/>
    <n v="5"/>
    <n v="254"/>
    <x v="0"/>
    <s v="Wholesale"/>
    <n v="0.05"/>
    <x v="5"/>
    <x v="0"/>
    <n v="0"/>
    <x v="334"/>
    <s v="Cust 3042"/>
    <n v="9.9700000000000006"/>
    <x v="278"/>
    <d v="2023-02-18T00:00:00"/>
    <s v="Sophie"/>
    <n v="1206"/>
  </r>
  <r>
    <d v="2024-06-20T00:00:00"/>
    <x v="3"/>
    <x v="3"/>
    <n v="5"/>
    <n v="432"/>
    <x v="2"/>
    <s v="Wholesale"/>
    <n v="0.1"/>
    <x v="5"/>
    <x v="1"/>
    <n v="1"/>
    <x v="335"/>
    <s v="Cust 6424"/>
    <n v="41.48"/>
    <x v="249"/>
    <d v="2024-06-27T00:00:00"/>
    <s v="Cameron"/>
    <n v="1944"/>
  </r>
  <r>
    <d v="2024-03-22T00:00:00"/>
    <x v="4"/>
    <x v="0"/>
    <n v="19"/>
    <n v="590"/>
    <x v="3"/>
    <s v="Retail"/>
    <n v="0.05"/>
    <x v="1"/>
    <x v="0"/>
    <n v="0"/>
    <x v="336"/>
    <s v="Cust 1422"/>
    <n v="5.91"/>
    <x v="124"/>
    <d v="2024-03-25T00:00:00"/>
    <s v="Wendy"/>
    <n v="10650"/>
  </r>
  <r>
    <d v="2024-02-08T00:00:00"/>
    <x v="4"/>
    <x v="4"/>
    <n v="11"/>
    <n v="151"/>
    <x v="0"/>
    <s v="Wholesale"/>
    <n v="0.1"/>
    <x v="2"/>
    <x v="2"/>
    <n v="1"/>
    <x v="337"/>
    <s v="Cust 5857"/>
    <n v="22.65"/>
    <x v="279"/>
    <d v="2024-02-11T00:00:00"/>
    <s v="Wendy"/>
    <n v="1495"/>
  </r>
  <r>
    <d v="2024-06-01T00:00:00"/>
    <x v="0"/>
    <x v="2"/>
    <n v="3"/>
    <n v="205"/>
    <x v="0"/>
    <s v="Retail"/>
    <n v="0.1"/>
    <x v="2"/>
    <x v="0"/>
    <n v="1"/>
    <x v="338"/>
    <s v="Cust 6953"/>
    <n v="7.72"/>
    <x v="280"/>
    <d v="2024-06-04T00:00:00"/>
    <s v="Eric"/>
    <n v="554"/>
  </r>
  <r>
    <d v="2024-05-26T00:00:00"/>
    <x v="2"/>
    <x v="0"/>
    <n v="16"/>
    <n v="587"/>
    <x v="2"/>
    <s v="Wholesale"/>
    <n v="0"/>
    <x v="4"/>
    <x v="2"/>
    <n v="1"/>
    <x v="339"/>
    <s v="Cust 2916"/>
    <n v="17.059999999999999"/>
    <x v="96"/>
    <d v="2024-06-01T00:00:00"/>
    <s v="Ryan"/>
    <n v="9392"/>
  </r>
  <r>
    <d v="2024-06-25T00:00:00"/>
    <x v="0"/>
    <x v="6"/>
    <n v="16"/>
    <n v="105"/>
    <x v="1"/>
    <s v="Wholesale"/>
    <n v="0"/>
    <x v="3"/>
    <x v="1"/>
    <n v="0"/>
    <x v="340"/>
    <s v="Cust 6855"/>
    <n v="33.99"/>
    <x v="281"/>
    <d v="2024-06-30T00:00:00"/>
    <s v="Eric"/>
    <n v="1680"/>
  </r>
  <r>
    <d v="2024-01-29T00:00:00"/>
    <x v="3"/>
    <x v="6"/>
    <n v="16"/>
    <n v="598"/>
    <x v="1"/>
    <s v="Retail"/>
    <n v="0.1"/>
    <x v="2"/>
    <x v="4"/>
    <n v="0"/>
    <x v="341"/>
    <s v="Cust 8464"/>
    <n v="47.86"/>
    <x v="282"/>
    <d v="2024-02-07T00:00:00"/>
    <s v="Cameron"/>
    <n v="8611"/>
  </r>
  <r>
    <d v="2024-12-07T00:00:00"/>
    <x v="1"/>
    <x v="3"/>
    <n v="8"/>
    <n v="368"/>
    <x v="0"/>
    <s v="Retail"/>
    <n v="0.05"/>
    <x v="1"/>
    <x v="4"/>
    <n v="0"/>
    <x v="342"/>
    <s v="Cust 9700"/>
    <n v="18.100000000000001"/>
    <x v="29"/>
    <d v="2024-12-09T00:00:00"/>
    <s v="Sophie"/>
    <n v="2797"/>
  </r>
  <r>
    <d v="2023-11-21T00:00:00"/>
    <x v="4"/>
    <x v="3"/>
    <n v="10"/>
    <n v="333"/>
    <x v="1"/>
    <s v="Retail"/>
    <n v="0.15"/>
    <x v="1"/>
    <x v="3"/>
    <n v="0"/>
    <x v="343"/>
    <s v="Cust 7765"/>
    <n v="39.35"/>
    <x v="283"/>
    <d v="2023-11-26T00:00:00"/>
    <s v="Wendy"/>
    <n v="2830"/>
  </r>
  <r>
    <d v="2024-12-16T00:00:00"/>
    <x v="2"/>
    <x v="3"/>
    <n v="8"/>
    <n v="379"/>
    <x v="1"/>
    <s v="Wholesale"/>
    <n v="0.1"/>
    <x v="2"/>
    <x v="3"/>
    <n v="1"/>
    <x v="344"/>
    <s v="Cust 8246"/>
    <n v="5.22"/>
    <x v="284"/>
    <d v="2024-12-24T00:00:00"/>
    <s v="Ryan"/>
    <n v="2729"/>
  </r>
  <r>
    <d v="2023-08-05T00:00:00"/>
    <x v="3"/>
    <x v="4"/>
    <n v="12"/>
    <n v="169"/>
    <x v="2"/>
    <s v="Retail"/>
    <n v="0.05"/>
    <x v="4"/>
    <x v="1"/>
    <n v="0"/>
    <x v="345"/>
    <s v="Cust 6500"/>
    <n v="28.65"/>
    <x v="285"/>
    <d v="2023-08-15T00:00:00"/>
    <s v="Cameron"/>
    <n v="1927"/>
  </r>
  <r>
    <d v="2023-08-30T00:00:00"/>
    <x v="3"/>
    <x v="3"/>
    <n v="7"/>
    <n v="103"/>
    <x v="3"/>
    <s v="Retail"/>
    <n v="0.1"/>
    <x v="5"/>
    <x v="0"/>
    <n v="1"/>
    <x v="346"/>
    <s v="Cust 1150"/>
    <n v="5.29"/>
    <x v="286"/>
    <d v="2023-09-06T00:00:00"/>
    <s v="Cameron"/>
    <n v="649"/>
  </r>
  <r>
    <d v="2025-03-25T00:00:00"/>
    <x v="0"/>
    <x v="6"/>
    <n v="3"/>
    <n v="379"/>
    <x v="3"/>
    <s v="Wholesale"/>
    <n v="0.15"/>
    <x v="2"/>
    <x v="0"/>
    <n v="0"/>
    <x v="347"/>
    <s v="Cust 7449"/>
    <n v="8.2200000000000006"/>
    <x v="287"/>
    <d v="2025-03-27T00:00:00"/>
    <s v="Eric"/>
    <n v="966"/>
  </r>
  <r>
    <d v="2024-12-13T00:00:00"/>
    <x v="2"/>
    <x v="1"/>
    <n v="15"/>
    <n v="27"/>
    <x v="2"/>
    <s v="Wholesale"/>
    <n v="0"/>
    <x v="1"/>
    <x v="0"/>
    <n v="0"/>
    <x v="348"/>
    <s v="Cust 1957"/>
    <n v="43.69"/>
    <x v="167"/>
    <d v="2024-12-22T00:00:00"/>
    <s v="Ryan"/>
    <n v="405"/>
  </r>
  <r>
    <d v="2023-09-07T00:00:00"/>
    <x v="3"/>
    <x v="1"/>
    <n v="14"/>
    <n v="52"/>
    <x v="1"/>
    <s v="Retail"/>
    <n v="0"/>
    <x v="5"/>
    <x v="1"/>
    <n v="1"/>
    <x v="349"/>
    <s v="Cust 3467"/>
    <n v="48.02"/>
    <x v="288"/>
    <d v="2023-09-14T00:00:00"/>
    <s v="Cameron"/>
    <n v="728"/>
  </r>
  <r>
    <d v="2023-12-12T00:00:00"/>
    <x v="2"/>
    <x v="4"/>
    <n v="7"/>
    <n v="570"/>
    <x v="2"/>
    <s v="Wholesale"/>
    <n v="0"/>
    <x v="3"/>
    <x v="2"/>
    <n v="0"/>
    <x v="350"/>
    <s v="Cust 5212"/>
    <n v="42.33"/>
    <x v="289"/>
    <d v="2023-12-21T00:00:00"/>
    <s v="Ryan"/>
    <n v="3990"/>
  </r>
  <r>
    <d v="2024-04-25T00:00:00"/>
    <x v="0"/>
    <x v="4"/>
    <n v="19"/>
    <n v="526"/>
    <x v="0"/>
    <s v="Retail"/>
    <n v="0"/>
    <x v="5"/>
    <x v="2"/>
    <n v="0"/>
    <x v="351"/>
    <s v="Cust 3509"/>
    <n v="32.770000000000003"/>
    <x v="290"/>
    <d v="2024-05-05T00:00:00"/>
    <s v="Eric"/>
    <n v="9994"/>
  </r>
  <r>
    <d v="2025-05-04T00:00:00"/>
    <x v="2"/>
    <x v="0"/>
    <n v="8"/>
    <n v="295"/>
    <x v="1"/>
    <s v="Wholesale"/>
    <n v="0.15"/>
    <x v="4"/>
    <x v="1"/>
    <n v="0"/>
    <x v="352"/>
    <s v="Cust 5316"/>
    <n v="10.46"/>
    <x v="291"/>
    <d v="2025-05-07T00:00:00"/>
    <s v="Ryan"/>
    <n v="2006"/>
  </r>
  <r>
    <d v="2023-09-16T00:00:00"/>
    <x v="1"/>
    <x v="4"/>
    <n v="18"/>
    <n v="448"/>
    <x v="2"/>
    <s v="Wholesale"/>
    <n v="0.05"/>
    <x v="4"/>
    <x v="2"/>
    <n v="0"/>
    <x v="353"/>
    <s v="Cust 9919"/>
    <n v="47.56"/>
    <x v="292"/>
    <d v="2023-09-20T00:00:00"/>
    <s v="Sophie"/>
    <n v="7661"/>
  </r>
  <r>
    <d v="2024-10-23T00:00:00"/>
    <x v="4"/>
    <x v="2"/>
    <n v="17"/>
    <n v="584"/>
    <x v="3"/>
    <s v="Retail"/>
    <n v="0.1"/>
    <x v="1"/>
    <x v="2"/>
    <n v="0"/>
    <x v="354"/>
    <s v="Cust 7129"/>
    <n v="37.53"/>
    <x v="75"/>
    <d v="2024-10-26T00:00:00"/>
    <s v="Wendy"/>
    <n v="8935"/>
  </r>
  <r>
    <d v="2023-05-03T00:00:00"/>
    <x v="2"/>
    <x v="2"/>
    <n v="2"/>
    <n v="98"/>
    <x v="3"/>
    <s v="Retail"/>
    <n v="0.1"/>
    <x v="1"/>
    <x v="4"/>
    <n v="1"/>
    <x v="355"/>
    <s v="Cust 9841"/>
    <n v="46.37"/>
    <x v="293"/>
    <d v="2023-05-06T00:00:00"/>
    <s v="Ryan"/>
    <n v="176"/>
  </r>
  <r>
    <d v="2025-03-18T00:00:00"/>
    <x v="2"/>
    <x v="6"/>
    <n v="16"/>
    <n v="421"/>
    <x v="0"/>
    <s v="Wholesale"/>
    <n v="0.15"/>
    <x v="3"/>
    <x v="4"/>
    <n v="1"/>
    <x v="356"/>
    <s v="Cust 6362"/>
    <n v="22.13"/>
    <x v="213"/>
    <d v="2025-03-25T00:00:00"/>
    <s v="Ryan"/>
    <n v="5726"/>
  </r>
  <r>
    <d v="2023-08-25T00:00:00"/>
    <x v="4"/>
    <x v="3"/>
    <n v="13"/>
    <n v="513"/>
    <x v="0"/>
    <s v="Retail"/>
    <n v="0"/>
    <x v="0"/>
    <x v="2"/>
    <n v="0"/>
    <x v="357"/>
    <s v="Cust 4142"/>
    <n v="10.57"/>
    <x v="294"/>
    <d v="2023-08-27T00:00:00"/>
    <s v="Wendy"/>
    <n v="6669"/>
  </r>
  <r>
    <d v="2023-07-13T00:00:00"/>
    <x v="2"/>
    <x v="4"/>
    <n v="19"/>
    <n v="476"/>
    <x v="2"/>
    <s v="Retail"/>
    <n v="0.1"/>
    <x v="2"/>
    <x v="4"/>
    <n v="1"/>
    <x v="358"/>
    <s v="Cust 9584"/>
    <n v="11.17"/>
    <x v="295"/>
    <d v="2023-07-17T00:00:00"/>
    <s v="Ryan"/>
    <n v="8140"/>
  </r>
  <r>
    <d v="2025-02-25T00:00:00"/>
    <x v="2"/>
    <x v="5"/>
    <n v="13"/>
    <n v="238"/>
    <x v="2"/>
    <s v="Retail"/>
    <n v="0.1"/>
    <x v="3"/>
    <x v="2"/>
    <n v="1"/>
    <x v="359"/>
    <s v="Cust 2553"/>
    <n v="7.9"/>
    <x v="296"/>
    <d v="2025-03-06T00:00:00"/>
    <s v="Ryan"/>
    <n v="2785"/>
  </r>
  <r>
    <d v="2025-04-14T00:00:00"/>
    <x v="3"/>
    <x v="0"/>
    <n v="14"/>
    <n v="285"/>
    <x v="0"/>
    <s v="Wholesale"/>
    <n v="0.1"/>
    <x v="0"/>
    <x v="2"/>
    <n v="0"/>
    <x v="360"/>
    <s v="Cust 1347"/>
    <n v="41.5"/>
    <x v="297"/>
    <d v="2025-04-17T00:00:00"/>
    <s v="Cameron"/>
    <n v="3591"/>
  </r>
  <r>
    <d v="2025-06-15T00:00:00"/>
    <x v="3"/>
    <x v="2"/>
    <n v="5"/>
    <n v="6"/>
    <x v="2"/>
    <s v="Retail"/>
    <n v="0.05"/>
    <x v="1"/>
    <x v="2"/>
    <n v="0"/>
    <x v="361"/>
    <s v="Cust 8305"/>
    <n v="10.58"/>
    <x v="298"/>
    <d v="2025-06-18T00:00:00"/>
    <s v="Cameron"/>
    <n v="28"/>
  </r>
  <r>
    <d v="2024-10-22T00:00:00"/>
    <x v="2"/>
    <x v="4"/>
    <n v="18"/>
    <n v="396"/>
    <x v="3"/>
    <s v="Retail"/>
    <n v="0.1"/>
    <x v="2"/>
    <x v="2"/>
    <n v="0"/>
    <x v="362"/>
    <s v="Cust 7015"/>
    <n v="20.39"/>
    <x v="299"/>
    <d v="2024-10-27T00:00:00"/>
    <s v="Ryan"/>
    <n v="6415"/>
  </r>
  <r>
    <d v="2023-06-20T00:00:00"/>
    <x v="1"/>
    <x v="0"/>
    <n v="9"/>
    <n v="283"/>
    <x v="3"/>
    <s v="Wholesale"/>
    <n v="0.05"/>
    <x v="0"/>
    <x v="0"/>
    <n v="0"/>
    <x v="363"/>
    <s v="Cust 4394"/>
    <n v="49.79"/>
    <x v="300"/>
    <d v="2023-06-25T00:00:00"/>
    <s v="Sophie"/>
    <n v="2420"/>
  </r>
  <r>
    <d v="2025-03-05T00:00:00"/>
    <x v="1"/>
    <x v="1"/>
    <n v="6"/>
    <n v="525"/>
    <x v="2"/>
    <s v="Wholesale"/>
    <n v="0.05"/>
    <x v="1"/>
    <x v="2"/>
    <n v="0"/>
    <x v="364"/>
    <s v="Cust 3323"/>
    <n v="39.28"/>
    <x v="9"/>
    <d v="2025-03-11T00:00:00"/>
    <s v="Sophie"/>
    <n v="2992"/>
  </r>
  <r>
    <d v="2023-10-28T00:00:00"/>
    <x v="4"/>
    <x v="5"/>
    <n v="15"/>
    <n v="128"/>
    <x v="3"/>
    <s v="Retail"/>
    <n v="0.1"/>
    <x v="1"/>
    <x v="3"/>
    <n v="0"/>
    <x v="365"/>
    <s v="Cust 4029"/>
    <n v="48.77"/>
    <x v="301"/>
    <d v="2023-10-30T00:00:00"/>
    <s v="Wendy"/>
    <n v="1728"/>
  </r>
  <r>
    <d v="2025-03-19T00:00:00"/>
    <x v="3"/>
    <x v="0"/>
    <n v="17"/>
    <n v="512"/>
    <x v="0"/>
    <s v="Retail"/>
    <n v="0.05"/>
    <x v="3"/>
    <x v="2"/>
    <n v="1"/>
    <x v="366"/>
    <s v="Cust 1400"/>
    <n v="13.33"/>
    <x v="302"/>
    <d v="2025-03-26T00:00:00"/>
    <s v="Cameron"/>
    <n v="8269"/>
  </r>
  <r>
    <d v="2023-08-06T00:00:00"/>
    <x v="4"/>
    <x v="5"/>
    <n v="4"/>
    <n v="556"/>
    <x v="2"/>
    <s v="Retail"/>
    <n v="0.05"/>
    <x v="5"/>
    <x v="4"/>
    <n v="0"/>
    <x v="367"/>
    <s v="Cust 6361"/>
    <n v="28.92"/>
    <x v="23"/>
    <d v="2023-08-08T00:00:00"/>
    <s v="Wendy"/>
    <n v="2113"/>
  </r>
  <r>
    <d v="2024-09-11T00:00:00"/>
    <x v="3"/>
    <x v="4"/>
    <n v="15"/>
    <n v="203"/>
    <x v="3"/>
    <s v="Retail"/>
    <n v="0.05"/>
    <x v="0"/>
    <x v="3"/>
    <n v="1"/>
    <x v="368"/>
    <s v="Cust 5267"/>
    <n v="41.61"/>
    <x v="303"/>
    <d v="2024-09-19T00:00:00"/>
    <s v="Cameron"/>
    <n v="2893"/>
  </r>
  <r>
    <d v="2025-01-08T00:00:00"/>
    <x v="3"/>
    <x v="3"/>
    <n v="4"/>
    <n v="354"/>
    <x v="1"/>
    <s v="Wholesale"/>
    <n v="0"/>
    <x v="2"/>
    <x v="2"/>
    <n v="0"/>
    <x v="369"/>
    <s v="Cust 9354"/>
    <n v="41.98"/>
    <x v="304"/>
    <d v="2025-01-12T00:00:00"/>
    <s v="Cameron"/>
    <n v="1416"/>
  </r>
  <r>
    <d v="2024-08-12T00:00:00"/>
    <x v="3"/>
    <x v="3"/>
    <n v="3"/>
    <n v="149"/>
    <x v="3"/>
    <s v="Wholesale"/>
    <n v="0"/>
    <x v="3"/>
    <x v="3"/>
    <n v="1"/>
    <x v="370"/>
    <s v="Cust 9443"/>
    <n v="13.17"/>
    <x v="305"/>
    <d v="2024-08-14T00:00:00"/>
    <s v="Cameron"/>
    <n v="447"/>
  </r>
  <r>
    <d v="2023-03-30T00:00:00"/>
    <x v="2"/>
    <x v="4"/>
    <n v="19"/>
    <n v="156"/>
    <x v="2"/>
    <s v="Wholesale"/>
    <n v="0.1"/>
    <x v="1"/>
    <x v="0"/>
    <n v="0"/>
    <x v="371"/>
    <s v="Cust 2252"/>
    <n v="19.440000000000001"/>
    <x v="306"/>
    <d v="2023-04-04T00:00:00"/>
    <s v="Ryan"/>
    <n v="2668"/>
  </r>
  <r>
    <d v="2023-02-01T00:00:00"/>
    <x v="3"/>
    <x v="1"/>
    <n v="7"/>
    <n v="242"/>
    <x v="3"/>
    <s v="Wholesale"/>
    <n v="0"/>
    <x v="3"/>
    <x v="0"/>
    <n v="0"/>
    <x v="372"/>
    <s v="Cust 1031"/>
    <n v="48.13"/>
    <x v="307"/>
    <d v="2023-02-09T00:00:00"/>
    <s v="Cameron"/>
    <n v="1694"/>
  </r>
  <r>
    <d v="2025-04-18T00:00:00"/>
    <x v="2"/>
    <x v="0"/>
    <n v="20"/>
    <n v="170"/>
    <x v="1"/>
    <s v="Wholesale"/>
    <n v="0"/>
    <x v="4"/>
    <x v="0"/>
    <n v="0"/>
    <x v="373"/>
    <s v="Cust 6086"/>
    <n v="19.739999999999998"/>
    <x v="308"/>
    <d v="2025-04-27T00:00:00"/>
    <s v="Ryan"/>
    <n v="3400"/>
  </r>
  <r>
    <d v="2025-03-29T00:00:00"/>
    <x v="3"/>
    <x v="4"/>
    <n v="11"/>
    <n v="150"/>
    <x v="2"/>
    <s v="Retail"/>
    <n v="0.1"/>
    <x v="0"/>
    <x v="2"/>
    <n v="0"/>
    <x v="374"/>
    <s v="Cust 1672"/>
    <n v="34.130000000000003"/>
    <x v="259"/>
    <d v="2025-04-02T00:00:00"/>
    <s v="Cameron"/>
    <n v="1485"/>
  </r>
  <r>
    <d v="2024-04-25T00:00:00"/>
    <x v="0"/>
    <x v="5"/>
    <n v="1"/>
    <n v="174"/>
    <x v="3"/>
    <s v="Retail"/>
    <n v="0.1"/>
    <x v="0"/>
    <x v="3"/>
    <n v="0"/>
    <x v="375"/>
    <s v="Cust 9313"/>
    <n v="39.1"/>
    <x v="290"/>
    <d v="2024-04-28T00:00:00"/>
    <s v="Eric"/>
    <n v="157"/>
  </r>
  <r>
    <d v="2024-09-22T00:00:00"/>
    <x v="1"/>
    <x v="4"/>
    <n v="7"/>
    <n v="350"/>
    <x v="1"/>
    <s v="Retail"/>
    <n v="0.05"/>
    <x v="3"/>
    <x v="2"/>
    <n v="0"/>
    <x v="376"/>
    <s v="Cust 4405"/>
    <n v="23.7"/>
    <x v="309"/>
    <d v="2024-09-27T00:00:00"/>
    <s v="Sophie"/>
    <n v="2328"/>
  </r>
  <r>
    <d v="2023-08-05T00:00:00"/>
    <x v="3"/>
    <x v="5"/>
    <n v="9"/>
    <n v="245"/>
    <x v="0"/>
    <s v="Wholesale"/>
    <n v="0"/>
    <x v="1"/>
    <x v="0"/>
    <n v="1"/>
    <x v="377"/>
    <s v="Cust 6453"/>
    <n v="44.6"/>
    <x v="285"/>
    <d v="2023-08-14T00:00:00"/>
    <s v="Cameron"/>
    <n v="2205"/>
  </r>
  <r>
    <d v="2024-06-07T00:00:00"/>
    <x v="1"/>
    <x v="2"/>
    <n v="1"/>
    <n v="423"/>
    <x v="0"/>
    <s v="Wholesale"/>
    <n v="0.05"/>
    <x v="5"/>
    <x v="1"/>
    <n v="0"/>
    <x v="378"/>
    <s v="Cust 4772"/>
    <n v="31.75"/>
    <x v="310"/>
    <d v="2024-06-11T00:00:00"/>
    <s v="Sophie"/>
    <n v="402"/>
  </r>
  <r>
    <d v="2025-05-24T00:00:00"/>
    <x v="0"/>
    <x v="1"/>
    <n v="19"/>
    <n v="338"/>
    <x v="0"/>
    <s v="Wholesale"/>
    <n v="0.15"/>
    <x v="1"/>
    <x v="0"/>
    <n v="0"/>
    <x v="379"/>
    <s v="Cust 1762"/>
    <n v="45.74"/>
    <x v="311"/>
    <d v="2025-05-30T00:00:00"/>
    <s v="Eric"/>
    <n v="5459"/>
  </r>
  <r>
    <d v="2024-07-18T00:00:00"/>
    <x v="1"/>
    <x v="3"/>
    <n v="10"/>
    <n v="253"/>
    <x v="0"/>
    <s v="Retail"/>
    <n v="0.15"/>
    <x v="0"/>
    <x v="4"/>
    <n v="0"/>
    <x v="380"/>
    <s v="Cust 1865"/>
    <n v="8.92"/>
    <x v="118"/>
    <d v="2024-07-25T00:00:00"/>
    <s v="Sophie"/>
    <n v="2150"/>
  </r>
  <r>
    <d v="2024-07-14T00:00:00"/>
    <x v="4"/>
    <x v="5"/>
    <n v="3"/>
    <n v="87"/>
    <x v="0"/>
    <s v="Wholesale"/>
    <n v="0.1"/>
    <x v="2"/>
    <x v="4"/>
    <n v="0"/>
    <x v="381"/>
    <s v="Cust 9552"/>
    <n v="11.13"/>
    <x v="106"/>
    <d v="2024-07-16T00:00:00"/>
    <s v="Wendy"/>
    <n v="235"/>
  </r>
  <r>
    <d v="2023-04-14T00:00:00"/>
    <x v="3"/>
    <x v="5"/>
    <n v="11"/>
    <n v="7"/>
    <x v="3"/>
    <s v="Wholesale"/>
    <n v="0.05"/>
    <x v="5"/>
    <x v="4"/>
    <n v="0"/>
    <x v="382"/>
    <s v="Cust 4273"/>
    <n v="34.270000000000003"/>
    <x v="271"/>
    <d v="2023-04-19T00:00:00"/>
    <s v="Cameron"/>
    <n v="73"/>
  </r>
  <r>
    <d v="2023-06-01T00:00:00"/>
    <x v="1"/>
    <x v="6"/>
    <n v="2"/>
    <n v="279"/>
    <x v="3"/>
    <s v="Retail"/>
    <n v="0.1"/>
    <x v="3"/>
    <x v="0"/>
    <n v="0"/>
    <x v="383"/>
    <s v="Cust 8712"/>
    <n v="22.95"/>
    <x v="312"/>
    <d v="2023-06-06T00:00:00"/>
    <s v="Sophie"/>
    <n v="502"/>
  </r>
  <r>
    <d v="2025-04-17T00:00:00"/>
    <x v="3"/>
    <x v="1"/>
    <n v="9"/>
    <n v="208"/>
    <x v="3"/>
    <s v="Retail"/>
    <n v="0.1"/>
    <x v="1"/>
    <x v="0"/>
    <n v="0"/>
    <x v="384"/>
    <s v="Cust 9048"/>
    <n v="16.989999999999998"/>
    <x v="313"/>
    <d v="2025-04-20T00:00:00"/>
    <s v="Cameron"/>
    <n v="1685"/>
  </r>
  <r>
    <d v="2025-03-31T00:00:00"/>
    <x v="0"/>
    <x v="6"/>
    <n v="15"/>
    <n v="512"/>
    <x v="2"/>
    <s v="Wholesale"/>
    <n v="0.05"/>
    <x v="5"/>
    <x v="4"/>
    <n v="0"/>
    <x v="385"/>
    <s v="Cust 7714"/>
    <n v="10.220000000000001"/>
    <x v="314"/>
    <d v="2025-04-09T00:00:00"/>
    <s v="Eric"/>
    <n v="7296"/>
  </r>
  <r>
    <d v="2024-07-15T00:00:00"/>
    <x v="0"/>
    <x v="6"/>
    <n v="10"/>
    <n v="326"/>
    <x v="3"/>
    <s v="Retail"/>
    <n v="0"/>
    <x v="5"/>
    <x v="4"/>
    <n v="1"/>
    <x v="386"/>
    <s v="Cust 4770"/>
    <n v="49.95"/>
    <x v="236"/>
    <d v="2024-07-22T00:00:00"/>
    <s v="Eric"/>
    <n v="3260"/>
  </r>
  <r>
    <d v="2024-08-30T00:00:00"/>
    <x v="1"/>
    <x v="0"/>
    <n v="17"/>
    <n v="469"/>
    <x v="0"/>
    <s v="Retail"/>
    <n v="0"/>
    <x v="3"/>
    <x v="1"/>
    <n v="1"/>
    <x v="387"/>
    <s v="Cust 2007"/>
    <n v="5.86"/>
    <x v="315"/>
    <d v="2024-09-01T00:00:00"/>
    <s v="Sophie"/>
    <n v="7973"/>
  </r>
  <r>
    <d v="2025-01-07T00:00:00"/>
    <x v="3"/>
    <x v="1"/>
    <n v="13"/>
    <n v="187"/>
    <x v="3"/>
    <s v="Wholesale"/>
    <n v="0"/>
    <x v="5"/>
    <x v="4"/>
    <n v="0"/>
    <x v="388"/>
    <s v="Cust 8909"/>
    <n v="19.920000000000002"/>
    <x v="316"/>
    <d v="2025-01-10T00:00:00"/>
    <s v="Cameron"/>
    <n v="2431"/>
  </r>
  <r>
    <d v="2025-02-05T00:00:00"/>
    <x v="1"/>
    <x v="1"/>
    <n v="16"/>
    <n v="35"/>
    <x v="2"/>
    <s v="Retail"/>
    <n v="0.05"/>
    <x v="1"/>
    <x v="3"/>
    <n v="0"/>
    <x v="389"/>
    <s v="Cust 4196"/>
    <n v="49.9"/>
    <x v="317"/>
    <d v="2025-02-11T00:00:00"/>
    <s v="Sophie"/>
    <n v="532"/>
  </r>
  <r>
    <d v="2024-04-01T00:00:00"/>
    <x v="2"/>
    <x v="6"/>
    <n v="18"/>
    <n v="155"/>
    <x v="0"/>
    <s v="Wholesale"/>
    <n v="0.15"/>
    <x v="2"/>
    <x v="4"/>
    <n v="0"/>
    <x v="390"/>
    <s v="Cust 4189"/>
    <n v="39.99"/>
    <x v="204"/>
    <d v="2024-04-04T00:00:00"/>
    <s v="Ryan"/>
    <n v="2372"/>
  </r>
  <r>
    <d v="2025-03-01T00:00:00"/>
    <x v="4"/>
    <x v="4"/>
    <n v="4"/>
    <n v="70"/>
    <x v="3"/>
    <s v="Wholesale"/>
    <n v="0.05"/>
    <x v="0"/>
    <x v="1"/>
    <n v="0"/>
    <x v="391"/>
    <s v="Cust 7226"/>
    <n v="17.68"/>
    <x v="89"/>
    <d v="2025-03-09T00:00:00"/>
    <s v="Wendy"/>
    <n v="266"/>
  </r>
  <r>
    <d v="2023-07-03T00:00:00"/>
    <x v="3"/>
    <x v="4"/>
    <n v="13"/>
    <n v="55"/>
    <x v="1"/>
    <s v="Wholesale"/>
    <n v="0.15"/>
    <x v="4"/>
    <x v="4"/>
    <n v="1"/>
    <x v="392"/>
    <s v="Cust 5015"/>
    <n v="47.78"/>
    <x v="318"/>
    <d v="2023-07-06T00:00:00"/>
    <s v="Cameron"/>
    <n v="608"/>
  </r>
  <r>
    <d v="2023-04-25T00:00:00"/>
    <x v="3"/>
    <x v="0"/>
    <n v="13"/>
    <n v="206"/>
    <x v="0"/>
    <s v="Retail"/>
    <n v="0.15"/>
    <x v="5"/>
    <x v="1"/>
    <n v="1"/>
    <x v="393"/>
    <s v="Cust 9904"/>
    <n v="22.59"/>
    <x v="319"/>
    <d v="2023-05-01T00:00:00"/>
    <s v="Cameron"/>
    <n v="2276"/>
  </r>
  <r>
    <d v="2025-04-09T00:00:00"/>
    <x v="4"/>
    <x v="5"/>
    <n v="14"/>
    <n v="484"/>
    <x v="3"/>
    <s v="Retail"/>
    <n v="0.05"/>
    <x v="2"/>
    <x v="3"/>
    <n v="0"/>
    <x v="394"/>
    <s v="Cust 7687"/>
    <n v="29.24"/>
    <x v="320"/>
    <d v="2025-04-19T00:00:00"/>
    <s v="Wendy"/>
    <n v="6437"/>
  </r>
  <r>
    <d v="2023-11-05T00:00:00"/>
    <x v="2"/>
    <x v="4"/>
    <n v="6"/>
    <n v="450"/>
    <x v="3"/>
    <s v="Wholesale"/>
    <n v="0"/>
    <x v="2"/>
    <x v="1"/>
    <n v="0"/>
    <x v="395"/>
    <s v="Cust 6511"/>
    <n v="23.09"/>
    <x v="321"/>
    <d v="2023-11-12T00:00:00"/>
    <s v="Ryan"/>
    <n v="2700"/>
  </r>
  <r>
    <d v="2023-01-13T00:00:00"/>
    <x v="0"/>
    <x v="0"/>
    <n v="9"/>
    <n v="223"/>
    <x v="2"/>
    <s v="Retail"/>
    <n v="0"/>
    <x v="4"/>
    <x v="4"/>
    <n v="1"/>
    <x v="396"/>
    <s v="Cust 2412"/>
    <n v="11.9"/>
    <x v="322"/>
    <d v="2023-01-19T00:00:00"/>
    <s v="Eric"/>
    <n v="2007"/>
  </r>
  <r>
    <d v="2025-02-06T00:00:00"/>
    <x v="4"/>
    <x v="3"/>
    <n v="14"/>
    <n v="292"/>
    <x v="1"/>
    <s v="Retail"/>
    <n v="0.15"/>
    <x v="2"/>
    <x v="2"/>
    <n v="0"/>
    <x v="397"/>
    <s v="Cust 1664"/>
    <n v="27.51"/>
    <x v="323"/>
    <d v="2025-02-10T00:00:00"/>
    <s v="Wendy"/>
    <n v="3475"/>
  </r>
  <r>
    <d v="2023-05-20T00:00:00"/>
    <x v="1"/>
    <x v="4"/>
    <n v="13"/>
    <n v="91"/>
    <x v="1"/>
    <s v="Wholesale"/>
    <n v="0"/>
    <x v="3"/>
    <x v="1"/>
    <n v="0"/>
    <x v="398"/>
    <s v="Cust 6033"/>
    <n v="16.739999999999998"/>
    <x v="42"/>
    <d v="2023-05-25T00:00:00"/>
    <s v="Sophie"/>
    <n v="1183"/>
  </r>
  <r>
    <d v="2025-06-18T00:00:00"/>
    <x v="0"/>
    <x v="2"/>
    <n v="4"/>
    <n v="109"/>
    <x v="3"/>
    <s v="Wholesale"/>
    <n v="0"/>
    <x v="4"/>
    <x v="1"/>
    <n v="0"/>
    <x v="399"/>
    <s v="Cust 4019"/>
    <n v="21.02"/>
    <x v="324"/>
    <d v="2025-06-24T00:00:00"/>
    <s v="Eric"/>
    <n v="436"/>
  </r>
  <r>
    <d v="2023-02-23T00:00:00"/>
    <x v="4"/>
    <x v="5"/>
    <n v="12"/>
    <n v="246"/>
    <x v="3"/>
    <s v="Retail"/>
    <n v="0"/>
    <x v="5"/>
    <x v="4"/>
    <n v="1"/>
    <x v="400"/>
    <s v="Cust 4515"/>
    <n v="43.92"/>
    <x v="0"/>
    <d v="2023-02-27T00:00:00"/>
    <s v="Wendy"/>
    <n v="2952"/>
  </r>
  <r>
    <d v="2024-11-09T00:00:00"/>
    <x v="0"/>
    <x v="6"/>
    <n v="15"/>
    <n v="380"/>
    <x v="1"/>
    <s v="Retail"/>
    <n v="0"/>
    <x v="5"/>
    <x v="0"/>
    <n v="0"/>
    <x v="401"/>
    <s v="Cust 7532"/>
    <n v="25.72"/>
    <x v="325"/>
    <d v="2024-11-12T00:00:00"/>
    <s v="Eric"/>
    <n v="5700"/>
  </r>
  <r>
    <d v="2024-07-25T00:00:00"/>
    <x v="1"/>
    <x v="5"/>
    <n v="3"/>
    <n v="418"/>
    <x v="3"/>
    <s v="Retail"/>
    <n v="0.05"/>
    <x v="2"/>
    <x v="1"/>
    <n v="0"/>
    <x v="402"/>
    <s v="Cust 8756"/>
    <n v="43.42"/>
    <x v="245"/>
    <d v="2024-07-31T00:00:00"/>
    <s v="Sophie"/>
    <n v="1191"/>
  </r>
  <r>
    <d v="2023-08-19T00:00:00"/>
    <x v="4"/>
    <x v="0"/>
    <n v="15"/>
    <n v="432"/>
    <x v="3"/>
    <s v="Wholesale"/>
    <n v="0.15"/>
    <x v="2"/>
    <x v="3"/>
    <n v="0"/>
    <x v="403"/>
    <s v="Cust 7620"/>
    <n v="44.88"/>
    <x v="326"/>
    <d v="2023-08-23T00:00:00"/>
    <s v="Wendy"/>
    <n v="5508"/>
  </r>
  <r>
    <d v="2023-11-13T00:00:00"/>
    <x v="1"/>
    <x v="4"/>
    <n v="13"/>
    <n v="532"/>
    <x v="2"/>
    <s v="Retail"/>
    <n v="0.1"/>
    <x v="5"/>
    <x v="0"/>
    <n v="0"/>
    <x v="404"/>
    <s v="Cust 7368"/>
    <n v="37.909999999999997"/>
    <x v="327"/>
    <d v="2023-11-15T00:00:00"/>
    <s v="Sophie"/>
    <n v="6224"/>
  </r>
  <r>
    <d v="2024-09-10T00:00:00"/>
    <x v="4"/>
    <x v="5"/>
    <n v="13"/>
    <n v="443"/>
    <x v="1"/>
    <s v="Wholesale"/>
    <n v="0.05"/>
    <x v="1"/>
    <x v="1"/>
    <n v="0"/>
    <x v="405"/>
    <s v="Cust 1319"/>
    <n v="37.119999999999997"/>
    <x v="328"/>
    <d v="2024-09-18T00:00:00"/>
    <s v="Wendy"/>
    <n v="5471"/>
  </r>
  <r>
    <d v="2024-08-30T00:00:00"/>
    <x v="3"/>
    <x v="3"/>
    <n v="13"/>
    <n v="568"/>
    <x v="1"/>
    <s v="Retail"/>
    <n v="0"/>
    <x v="0"/>
    <x v="2"/>
    <n v="0"/>
    <x v="406"/>
    <s v="Cust 9597"/>
    <n v="28.41"/>
    <x v="315"/>
    <d v="2024-09-02T00:00:00"/>
    <s v="Cameron"/>
    <n v="7384"/>
  </r>
  <r>
    <d v="2024-11-10T00:00:00"/>
    <x v="0"/>
    <x v="5"/>
    <n v="15"/>
    <n v="470"/>
    <x v="2"/>
    <s v="Wholesale"/>
    <n v="0"/>
    <x v="1"/>
    <x v="2"/>
    <n v="0"/>
    <x v="407"/>
    <s v="Cust 7369"/>
    <n v="35.6"/>
    <x v="329"/>
    <d v="2024-11-17T00:00:00"/>
    <s v="Eric"/>
    <n v="7050"/>
  </r>
  <r>
    <d v="2023-04-13T00:00:00"/>
    <x v="0"/>
    <x v="6"/>
    <n v="1"/>
    <n v="396"/>
    <x v="3"/>
    <s v="Wholesale"/>
    <n v="0.15"/>
    <x v="2"/>
    <x v="2"/>
    <n v="0"/>
    <x v="408"/>
    <s v="Cust 8592"/>
    <n v="39.380000000000003"/>
    <x v="330"/>
    <d v="2023-04-19T00:00:00"/>
    <s v="Eric"/>
    <n v="337"/>
  </r>
  <r>
    <d v="2023-11-20T00:00:00"/>
    <x v="0"/>
    <x v="0"/>
    <n v="12"/>
    <n v="196"/>
    <x v="2"/>
    <s v="Wholesale"/>
    <n v="0.05"/>
    <x v="1"/>
    <x v="4"/>
    <n v="0"/>
    <x v="409"/>
    <s v="Cust 2337"/>
    <n v="37.090000000000003"/>
    <x v="331"/>
    <d v="2023-11-27T00:00:00"/>
    <s v="Eric"/>
    <n v="2234"/>
  </r>
  <r>
    <d v="2025-04-14T00:00:00"/>
    <x v="2"/>
    <x v="6"/>
    <n v="5"/>
    <n v="412"/>
    <x v="0"/>
    <s v="Wholesale"/>
    <n v="0.15"/>
    <x v="3"/>
    <x v="4"/>
    <n v="0"/>
    <x v="410"/>
    <s v="Cust 9697"/>
    <n v="29.31"/>
    <x v="297"/>
    <d v="2025-04-19T00:00:00"/>
    <s v="Ryan"/>
    <n v="1751"/>
  </r>
  <r>
    <d v="2023-03-04T00:00:00"/>
    <x v="3"/>
    <x v="4"/>
    <n v="11"/>
    <n v="558"/>
    <x v="0"/>
    <s v="Retail"/>
    <n v="0.15"/>
    <x v="3"/>
    <x v="4"/>
    <n v="0"/>
    <x v="411"/>
    <s v="Cust 5895"/>
    <n v="48.15"/>
    <x v="332"/>
    <d v="2023-03-09T00:00:00"/>
    <s v="Cameron"/>
    <n v="5217"/>
  </r>
  <r>
    <d v="2024-11-16T00:00:00"/>
    <x v="2"/>
    <x v="0"/>
    <n v="4"/>
    <n v="175"/>
    <x v="2"/>
    <s v="Retail"/>
    <n v="0.15"/>
    <x v="0"/>
    <x v="4"/>
    <n v="0"/>
    <x v="412"/>
    <s v="Cust 9097"/>
    <n v="40.86"/>
    <x v="85"/>
    <d v="2024-11-19T00:00:00"/>
    <s v="Ryan"/>
    <n v="595"/>
  </r>
  <r>
    <d v="2024-05-25T00:00:00"/>
    <x v="1"/>
    <x v="0"/>
    <n v="19"/>
    <n v="479"/>
    <x v="1"/>
    <s v="Retail"/>
    <n v="0"/>
    <x v="2"/>
    <x v="3"/>
    <n v="1"/>
    <x v="413"/>
    <s v="Cust 5938"/>
    <n v="46.46"/>
    <x v="333"/>
    <d v="2024-06-02T00:00:00"/>
    <s v="Sophie"/>
    <n v="9101"/>
  </r>
  <r>
    <d v="2023-04-12T00:00:00"/>
    <x v="0"/>
    <x v="2"/>
    <n v="5"/>
    <n v="365"/>
    <x v="3"/>
    <s v="Wholesale"/>
    <n v="0.15"/>
    <x v="1"/>
    <x v="3"/>
    <n v="1"/>
    <x v="414"/>
    <s v="Cust 6928"/>
    <n v="5.66"/>
    <x v="264"/>
    <d v="2023-04-15T00:00:00"/>
    <s v="Eric"/>
    <n v="1551"/>
  </r>
  <r>
    <d v="2023-03-07T00:00:00"/>
    <x v="1"/>
    <x v="2"/>
    <n v="10"/>
    <n v="397"/>
    <x v="0"/>
    <s v="Retail"/>
    <n v="0.15"/>
    <x v="1"/>
    <x v="2"/>
    <n v="0"/>
    <x v="415"/>
    <s v="Cust 6223"/>
    <n v="10.199999999999999"/>
    <x v="334"/>
    <d v="2023-03-13T00:00:00"/>
    <s v="Sophie"/>
    <n v="3374"/>
  </r>
  <r>
    <d v="2024-01-05T00:00:00"/>
    <x v="3"/>
    <x v="3"/>
    <n v="17"/>
    <n v="241"/>
    <x v="1"/>
    <s v="Retail"/>
    <n v="0.1"/>
    <x v="5"/>
    <x v="3"/>
    <n v="0"/>
    <x v="416"/>
    <s v="Cust 7614"/>
    <n v="24.69"/>
    <x v="52"/>
    <d v="2024-01-11T00:00:00"/>
    <s v="Cameron"/>
    <n v="3687"/>
  </r>
  <r>
    <d v="2024-10-31T00:00:00"/>
    <x v="4"/>
    <x v="2"/>
    <n v="17"/>
    <n v="82"/>
    <x v="2"/>
    <s v="Wholesale"/>
    <n v="0"/>
    <x v="1"/>
    <x v="4"/>
    <n v="0"/>
    <x v="417"/>
    <s v="Cust 3231"/>
    <n v="32.5"/>
    <x v="335"/>
    <d v="2024-11-10T00:00:00"/>
    <s v="Wendy"/>
    <n v="1394"/>
  </r>
  <r>
    <d v="2024-05-08T00:00:00"/>
    <x v="4"/>
    <x v="4"/>
    <n v="16"/>
    <n v="171"/>
    <x v="2"/>
    <s v="Retail"/>
    <n v="0.1"/>
    <x v="2"/>
    <x v="0"/>
    <n v="1"/>
    <x v="418"/>
    <s v="Cust 9123"/>
    <n v="45.93"/>
    <x v="336"/>
    <d v="2024-05-14T00:00:00"/>
    <s v="Wendy"/>
    <n v="2462"/>
  </r>
  <r>
    <d v="2024-03-05T00:00:00"/>
    <x v="3"/>
    <x v="4"/>
    <n v="1"/>
    <n v="8"/>
    <x v="2"/>
    <s v="Wholesale"/>
    <n v="0.15"/>
    <x v="2"/>
    <x v="3"/>
    <n v="0"/>
    <x v="419"/>
    <s v="Cust 7054"/>
    <n v="30.35"/>
    <x v="337"/>
    <d v="2024-03-15T00:00:00"/>
    <s v="Cameron"/>
    <n v="7"/>
  </r>
  <r>
    <d v="2023-07-18T00:00:00"/>
    <x v="2"/>
    <x v="0"/>
    <n v="12"/>
    <n v="426"/>
    <x v="1"/>
    <s v="Retail"/>
    <n v="0.1"/>
    <x v="5"/>
    <x v="0"/>
    <n v="1"/>
    <x v="420"/>
    <s v="Cust 4240"/>
    <n v="25.48"/>
    <x v="338"/>
    <d v="2023-07-22T00:00:00"/>
    <s v="Ryan"/>
    <n v="4601"/>
  </r>
  <r>
    <d v="2023-08-05T00:00:00"/>
    <x v="1"/>
    <x v="6"/>
    <n v="20"/>
    <n v="121"/>
    <x v="2"/>
    <s v="Retail"/>
    <n v="0.1"/>
    <x v="5"/>
    <x v="2"/>
    <n v="0"/>
    <x v="421"/>
    <s v="Cust 1237"/>
    <n v="21.47"/>
    <x v="285"/>
    <d v="2023-08-14T00:00:00"/>
    <s v="Sophie"/>
    <n v="2178"/>
  </r>
  <r>
    <d v="2023-09-18T00:00:00"/>
    <x v="4"/>
    <x v="5"/>
    <n v="19"/>
    <n v="448"/>
    <x v="3"/>
    <s v="Wholesale"/>
    <n v="0"/>
    <x v="1"/>
    <x v="3"/>
    <n v="0"/>
    <x v="422"/>
    <s v="Cust 5513"/>
    <n v="28.29"/>
    <x v="339"/>
    <d v="2023-09-20T00:00:00"/>
    <s v="Wendy"/>
    <n v="8512"/>
  </r>
  <r>
    <d v="2023-03-27T00:00:00"/>
    <x v="1"/>
    <x v="0"/>
    <n v="8"/>
    <n v="8"/>
    <x v="3"/>
    <s v="Wholesale"/>
    <n v="0.1"/>
    <x v="2"/>
    <x v="0"/>
    <n v="0"/>
    <x v="423"/>
    <s v="Cust 1835"/>
    <n v="25.03"/>
    <x v="340"/>
    <d v="2023-03-29T00:00:00"/>
    <s v="Sophie"/>
    <n v="58"/>
  </r>
  <r>
    <d v="2023-03-08T00:00:00"/>
    <x v="0"/>
    <x v="3"/>
    <n v="19"/>
    <n v="191"/>
    <x v="2"/>
    <s v="Wholesale"/>
    <n v="0.15"/>
    <x v="3"/>
    <x v="4"/>
    <n v="1"/>
    <x v="424"/>
    <s v="Cust 8492"/>
    <n v="35.54"/>
    <x v="341"/>
    <d v="2023-03-17T00:00:00"/>
    <s v="Eric"/>
    <n v="3085"/>
  </r>
  <r>
    <d v="2024-05-02T00:00:00"/>
    <x v="4"/>
    <x v="2"/>
    <n v="5"/>
    <n v="245"/>
    <x v="0"/>
    <s v="Retail"/>
    <n v="0.15"/>
    <x v="0"/>
    <x v="0"/>
    <n v="0"/>
    <x v="425"/>
    <s v="Cust 2451"/>
    <n v="46.37"/>
    <x v="342"/>
    <d v="2024-05-06T00:00:00"/>
    <s v="Wendy"/>
    <n v="1041"/>
  </r>
  <r>
    <d v="2023-09-16T00:00:00"/>
    <x v="2"/>
    <x v="2"/>
    <n v="17"/>
    <n v="163"/>
    <x v="0"/>
    <s v="Wholesale"/>
    <n v="0.15"/>
    <x v="0"/>
    <x v="1"/>
    <n v="0"/>
    <x v="426"/>
    <s v="Cust 4509"/>
    <n v="5.36"/>
    <x v="292"/>
    <d v="2023-09-26T00:00:00"/>
    <s v="Ryan"/>
    <n v="2355"/>
  </r>
  <r>
    <d v="2023-06-13T00:00:00"/>
    <x v="1"/>
    <x v="5"/>
    <n v="14"/>
    <n v="584"/>
    <x v="2"/>
    <s v="Retail"/>
    <n v="0"/>
    <x v="4"/>
    <x v="3"/>
    <n v="0"/>
    <x v="427"/>
    <s v="Cust 6643"/>
    <n v="23.03"/>
    <x v="343"/>
    <d v="2023-06-22T00:00:00"/>
    <s v="Sophie"/>
    <n v="8176"/>
  </r>
  <r>
    <d v="2023-11-05T00:00:00"/>
    <x v="2"/>
    <x v="2"/>
    <n v="16"/>
    <n v="181"/>
    <x v="2"/>
    <s v="Retail"/>
    <n v="0.1"/>
    <x v="3"/>
    <x v="0"/>
    <n v="0"/>
    <x v="428"/>
    <s v="Cust 2559"/>
    <n v="39.840000000000003"/>
    <x v="321"/>
    <d v="2023-11-08T00:00:00"/>
    <s v="Ryan"/>
    <n v="2606"/>
  </r>
  <r>
    <d v="2024-11-23T00:00:00"/>
    <x v="1"/>
    <x v="5"/>
    <n v="8"/>
    <n v="415"/>
    <x v="1"/>
    <s v="Wholesale"/>
    <n v="0"/>
    <x v="1"/>
    <x v="3"/>
    <n v="0"/>
    <x v="429"/>
    <s v="Cust 4423"/>
    <n v="46.58"/>
    <x v="344"/>
    <d v="2024-11-26T00:00:00"/>
    <s v="Sophie"/>
    <n v="3320"/>
  </r>
  <r>
    <d v="2024-02-09T00:00:00"/>
    <x v="3"/>
    <x v="1"/>
    <n v="16"/>
    <n v="442"/>
    <x v="0"/>
    <s v="Retail"/>
    <n v="0"/>
    <x v="1"/>
    <x v="4"/>
    <n v="0"/>
    <x v="430"/>
    <s v="Cust 9139"/>
    <n v="27.36"/>
    <x v="345"/>
    <d v="2024-02-18T00:00:00"/>
    <s v="Cameron"/>
    <n v="7072"/>
  </r>
  <r>
    <d v="2023-11-16T00:00:00"/>
    <x v="3"/>
    <x v="6"/>
    <n v="14"/>
    <n v="595"/>
    <x v="1"/>
    <s v="Wholesale"/>
    <n v="0.1"/>
    <x v="5"/>
    <x v="2"/>
    <n v="0"/>
    <x v="431"/>
    <s v="Cust 6668"/>
    <n v="9.51"/>
    <x v="346"/>
    <d v="2023-11-22T00:00:00"/>
    <s v="Cameron"/>
    <n v="7497"/>
  </r>
  <r>
    <d v="2025-01-24T00:00:00"/>
    <x v="3"/>
    <x v="4"/>
    <n v="6"/>
    <n v="175"/>
    <x v="1"/>
    <s v="Wholesale"/>
    <n v="0.15"/>
    <x v="1"/>
    <x v="4"/>
    <n v="1"/>
    <x v="432"/>
    <s v="Cust 4315"/>
    <n v="17.920000000000002"/>
    <x v="239"/>
    <d v="2025-01-29T00:00:00"/>
    <s v="Cameron"/>
    <n v="892"/>
  </r>
  <r>
    <d v="2025-05-06T00:00:00"/>
    <x v="3"/>
    <x v="5"/>
    <n v="7"/>
    <n v="320"/>
    <x v="2"/>
    <s v="Wholesale"/>
    <n v="0.15"/>
    <x v="3"/>
    <x v="1"/>
    <n v="1"/>
    <x v="433"/>
    <s v="Cust 8000"/>
    <n v="8.4700000000000006"/>
    <x v="276"/>
    <d v="2025-05-09T00:00:00"/>
    <s v="Cameron"/>
    <n v="1904"/>
  </r>
  <r>
    <d v="2025-05-17T00:00:00"/>
    <x v="0"/>
    <x v="6"/>
    <n v="15"/>
    <n v="507"/>
    <x v="1"/>
    <s v="Retail"/>
    <n v="0.15"/>
    <x v="5"/>
    <x v="4"/>
    <n v="1"/>
    <x v="434"/>
    <s v="Cust 7585"/>
    <n v="41.03"/>
    <x v="347"/>
    <d v="2025-05-27T00:00:00"/>
    <s v="Eric"/>
    <n v="6464"/>
  </r>
  <r>
    <d v="2023-11-29T00:00:00"/>
    <x v="3"/>
    <x v="0"/>
    <n v="17"/>
    <n v="538"/>
    <x v="1"/>
    <s v="Retail"/>
    <n v="0.05"/>
    <x v="0"/>
    <x v="3"/>
    <n v="0"/>
    <x v="435"/>
    <s v="Cust 3127"/>
    <n v="19.61"/>
    <x v="348"/>
    <d v="2023-12-01T00:00:00"/>
    <s v="Cameron"/>
    <n v="8689"/>
  </r>
  <r>
    <d v="2023-02-24T00:00:00"/>
    <x v="1"/>
    <x v="3"/>
    <n v="16"/>
    <n v="188"/>
    <x v="1"/>
    <s v="Retail"/>
    <n v="0"/>
    <x v="1"/>
    <x v="2"/>
    <n v="0"/>
    <x v="436"/>
    <s v="Cust 4130"/>
    <n v="18.649999999999999"/>
    <x v="349"/>
    <d v="2023-02-26T00:00:00"/>
    <s v="Sophie"/>
    <n v="3008"/>
  </r>
  <r>
    <d v="2023-11-04T00:00:00"/>
    <x v="1"/>
    <x v="0"/>
    <n v="18"/>
    <n v="426"/>
    <x v="1"/>
    <s v="Wholesale"/>
    <n v="0.15"/>
    <x v="3"/>
    <x v="2"/>
    <n v="1"/>
    <x v="437"/>
    <s v="Cust 6956"/>
    <n v="29.81"/>
    <x v="350"/>
    <d v="2023-11-10T00:00:00"/>
    <s v="Sophie"/>
    <n v="6518"/>
  </r>
  <r>
    <d v="2024-06-15T00:00:00"/>
    <x v="0"/>
    <x v="2"/>
    <n v="1"/>
    <n v="498"/>
    <x v="0"/>
    <s v="Retail"/>
    <n v="0.1"/>
    <x v="1"/>
    <x v="0"/>
    <n v="0"/>
    <x v="438"/>
    <s v="Cust 8155"/>
    <n v="34.700000000000003"/>
    <x v="351"/>
    <d v="2024-06-22T00:00:00"/>
    <s v="Eric"/>
    <n v="448"/>
  </r>
  <r>
    <d v="2024-10-02T00:00:00"/>
    <x v="2"/>
    <x v="5"/>
    <n v="19"/>
    <n v="386"/>
    <x v="1"/>
    <s v="Retail"/>
    <n v="0.05"/>
    <x v="3"/>
    <x v="4"/>
    <n v="1"/>
    <x v="439"/>
    <s v="Cust 8852"/>
    <n v="12.46"/>
    <x v="352"/>
    <d v="2024-10-06T00:00:00"/>
    <s v="Ryan"/>
    <n v="6967"/>
  </r>
  <r>
    <d v="2023-06-03T00:00:00"/>
    <x v="4"/>
    <x v="5"/>
    <n v="3"/>
    <n v="54"/>
    <x v="0"/>
    <s v="Wholesale"/>
    <n v="0.1"/>
    <x v="2"/>
    <x v="2"/>
    <n v="0"/>
    <x v="440"/>
    <s v="Cust 2850"/>
    <n v="48.71"/>
    <x v="353"/>
    <d v="2023-06-13T00:00:00"/>
    <s v="Wendy"/>
    <n v="146"/>
  </r>
  <r>
    <d v="2023-09-10T00:00:00"/>
    <x v="0"/>
    <x v="1"/>
    <n v="6"/>
    <n v="472"/>
    <x v="2"/>
    <s v="Retail"/>
    <n v="0.15"/>
    <x v="3"/>
    <x v="0"/>
    <n v="0"/>
    <x v="441"/>
    <s v="Cust 9572"/>
    <n v="36.79"/>
    <x v="354"/>
    <d v="2023-09-18T00:00:00"/>
    <s v="Eric"/>
    <n v="2407"/>
  </r>
  <r>
    <d v="2025-05-20T00:00:00"/>
    <x v="3"/>
    <x v="6"/>
    <n v="19"/>
    <n v="322"/>
    <x v="0"/>
    <s v="Retail"/>
    <n v="0.15"/>
    <x v="5"/>
    <x v="4"/>
    <n v="0"/>
    <x v="442"/>
    <s v="Cust 6253"/>
    <n v="33.950000000000003"/>
    <x v="355"/>
    <d v="2025-05-22T00:00:00"/>
    <s v="Cameron"/>
    <n v="5200"/>
  </r>
  <r>
    <d v="2023-09-24T00:00:00"/>
    <x v="2"/>
    <x v="5"/>
    <n v="13"/>
    <n v="116"/>
    <x v="1"/>
    <s v="Wholesale"/>
    <n v="0.1"/>
    <x v="4"/>
    <x v="4"/>
    <n v="1"/>
    <x v="443"/>
    <s v="Cust 4154"/>
    <n v="28.52"/>
    <x v="356"/>
    <d v="2023-10-03T00:00:00"/>
    <s v="Ryan"/>
    <n v="1357"/>
  </r>
  <r>
    <d v="2025-03-29T00:00:00"/>
    <x v="0"/>
    <x v="5"/>
    <n v="18"/>
    <n v="398"/>
    <x v="0"/>
    <s v="Retail"/>
    <n v="0.1"/>
    <x v="5"/>
    <x v="3"/>
    <n v="0"/>
    <x v="444"/>
    <s v="Cust 2137"/>
    <n v="16.8"/>
    <x v="259"/>
    <d v="2025-04-04T00:00:00"/>
    <s v="Eric"/>
    <n v="6448"/>
  </r>
  <r>
    <d v="2023-06-17T00:00:00"/>
    <x v="0"/>
    <x v="3"/>
    <n v="4"/>
    <n v="585"/>
    <x v="0"/>
    <s v="Retail"/>
    <n v="0.1"/>
    <x v="0"/>
    <x v="0"/>
    <n v="0"/>
    <x v="445"/>
    <s v="Cust 8157"/>
    <n v="16.440000000000001"/>
    <x v="357"/>
    <d v="2023-06-25T00:00:00"/>
    <s v="Eric"/>
    <n v="2106"/>
  </r>
  <r>
    <d v="2024-01-28T00:00:00"/>
    <x v="4"/>
    <x v="6"/>
    <n v="20"/>
    <n v="425"/>
    <x v="0"/>
    <s v="Wholesale"/>
    <n v="0.15"/>
    <x v="5"/>
    <x v="0"/>
    <n v="0"/>
    <x v="446"/>
    <s v="Cust 4861"/>
    <n v="42.03"/>
    <x v="275"/>
    <d v="2024-02-05T00:00:00"/>
    <s v="Wendy"/>
    <n v="7225"/>
  </r>
  <r>
    <d v="2023-03-14T00:00:00"/>
    <x v="3"/>
    <x v="3"/>
    <n v="16"/>
    <n v="179"/>
    <x v="3"/>
    <s v="Retail"/>
    <n v="0.1"/>
    <x v="1"/>
    <x v="0"/>
    <n v="0"/>
    <x v="447"/>
    <s v="Cust 7493"/>
    <n v="45.99"/>
    <x v="358"/>
    <d v="2023-03-17T00:00:00"/>
    <s v="Cameron"/>
    <n v="2578"/>
  </r>
  <r>
    <d v="2025-01-09T00:00:00"/>
    <x v="0"/>
    <x v="0"/>
    <n v="12"/>
    <n v="149"/>
    <x v="1"/>
    <s v="Wholesale"/>
    <n v="0"/>
    <x v="4"/>
    <x v="0"/>
    <n v="1"/>
    <x v="448"/>
    <s v="Cust 7073"/>
    <n v="27.16"/>
    <x v="359"/>
    <d v="2025-01-17T00:00:00"/>
    <s v="Eric"/>
    <n v="1788"/>
  </r>
  <r>
    <d v="2025-03-30T00:00:00"/>
    <x v="3"/>
    <x v="1"/>
    <n v="16"/>
    <n v="460"/>
    <x v="0"/>
    <s v="Wholesale"/>
    <n v="0.15"/>
    <x v="5"/>
    <x v="0"/>
    <n v="0"/>
    <x v="449"/>
    <s v="Cust 9085"/>
    <n v="20.38"/>
    <x v="360"/>
    <d v="2025-04-06T00:00:00"/>
    <s v="Cameron"/>
    <n v="6256"/>
  </r>
  <r>
    <d v="2023-10-23T00:00:00"/>
    <x v="0"/>
    <x v="5"/>
    <n v="5"/>
    <n v="334"/>
    <x v="0"/>
    <s v="Retail"/>
    <n v="0.05"/>
    <x v="3"/>
    <x v="2"/>
    <n v="0"/>
    <x v="450"/>
    <s v="Cust 3247"/>
    <n v="32.130000000000003"/>
    <x v="25"/>
    <d v="2023-10-28T00:00:00"/>
    <s v="Eric"/>
    <n v="1586"/>
  </r>
  <r>
    <d v="2025-06-08T00:00:00"/>
    <x v="4"/>
    <x v="4"/>
    <n v="3"/>
    <n v="600"/>
    <x v="3"/>
    <s v="Retail"/>
    <n v="0.15"/>
    <x v="1"/>
    <x v="0"/>
    <n v="1"/>
    <x v="451"/>
    <s v="Cust 8504"/>
    <n v="14.93"/>
    <x v="119"/>
    <d v="2025-06-14T00:00:00"/>
    <s v="Wendy"/>
    <n v="1530"/>
  </r>
  <r>
    <d v="2024-02-26T00:00:00"/>
    <x v="4"/>
    <x v="4"/>
    <n v="11"/>
    <n v="390"/>
    <x v="3"/>
    <s v="Wholesale"/>
    <n v="0"/>
    <x v="1"/>
    <x v="1"/>
    <n v="1"/>
    <x v="452"/>
    <s v="Cust 4164"/>
    <n v="10.24"/>
    <x v="361"/>
    <d v="2024-02-29T00:00:00"/>
    <s v="Wendy"/>
    <n v="4290"/>
  </r>
  <r>
    <d v="2024-10-30T00:00:00"/>
    <x v="0"/>
    <x v="3"/>
    <n v="11"/>
    <n v="446"/>
    <x v="1"/>
    <s v="Wholesale"/>
    <n v="0.1"/>
    <x v="2"/>
    <x v="0"/>
    <n v="0"/>
    <x v="453"/>
    <s v="Cust 9592"/>
    <n v="18.07"/>
    <x v="362"/>
    <d v="2024-11-07T00:00:00"/>
    <s v="Eric"/>
    <n v="4415"/>
  </r>
  <r>
    <d v="2024-08-19T00:00:00"/>
    <x v="1"/>
    <x v="0"/>
    <n v="18"/>
    <n v="97"/>
    <x v="1"/>
    <s v="Wholesale"/>
    <n v="0.15"/>
    <x v="2"/>
    <x v="4"/>
    <n v="1"/>
    <x v="454"/>
    <s v="Cust 7450"/>
    <n v="8.1"/>
    <x v="363"/>
    <d v="2024-08-23T00:00:00"/>
    <s v="Sophie"/>
    <n v="1484"/>
  </r>
  <r>
    <d v="2023-07-30T00:00:00"/>
    <x v="3"/>
    <x v="3"/>
    <n v="1"/>
    <n v="528"/>
    <x v="2"/>
    <s v="Wholesale"/>
    <n v="0.1"/>
    <x v="1"/>
    <x v="0"/>
    <n v="0"/>
    <x v="455"/>
    <s v="Cust 4186"/>
    <n v="24.55"/>
    <x v="364"/>
    <d v="2023-08-09T00:00:00"/>
    <s v="Cameron"/>
    <n v="475"/>
  </r>
  <r>
    <d v="2024-08-13T00:00:00"/>
    <x v="2"/>
    <x v="4"/>
    <n v="16"/>
    <n v="64"/>
    <x v="1"/>
    <s v="Wholesale"/>
    <n v="0"/>
    <x v="3"/>
    <x v="1"/>
    <n v="1"/>
    <x v="456"/>
    <s v="Cust 3305"/>
    <n v="16.71"/>
    <x v="365"/>
    <d v="2024-08-23T00:00:00"/>
    <s v="Ryan"/>
    <n v="1024"/>
  </r>
  <r>
    <d v="2023-11-04T00:00:00"/>
    <x v="2"/>
    <x v="6"/>
    <n v="13"/>
    <n v="179"/>
    <x v="1"/>
    <s v="Retail"/>
    <n v="0.05"/>
    <x v="0"/>
    <x v="0"/>
    <n v="0"/>
    <x v="457"/>
    <s v="Cust 9768"/>
    <n v="35.28"/>
    <x v="350"/>
    <d v="2023-11-12T00:00:00"/>
    <s v="Ryan"/>
    <n v="2211"/>
  </r>
  <r>
    <d v="2025-06-05T00:00:00"/>
    <x v="0"/>
    <x v="6"/>
    <n v="19"/>
    <n v="491"/>
    <x v="2"/>
    <s v="Retail"/>
    <n v="0"/>
    <x v="2"/>
    <x v="0"/>
    <n v="0"/>
    <x v="458"/>
    <s v="Cust 1179"/>
    <n v="48.68"/>
    <x v="20"/>
    <d v="2025-06-15T00:00:00"/>
    <s v="Eric"/>
    <n v="9329"/>
  </r>
  <r>
    <d v="2023-06-23T00:00:00"/>
    <x v="2"/>
    <x v="6"/>
    <n v="5"/>
    <n v="360"/>
    <x v="2"/>
    <s v="Wholesale"/>
    <n v="0"/>
    <x v="3"/>
    <x v="1"/>
    <n v="0"/>
    <x v="459"/>
    <s v="Cust 2546"/>
    <n v="33.76"/>
    <x v="366"/>
    <d v="2023-06-28T00:00:00"/>
    <s v="Ryan"/>
    <n v="1800"/>
  </r>
  <r>
    <d v="2024-09-21T00:00:00"/>
    <x v="1"/>
    <x v="0"/>
    <n v="20"/>
    <n v="297"/>
    <x v="1"/>
    <s v="Retail"/>
    <n v="0.1"/>
    <x v="2"/>
    <x v="1"/>
    <n v="0"/>
    <x v="460"/>
    <s v="Cust 2672"/>
    <n v="19.57"/>
    <x v="367"/>
    <d v="2024-09-28T00:00:00"/>
    <s v="Sophie"/>
    <n v="5346"/>
  </r>
  <r>
    <d v="2024-01-01T00:00:00"/>
    <x v="1"/>
    <x v="2"/>
    <n v="3"/>
    <n v="599"/>
    <x v="1"/>
    <s v="Wholesale"/>
    <n v="0.1"/>
    <x v="5"/>
    <x v="0"/>
    <n v="0"/>
    <x v="461"/>
    <s v="Cust 3394"/>
    <n v="48.02"/>
    <x v="223"/>
    <d v="2024-01-03T00:00:00"/>
    <s v="Sophie"/>
    <n v="1617"/>
  </r>
  <r>
    <d v="2025-01-02T00:00:00"/>
    <x v="4"/>
    <x v="0"/>
    <n v="1"/>
    <n v="374"/>
    <x v="0"/>
    <s v="Wholesale"/>
    <n v="0"/>
    <x v="3"/>
    <x v="2"/>
    <n v="0"/>
    <x v="462"/>
    <s v="Cust 1649"/>
    <n v="33.31"/>
    <x v="368"/>
    <d v="2025-01-12T00:00:00"/>
    <s v="Wendy"/>
    <n v="374"/>
  </r>
  <r>
    <d v="2024-03-14T00:00:00"/>
    <x v="2"/>
    <x v="2"/>
    <n v="13"/>
    <n v="589"/>
    <x v="3"/>
    <s v="Wholesale"/>
    <n v="0.15"/>
    <x v="2"/>
    <x v="4"/>
    <n v="0"/>
    <x v="463"/>
    <s v="Cust 6994"/>
    <n v="45.03"/>
    <x v="47"/>
    <d v="2024-03-21T00:00:00"/>
    <s v="Ryan"/>
    <n v="6508"/>
  </r>
  <r>
    <d v="2024-05-04T00:00:00"/>
    <x v="4"/>
    <x v="4"/>
    <n v="13"/>
    <n v="198"/>
    <x v="3"/>
    <s v="Wholesale"/>
    <n v="0"/>
    <x v="3"/>
    <x v="4"/>
    <n v="1"/>
    <x v="464"/>
    <s v="Cust 9879"/>
    <n v="31.51"/>
    <x v="369"/>
    <d v="2024-05-09T00:00:00"/>
    <s v="Wendy"/>
    <n v="2574"/>
  </r>
  <r>
    <d v="2025-02-27T00:00:00"/>
    <x v="1"/>
    <x v="6"/>
    <n v="12"/>
    <n v="384"/>
    <x v="1"/>
    <s v="Retail"/>
    <n v="0"/>
    <x v="0"/>
    <x v="4"/>
    <n v="0"/>
    <x v="465"/>
    <s v="Cust 9069"/>
    <n v="38.99"/>
    <x v="370"/>
    <d v="2025-03-02T00:00:00"/>
    <s v="Sophie"/>
    <n v="4608"/>
  </r>
  <r>
    <d v="2024-11-13T00:00:00"/>
    <x v="3"/>
    <x v="1"/>
    <n v="4"/>
    <n v="475"/>
    <x v="0"/>
    <s v="Wholesale"/>
    <n v="0.15"/>
    <x v="2"/>
    <x v="4"/>
    <n v="0"/>
    <x v="466"/>
    <s v="Cust 3712"/>
    <n v="11.6"/>
    <x v="371"/>
    <d v="2024-11-17T00:00:00"/>
    <s v="Cameron"/>
    <n v="1615"/>
  </r>
  <r>
    <d v="2023-10-31T00:00:00"/>
    <x v="4"/>
    <x v="6"/>
    <n v="6"/>
    <n v="203"/>
    <x v="2"/>
    <s v="Retail"/>
    <n v="0.1"/>
    <x v="0"/>
    <x v="1"/>
    <n v="0"/>
    <x v="467"/>
    <s v="Cust 3829"/>
    <n v="43.55"/>
    <x v="372"/>
    <d v="2023-11-10T00:00:00"/>
    <s v="Wendy"/>
    <n v="1096"/>
  </r>
  <r>
    <d v="2023-12-19T00:00:00"/>
    <x v="3"/>
    <x v="5"/>
    <n v="18"/>
    <n v="135"/>
    <x v="2"/>
    <s v="Wholesale"/>
    <n v="0"/>
    <x v="4"/>
    <x v="0"/>
    <n v="1"/>
    <x v="468"/>
    <s v="Cust 1623"/>
    <n v="46.1"/>
    <x v="373"/>
    <d v="2023-12-24T00:00:00"/>
    <s v="Cameron"/>
    <n v="2430"/>
  </r>
  <r>
    <d v="2023-11-27T00:00:00"/>
    <x v="1"/>
    <x v="5"/>
    <n v="20"/>
    <n v="356"/>
    <x v="2"/>
    <s v="Wholesale"/>
    <n v="0.05"/>
    <x v="4"/>
    <x v="4"/>
    <n v="1"/>
    <x v="469"/>
    <s v="Cust 3532"/>
    <n v="26.7"/>
    <x v="165"/>
    <d v="2023-12-03T00:00:00"/>
    <s v="Sophie"/>
    <n v="6764"/>
  </r>
  <r>
    <d v="2023-08-15T00:00:00"/>
    <x v="0"/>
    <x v="0"/>
    <n v="3"/>
    <n v="295"/>
    <x v="2"/>
    <s v="Wholesale"/>
    <n v="0.05"/>
    <x v="1"/>
    <x v="4"/>
    <n v="0"/>
    <x v="470"/>
    <s v="Cust 4712"/>
    <n v="45.33"/>
    <x v="374"/>
    <d v="2023-08-18T00:00:00"/>
    <s v="Eric"/>
    <n v="841"/>
  </r>
  <r>
    <d v="2023-01-16T00:00:00"/>
    <x v="4"/>
    <x v="1"/>
    <n v="20"/>
    <n v="554"/>
    <x v="1"/>
    <s v="Retail"/>
    <n v="0"/>
    <x v="2"/>
    <x v="4"/>
    <n v="0"/>
    <x v="471"/>
    <s v="Cust 6211"/>
    <n v="33.21"/>
    <x v="375"/>
    <d v="2023-01-24T00:00:00"/>
    <s v="Wendy"/>
    <n v="11080"/>
  </r>
  <r>
    <d v="2025-02-28T00:00:00"/>
    <x v="3"/>
    <x v="5"/>
    <n v="13"/>
    <n v="81"/>
    <x v="3"/>
    <s v="Retail"/>
    <n v="0.1"/>
    <x v="2"/>
    <x v="4"/>
    <n v="1"/>
    <x v="472"/>
    <s v="Cust 1222"/>
    <n v="48.21"/>
    <x v="376"/>
    <d v="2025-03-08T00:00:00"/>
    <s v="Cameron"/>
    <n v="948"/>
  </r>
  <r>
    <d v="2023-11-28T00:00:00"/>
    <x v="4"/>
    <x v="1"/>
    <n v="2"/>
    <n v="533"/>
    <x v="0"/>
    <s v="Wholesale"/>
    <n v="0"/>
    <x v="3"/>
    <x v="2"/>
    <n v="1"/>
    <x v="473"/>
    <s v="Cust 6208"/>
    <n v="49.67"/>
    <x v="206"/>
    <d v="2023-12-01T00:00:00"/>
    <s v="Wendy"/>
    <n v="1066"/>
  </r>
  <r>
    <d v="2023-12-04T00:00:00"/>
    <x v="4"/>
    <x v="6"/>
    <n v="1"/>
    <n v="268"/>
    <x v="0"/>
    <s v="Wholesale"/>
    <n v="0.1"/>
    <x v="3"/>
    <x v="1"/>
    <n v="0"/>
    <x v="474"/>
    <s v="Cust 5942"/>
    <n v="9.48"/>
    <x v="377"/>
    <d v="2023-12-13T00:00:00"/>
    <s v="Wendy"/>
    <n v="241"/>
  </r>
  <r>
    <d v="2024-06-21T00:00:00"/>
    <x v="1"/>
    <x v="6"/>
    <n v="17"/>
    <n v="433"/>
    <x v="1"/>
    <s v="Retail"/>
    <n v="0.15"/>
    <x v="2"/>
    <x v="4"/>
    <n v="0"/>
    <x v="475"/>
    <s v="Cust 1745"/>
    <n v="18.850000000000001"/>
    <x v="378"/>
    <d v="2024-06-29T00:00:00"/>
    <s v="Sophie"/>
    <n v="6257"/>
  </r>
  <r>
    <d v="2025-03-17T00:00:00"/>
    <x v="0"/>
    <x v="2"/>
    <n v="14"/>
    <n v="123"/>
    <x v="1"/>
    <s v="Wholesale"/>
    <n v="0.1"/>
    <x v="4"/>
    <x v="4"/>
    <n v="1"/>
    <x v="476"/>
    <s v="Cust 2679"/>
    <n v="43.28"/>
    <x v="253"/>
    <d v="2025-03-26T00:00:00"/>
    <s v="Eric"/>
    <n v="1550"/>
  </r>
  <r>
    <d v="2023-08-17T00:00:00"/>
    <x v="3"/>
    <x v="2"/>
    <n v="16"/>
    <n v="455"/>
    <x v="0"/>
    <s v="Retail"/>
    <n v="0.1"/>
    <x v="5"/>
    <x v="0"/>
    <n v="0"/>
    <x v="477"/>
    <s v="Cust 9907"/>
    <n v="20.55"/>
    <x v="379"/>
    <d v="2023-08-19T00:00:00"/>
    <s v="Cameron"/>
    <n v="6552"/>
  </r>
  <r>
    <d v="2023-08-30T00:00:00"/>
    <x v="3"/>
    <x v="4"/>
    <n v="11"/>
    <n v="415"/>
    <x v="3"/>
    <s v="Wholesale"/>
    <n v="0.05"/>
    <x v="4"/>
    <x v="4"/>
    <n v="0"/>
    <x v="478"/>
    <s v="Cust 5750"/>
    <n v="25.33"/>
    <x v="286"/>
    <d v="2023-09-05T00:00:00"/>
    <s v="Cameron"/>
    <n v="4337"/>
  </r>
  <r>
    <d v="2025-06-16T00:00:00"/>
    <x v="0"/>
    <x v="1"/>
    <n v="9"/>
    <n v="353"/>
    <x v="0"/>
    <s v="Wholesale"/>
    <n v="0.1"/>
    <x v="5"/>
    <x v="4"/>
    <n v="0"/>
    <x v="479"/>
    <s v="Cust 5717"/>
    <n v="30.57"/>
    <x v="26"/>
    <d v="2025-06-18T00:00:00"/>
    <s v="Eric"/>
    <n v="2859"/>
  </r>
  <r>
    <d v="2023-06-29T00:00:00"/>
    <x v="2"/>
    <x v="3"/>
    <n v="10"/>
    <n v="126"/>
    <x v="1"/>
    <s v="Retail"/>
    <n v="0.1"/>
    <x v="0"/>
    <x v="0"/>
    <n v="0"/>
    <x v="480"/>
    <s v="Cust 7995"/>
    <n v="26.96"/>
    <x v="380"/>
    <d v="2023-07-09T00:00:00"/>
    <s v="Ryan"/>
    <n v="1134"/>
  </r>
  <r>
    <d v="2023-08-13T00:00:00"/>
    <x v="2"/>
    <x v="4"/>
    <n v="7"/>
    <n v="125"/>
    <x v="3"/>
    <s v="Wholesale"/>
    <n v="0"/>
    <x v="3"/>
    <x v="2"/>
    <n v="0"/>
    <x v="481"/>
    <s v="Cust 5572"/>
    <n v="12.45"/>
    <x v="381"/>
    <d v="2023-08-20T00:00:00"/>
    <s v="Ryan"/>
    <n v="875"/>
  </r>
  <r>
    <d v="2024-04-29T00:00:00"/>
    <x v="4"/>
    <x v="5"/>
    <n v="20"/>
    <n v="367"/>
    <x v="1"/>
    <s v="Wholesale"/>
    <n v="0.05"/>
    <x v="3"/>
    <x v="1"/>
    <n v="0"/>
    <x v="482"/>
    <s v="Cust 1721"/>
    <n v="45.67"/>
    <x v="131"/>
    <d v="2024-05-07T00:00:00"/>
    <s v="Wendy"/>
    <n v="6973"/>
  </r>
  <r>
    <d v="2023-07-15T00:00:00"/>
    <x v="4"/>
    <x v="4"/>
    <n v="8"/>
    <n v="432"/>
    <x v="0"/>
    <s v="Retail"/>
    <n v="0"/>
    <x v="4"/>
    <x v="2"/>
    <n v="0"/>
    <x v="483"/>
    <s v="Cust 2641"/>
    <n v="42.1"/>
    <x v="382"/>
    <d v="2023-07-25T00:00:00"/>
    <s v="Wendy"/>
    <n v="3456"/>
  </r>
  <r>
    <d v="2025-01-17T00:00:00"/>
    <x v="2"/>
    <x v="5"/>
    <n v="3"/>
    <n v="13"/>
    <x v="3"/>
    <s v="Retail"/>
    <n v="0.1"/>
    <x v="0"/>
    <x v="4"/>
    <n v="0"/>
    <x v="484"/>
    <s v="Cust 9769"/>
    <n v="17.62"/>
    <x v="50"/>
    <d v="2025-01-23T00:00:00"/>
    <s v="Ryan"/>
    <n v="35"/>
  </r>
  <r>
    <d v="2025-02-21T00:00:00"/>
    <x v="0"/>
    <x v="6"/>
    <n v="13"/>
    <n v="106"/>
    <x v="2"/>
    <s v="Retail"/>
    <n v="0"/>
    <x v="5"/>
    <x v="3"/>
    <n v="0"/>
    <x v="485"/>
    <s v="Cust 1718"/>
    <n v="38.96"/>
    <x v="383"/>
    <d v="2025-03-03T00:00:00"/>
    <s v="Eric"/>
    <n v="1378"/>
  </r>
  <r>
    <d v="2023-07-19T00:00:00"/>
    <x v="4"/>
    <x v="4"/>
    <n v="20"/>
    <n v="527"/>
    <x v="1"/>
    <s v="Wholesale"/>
    <n v="0"/>
    <x v="1"/>
    <x v="3"/>
    <n v="1"/>
    <x v="486"/>
    <s v="Cust 1210"/>
    <n v="25.64"/>
    <x v="384"/>
    <d v="2023-07-26T00:00:00"/>
    <s v="Wendy"/>
    <n v="10540"/>
  </r>
  <r>
    <d v="2024-09-29T00:00:00"/>
    <x v="4"/>
    <x v="1"/>
    <n v="11"/>
    <n v="340"/>
    <x v="1"/>
    <s v="Retail"/>
    <n v="0.05"/>
    <x v="4"/>
    <x v="3"/>
    <n v="1"/>
    <x v="487"/>
    <s v="Cust 7710"/>
    <n v="11.56"/>
    <x v="385"/>
    <d v="2024-10-06T00:00:00"/>
    <s v="Wendy"/>
    <n v="3553"/>
  </r>
  <r>
    <d v="2024-10-17T00:00:00"/>
    <x v="0"/>
    <x v="0"/>
    <n v="10"/>
    <n v="92"/>
    <x v="3"/>
    <s v="Wholesale"/>
    <n v="0.15"/>
    <x v="2"/>
    <x v="4"/>
    <n v="0"/>
    <x v="488"/>
    <s v="Cust 1428"/>
    <n v="37.270000000000003"/>
    <x v="386"/>
    <d v="2024-10-21T00:00:00"/>
    <s v="Eric"/>
    <n v="782"/>
  </r>
  <r>
    <d v="2025-06-11T00:00:00"/>
    <x v="0"/>
    <x v="1"/>
    <n v="15"/>
    <n v="14"/>
    <x v="0"/>
    <s v="Retail"/>
    <n v="0.1"/>
    <x v="1"/>
    <x v="3"/>
    <n v="0"/>
    <x v="489"/>
    <s v="Cust 2810"/>
    <n v="38.04"/>
    <x v="54"/>
    <d v="2025-06-17T00:00:00"/>
    <s v="Eric"/>
    <n v="189"/>
  </r>
  <r>
    <d v="2024-01-19T00:00:00"/>
    <x v="4"/>
    <x v="2"/>
    <n v="6"/>
    <n v="148"/>
    <x v="0"/>
    <s v="Retail"/>
    <n v="0.1"/>
    <x v="0"/>
    <x v="2"/>
    <n v="0"/>
    <x v="490"/>
    <s v="Cust 2234"/>
    <n v="19.579999999999998"/>
    <x v="387"/>
    <d v="2024-01-29T00:00:00"/>
    <s v="Wendy"/>
    <n v="799"/>
  </r>
  <r>
    <d v="2023-12-03T00:00:00"/>
    <x v="0"/>
    <x v="3"/>
    <n v="11"/>
    <n v="495"/>
    <x v="3"/>
    <s v="Wholesale"/>
    <n v="0.15"/>
    <x v="2"/>
    <x v="4"/>
    <n v="0"/>
    <x v="491"/>
    <s v="Cust 9602"/>
    <n v="27.37"/>
    <x v="388"/>
    <d v="2023-12-05T00:00:00"/>
    <s v="Eric"/>
    <n v="4628"/>
  </r>
  <r>
    <d v="2024-06-19T00:00:00"/>
    <x v="3"/>
    <x v="3"/>
    <n v="6"/>
    <n v="247"/>
    <x v="1"/>
    <s v="Wholesale"/>
    <n v="0.05"/>
    <x v="4"/>
    <x v="2"/>
    <n v="0"/>
    <x v="492"/>
    <s v="Cust 2546"/>
    <n v="18.75"/>
    <x v="389"/>
    <d v="2024-06-27T00:00:00"/>
    <s v="Cameron"/>
    <n v="1408"/>
  </r>
  <r>
    <d v="2024-10-16T00:00:00"/>
    <x v="4"/>
    <x v="5"/>
    <n v="19"/>
    <n v="207"/>
    <x v="2"/>
    <s v="Retail"/>
    <n v="0.05"/>
    <x v="5"/>
    <x v="3"/>
    <n v="0"/>
    <x v="493"/>
    <s v="Cust 5032"/>
    <n v="11.5"/>
    <x v="8"/>
    <d v="2024-10-21T00:00:00"/>
    <s v="Wendy"/>
    <n v="3736"/>
  </r>
  <r>
    <d v="2025-01-23T00:00:00"/>
    <x v="0"/>
    <x v="0"/>
    <n v="2"/>
    <n v="371"/>
    <x v="3"/>
    <s v="Wholesale"/>
    <n v="0.15"/>
    <x v="4"/>
    <x v="0"/>
    <n v="0"/>
    <x v="494"/>
    <s v="Cust 4297"/>
    <n v="20.45"/>
    <x v="187"/>
    <d v="2025-01-27T00:00:00"/>
    <s v="Eric"/>
    <n v="631"/>
  </r>
  <r>
    <d v="2023-10-02T00:00:00"/>
    <x v="3"/>
    <x v="0"/>
    <n v="9"/>
    <n v="147"/>
    <x v="1"/>
    <s v="Wholesale"/>
    <n v="0.1"/>
    <x v="4"/>
    <x v="2"/>
    <n v="0"/>
    <x v="495"/>
    <s v="Cust 6944"/>
    <n v="10.45"/>
    <x v="390"/>
    <d v="2023-10-10T00:00:00"/>
    <s v="Cameron"/>
    <n v="1191"/>
  </r>
  <r>
    <d v="2023-11-05T00:00:00"/>
    <x v="0"/>
    <x v="2"/>
    <n v="12"/>
    <n v="160"/>
    <x v="3"/>
    <s v="Retail"/>
    <n v="0.1"/>
    <x v="1"/>
    <x v="4"/>
    <n v="0"/>
    <x v="496"/>
    <s v="Cust 4136"/>
    <n v="32.61"/>
    <x v="321"/>
    <d v="2023-11-07T00:00:00"/>
    <s v="Eric"/>
    <n v="1728"/>
  </r>
  <r>
    <d v="2023-06-18T00:00:00"/>
    <x v="1"/>
    <x v="6"/>
    <n v="13"/>
    <n v="182"/>
    <x v="2"/>
    <s v="Wholesale"/>
    <n v="0.05"/>
    <x v="4"/>
    <x v="1"/>
    <n v="0"/>
    <x v="497"/>
    <s v="Cust 7460"/>
    <n v="14.69"/>
    <x v="391"/>
    <d v="2023-06-23T00:00:00"/>
    <s v="Sophie"/>
    <n v="2248"/>
  </r>
  <r>
    <d v="2024-07-15T00:00:00"/>
    <x v="3"/>
    <x v="1"/>
    <n v="16"/>
    <n v="34"/>
    <x v="1"/>
    <s v="Retail"/>
    <n v="0.15"/>
    <x v="5"/>
    <x v="4"/>
    <n v="0"/>
    <x v="498"/>
    <s v="Cust 3960"/>
    <n v="36.33"/>
    <x v="236"/>
    <d v="2024-07-21T00:00:00"/>
    <s v="Cameron"/>
    <n v="462"/>
  </r>
  <r>
    <d v="2024-06-14T00:00:00"/>
    <x v="3"/>
    <x v="0"/>
    <n v="2"/>
    <n v="287"/>
    <x v="2"/>
    <s v="Wholesale"/>
    <n v="0.1"/>
    <x v="4"/>
    <x v="4"/>
    <n v="0"/>
    <x v="499"/>
    <s v="Cust 5530"/>
    <n v="25.34"/>
    <x v="392"/>
    <d v="2024-06-23T00:00:00"/>
    <s v="Cameron"/>
    <n v="517"/>
  </r>
  <r>
    <d v="2024-04-05T00:00:00"/>
    <x v="0"/>
    <x v="4"/>
    <n v="15"/>
    <n v="406"/>
    <x v="3"/>
    <s v="Wholesale"/>
    <n v="0.15"/>
    <x v="0"/>
    <x v="1"/>
    <n v="0"/>
    <x v="500"/>
    <s v="Cust 3160"/>
    <n v="32.04"/>
    <x v="393"/>
    <d v="2024-04-10T00:00:00"/>
    <s v="Eric"/>
    <n v="5176"/>
  </r>
  <r>
    <d v="2023-02-27T00:00:00"/>
    <x v="2"/>
    <x v="0"/>
    <n v="1"/>
    <n v="431"/>
    <x v="0"/>
    <s v="Retail"/>
    <n v="0"/>
    <x v="1"/>
    <x v="1"/>
    <n v="0"/>
    <x v="501"/>
    <s v="Cust 9641"/>
    <n v="14.53"/>
    <x v="274"/>
    <d v="2023-03-07T00:00:00"/>
    <s v="Ryan"/>
    <n v="431"/>
  </r>
  <r>
    <d v="2023-07-31T00:00:00"/>
    <x v="4"/>
    <x v="0"/>
    <n v="5"/>
    <n v="508"/>
    <x v="3"/>
    <s v="Retail"/>
    <n v="0"/>
    <x v="2"/>
    <x v="2"/>
    <n v="1"/>
    <x v="502"/>
    <s v="Cust 9742"/>
    <n v="35.630000000000003"/>
    <x v="65"/>
    <d v="2023-08-09T00:00:00"/>
    <s v="Wendy"/>
    <n v="2540"/>
  </r>
  <r>
    <d v="2023-03-03T00:00:00"/>
    <x v="4"/>
    <x v="0"/>
    <n v="13"/>
    <n v="523"/>
    <x v="2"/>
    <s v="Retail"/>
    <n v="0.15"/>
    <x v="3"/>
    <x v="3"/>
    <n v="0"/>
    <x v="503"/>
    <s v="Cust 1144"/>
    <n v="33.9"/>
    <x v="21"/>
    <d v="2023-03-10T00:00:00"/>
    <s v="Wendy"/>
    <n v="5779"/>
  </r>
  <r>
    <d v="2023-04-26T00:00:00"/>
    <x v="1"/>
    <x v="0"/>
    <n v="17"/>
    <n v="260"/>
    <x v="3"/>
    <s v="Wholesale"/>
    <n v="0.1"/>
    <x v="2"/>
    <x v="2"/>
    <n v="0"/>
    <x v="504"/>
    <s v="Cust 2936"/>
    <n v="23.26"/>
    <x v="394"/>
    <d v="2023-04-28T00:00:00"/>
    <s v="Sophie"/>
    <n v="3978"/>
  </r>
  <r>
    <d v="2024-10-19T00:00:00"/>
    <x v="0"/>
    <x v="1"/>
    <n v="6"/>
    <n v="549"/>
    <x v="0"/>
    <s v="Retail"/>
    <n v="0.1"/>
    <x v="0"/>
    <x v="2"/>
    <n v="1"/>
    <x v="505"/>
    <s v="Cust 3035"/>
    <n v="12.29"/>
    <x v="272"/>
    <d v="2024-10-27T00:00:00"/>
    <s v="Eric"/>
    <n v="2965"/>
  </r>
  <r>
    <d v="2024-06-30T00:00:00"/>
    <x v="3"/>
    <x v="6"/>
    <n v="17"/>
    <n v="472"/>
    <x v="2"/>
    <s v="Retail"/>
    <n v="0.15"/>
    <x v="3"/>
    <x v="3"/>
    <n v="0"/>
    <x v="506"/>
    <s v="Cust 1717"/>
    <n v="22.63"/>
    <x v="261"/>
    <d v="2024-07-04T00:00:00"/>
    <s v="Cameron"/>
    <n v="6820"/>
  </r>
  <r>
    <d v="2024-10-11T00:00:00"/>
    <x v="4"/>
    <x v="0"/>
    <n v="9"/>
    <n v="597"/>
    <x v="1"/>
    <s v="Retail"/>
    <n v="0"/>
    <x v="0"/>
    <x v="4"/>
    <n v="0"/>
    <x v="507"/>
    <s v="Cust 4456"/>
    <n v="6.43"/>
    <x v="395"/>
    <d v="2024-10-19T00:00:00"/>
    <s v="Wendy"/>
    <n v="5373"/>
  </r>
  <r>
    <d v="2025-06-14T00:00:00"/>
    <x v="3"/>
    <x v="4"/>
    <n v="15"/>
    <n v="154"/>
    <x v="3"/>
    <s v="Retail"/>
    <n v="0.1"/>
    <x v="1"/>
    <x v="4"/>
    <n v="1"/>
    <x v="508"/>
    <s v="Cust 6435"/>
    <n v="24.53"/>
    <x v="396"/>
    <d v="2025-06-23T00:00:00"/>
    <s v="Cameron"/>
    <n v="2079"/>
  </r>
  <r>
    <d v="2024-12-22T00:00:00"/>
    <x v="0"/>
    <x v="0"/>
    <n v="18"/>
    <n v="500"/>
    <x v="3"/>
    <s v="Wholesale"/>
    <n v="0.1"/>
    <x v="5"/>
    <x v="2"/>
    <n v="0"/>
    <x v="509"/>
    <s v="Cust 9352"/>
    <n v="8.8699999999999992"/>
    <x v="397"/>
    <d v="2024-12-30T00:00:00"/>
    <s v="Eric"/>
    <n v="8100"/>
  </r>
  <r>
    <d v="2024-04-22T00:00:00"/>
    <x v="4"/>
    <x v="5"/>
    <n v="5"/>
    <n v="382"/>
    <x v="2"/>
    <s v="Wholesale"/>
    <n v="0"/>
    <x v="4"/>
    <x v="2"/>
    <n v="0"/>
    <x v="510"/>
    <s v="Cust 6746"/>
    <n v="17.72"/>
    <x v="398"/>
    <d v="2024-04-25T00:00:00"/>
    <s v="Wendy"/>
    <n v="1910"/>
  </r>
  <r>
    <d v="2025-01-25T00:00:00"/>
    <x v="2"/>
    <x v="3"/>
    <n v="3"/>
    <n v="366"/>
    <x v="0"/>
    <s v="Retail"/>
    <n v="0.15"/>
    <x v="2"/>
    <x v="0"/>
    <n v="0"/>
    <x v="511"/>
    <s v="Cust 8189"/>
    <n v="45.89"/>
    <x v="59"/>
    <d v="2025-01-29T00:00:00"/>
    <s v="Ryan"/>
    <n v="933"/>
  </r>
  <r>
    <d v="2024-11-13T00:00:00"/>
    <x v="2"/>
    <x v="0"/>
    <n v="5"/>
    <n v="270"/>
    <x v="2"/>
    <s v="Retail"/>
    <n v="0.15"/>
    <x v="0"/>
    <x v="2"/>
    <n v="0"/>
    <x v="512"/>
    <s v="Cust 8470"/>
    <n v="15.74"/>
    <x v="371"/>
    <d v="2024-11-19T00:00:00"/>
    <s v="Ryan"/>
    <n v="1148"/>
  </r>
  <r>
    <d v="2023-03-16T00:00:00"/>
    <x v="0"/>
    <x v="5"/>
    <n v="2"/>
    <n v="480"/>
    <x v="3"/>
    <s v="Retail"/>
    <n v="0.15"/>
    <x v="4"/>
    <x v="0"/>
    <n v="0"/>
    <x v="513"/>
    <s v="Cust 1044"/>
    <n v="42.07"/>
    <x v="399"/>
    <d v="2023-03-21T00:00:00"/>
    <s v="Eric"/>
    <n v="816"/>
  </r>
  <r>
    <d v="2023-05-06T00:00:00"/>
    <x v="2"/>
    <x v="0"/>
    <n v="18"/>
    <n v="415"/>
    <x v="2"/>
    <s v="Wholesale"/>
    <n v="0.1"/>
    <x v="0"/>
    <x v="2"/>
    <n v="1"/>
    <x v="514"/>
    <s v="Cust 4010"/>
    <n v="28.55"/>
    <x v="400"/>
    <d v="2023-05-15T00:00:00"/>
    <s v="Ryan"/>
    <n v="6723"/>
  </r>
  <r>
    <d v="2024-11-15T00:00:00"/>
    <x v="0"/>
    <x v="4"/>
    <n v="10"/>
    <n v="98"/>
    <x v="2"/>
    <s v="Wholesale"/>
    <n v="0"/>
    <x v="2"/>
    <x v="2"/>
    <n v="1"/>
    <x v="515"/>
    <s v="Cust 1385"/>
    <n v="21.01"/>
    <x v="67"/>
    <d v="2024-11-17T00:00:00"/>
    <s v="Eric"/>
    <n v="980"/>
  </r>
  <r>
    <d v="2024-06-28T00:00:00"/>
    <x v="3"/>
    <x v="0"/>
    <n v="6"/>
    <n v="228"/>
    <x v="3"/>
    <s v="Retail"/>
    <n v="0.05"/>
    <x v="3"/>
    <x v="3"/>
    <n v="0"/>
    <x v="516"/>
    <s v="Cust 1904"/>
    <n v="38.22"/>
    <x v="163"/>
    <d v="2024-07-05T00:00:00"/>
    <s v="Cameron"/>
    <n v="1300"/>
  </r>
  <r>
    <d v="2025-05-11T00:00:00"/>
    <x v="3"/>
    <x v="4"/>
    <n v="5"/>
    <n v="136"/>
    <x v="2"/>
    <s v="Retail"/>
    <n v="0.15"/>
    <x v="3"/>
    <x v="0"/>
    <n v="0"/>
    <x v="517"/>
    <s v="Cust 6034"/>
    <n v="10.02"/>
    <x v="15"/>
    <d v="2025-05-20T00:00:00"/>
    <s v="Cameron"/>
    <n v="578"/>
  </r>
  <r>
    <d v="2023-02-26T00:00:00"/>
    <x v="3"/>
    <x v="5"/>
    <n v="5"/>
    <n v="489"/>
    <x v="2"/>
    <s v="Retail"/>
    <n v="0.1"/>
    <x v="4"/>
    <x v="1"/>
    <n v="0"/>
    <x v="518"/>
    <s v="Cust 9239"/>
    <n v="44.73"/>
    <x v="16"/>
    <d v="2023-03-04T00:00:00"/>
    <s v="Cameron"/>
    <n v="2200"/>
  </r>
  <r>
    <d v="2024-04-30T00:00:00"/>
    <x v="1"/>
    <x v="0"/>
    <n v="4"/>
    <n v="414"/>
    <x v="1"/>
    <s v="Retail"/>
    <n v="0"/>
    <x v="5"/>
    <x v="3"/>
    <n v="0"/>
    <x v="519"/>
    <s v="Cust 5678"/>
    <n v="8.02"/>
    <x v="401"/>
    <d v="2024-05-07T00:00:00"/>
    <s v="Sophie"/>
    <n v="1656"/>
  </r>
  <r>
    <d v="2025-03-11T00:00:00"/>
    <x v="0"/>
    <x v="0"/>
    <n v="6"/>
    <n v="138"/>
    <x v="0"/>
    <s v="Retail"/>
    <n v="0.15"/>
    <x v="0"/>
    <x v="0"/>
    <n v="1"/>
    <x v="520"/>
    <s v="Cust 3696"/>
    <n v="31.4"/>
    <x v="402"/>
    <d v="2025-03-13T00:00:00"/>
    <s v="Eric"/>
    <n v="704"/>
  </r>
  <r>
    <d v="2025-06-30T00:00:00"/>
    <x v="0"/>
    <x v="1"/>
    <n v="12"/>
    <n v="488"/>
    <x v="1"/>
    <s v="Wholesale"/>
    <n v="0.05"/>
    <x v="0"/>
    <x v="4"/>
    <n v="0"/>
    <x v="521"/>
    <s v="Cust 9025"/>
    <n v="37.33"/>
    <x v="148"/>
    <d v="2025-07-10T00:00:00"/>
    <s v="Eric"/>
    <n v="5563"/>
  </r>
  <r>
    <d v="2024-06-02T00:00:00"/>
    <x v="2"/>
    <x v="3"/>
    <n v="20"/>
    <n v="427"/>
    <x v="2"/>
    <s v="Wholesale"/>
    <n v="0.05"/>
    <x v="2"/>
    <x v="1"/>
    <n v="1"/>
    <x v="522"/>
    <s v="Cust 9924"/>
    <n v="25.19"/>
    <x v="403"/>
    <d v="2024-06-08T00:00:00"/>
    <s v="Ryan"/>
    <n v="8113"/>
  </r>
  <r>
    <d v="2024-09-01T00:00:00"/>
    <x v="1"/>
    <x v="0"/>
    <n v="16"/>
    <n v="589"/>
    <x v="3"/>
    <s v="Wholesale"/>
    <n v="0.15"/>
    <x v="1"/>
    <x v="4"/>
    <n v="0"/>
    <x v="523"/>
    <s v="Cust 3887"/>
    <n v="7.89"/>
    <x v="404"/>
    <d v="2024-09-05T00:00:00"/>
    <s v="Sophie"/>
    <n v="8010"/>
  </r>
  <r>
    <d v="2025-01-11T00:00:00"/>
    <x v="1"/>
    <x v="0"/>
    <n v="6"/>
    <n v="429"/>
    <x v="0"/>
    <s v="Retail"/>
    <n v="0.1"/>
    <x v="1"/>
    <x v="4"/>
    <n v="0"/>
    <x v="524"/>
    <s v="Cust 5302"/>
    <n v="47.18"/>
    <x v="405"/>
    <d v="2025-01-18T00:00:00"/>
    <s v="Sophie"/>
    <n v="2317"/>
  </r>
  <r>
    <d v="2025-03-31T00:00:00"/>
    <x v="1"/>
    <x v="1"/>
    <n v="1"/>
    <n v="476"/>
    <x v="1"/>
    <s v="Wholesale"/>
    <n v="0.15"/>
    <x v="3"/>
    <x v="4"/>
    <n v="0"/>
    <x v="525"/>
    <s v="Cust 2290"/>
    <n v="18.95"/>
    <x v="314"/>
    <d v="2025-04-03T00:00:00"/>
    <s v="Sophie"/>
    <n v="405"/>
  </r>
  <r>
    <d v="2024-11-28T00:00:00"/>
    <x v="1"/>
    <x v="1"/>
    <n v="13"/>
    <n v="141"/>
    <x v="0"/>
    <s v="Retail"/>
    <n v="0"/>
    <x v="2"/>
    <x v="0"/>
    <n v="0"/>
    <x v="526"/>
    <s v="Cust 2227"/>
    <n v="23.68"/>
    <x v="406"/>
    <d v="2024-12-05T00:00:00"/>
    <s v="Sophie"/>
    <n v="1833"/>
  </r>
  <r>
    <d v="2023-07-05T00:00:00"/>
    <x v="2"/>
    <x v="3"/>
    <n v="3"/>
    <n v="251"/>
    <x v="3"/>
    <s v="Retail"/>
    <n v="0.15"/>
    <x v="0"/>
    <x v="2"/>
    <n v="0"/>
    <x v="527"/>
    <s v="Cust 1726"/>
    <n v="44.46"/>
    <x v="407"/>
    <d v="2023-07-07T00:00:00"/>
    <s v="Ryan"/>
    <n v="640"/>
  </r>
  <r>
    <d v="2024-10-24T00:00:00"/>
    <x v="4"/>
    <x v="4"/>
    <n v="19"/>
    <n v="301"/>
    <x v="3"/>
    <s v="Retail"/>
    <n v="0.05"/>
    <x v="1"/>
    <x v="3"/>
    <n v="0"/>
    <x v="528"/>
    <s v="Cust 9874"/>
    <n v="5.71"/>
    <x v="408"/>
    <d v="2024-11-03T00:00:00"/>
    <s v="Wendy"/>
    <n v="5433"/>
  </r>
  <r>
    <d v="2025-04-08T00:00:00"/>
    <x v="2"/>
    <x v="3"/>
    <n v="7"/>
    <n v="31"/>
    <x v="2"/>
    <s v="Retail"/>
    <n v="0.1"/>
    <x v="5"/>
    <x v="4"/>
    <n v="1"/>
    <x v="529"/>
    <s v="Cust 1774"/>
    <n v="11.39"/>
    <x v="409"/>
    <d v="2025-04-16T00:00:00"/>
    <s v="Ryan"/>
    <n v="195"/>
  </r>
  <r>
    <d v="2024-06-05T00:00:00"/>
    <x v="0"/>
    <x v="0"/>
    <n v="1"/>
    <n v="562"/>
    <x v="1"/>
    <s v="Wholesale"/>
    <n v="0.15"/>
    <x v="1"/>
    <x v="3"/>
    <n v="0"/>
    <x v="530"/>
    <s v="Cust 2414"/>
    <n v="38.020000000000003"/>
    <x v="410"/>
    <d v="2024-06-10T00:00:00"/>
    <s v="Eric"/>
    <n v="478"/>
  </r>
  <r>
    <d v="2025-01-23T00:00:00"/>
    <x v="4"/>
    <x v="1"/>
    <n v="16"/>
    <n v="194"/>
    <x v="1"/>
    <s v="Retail"/>
    <n v="0.15"/>
    <x v="5"/>
    <x v="2"/>
    <n v="0"/>
    <x v="531"/>
    <s v="Cust 6534"/>
    <n v="6.83"/>
    <x v="187"/>
    <d v="2025-01-29T00:00:00"/>
    <s v="Wendy"/>
    <n v="2638"/>
  </r>
  <r>
    <d v="2024-11-04T00:00:00"/>
    <x v="3"/>
    <x v="5"/>
    <n v="17"/>
    <n v="310"/>
    <x v="3"/>
    <s v="Retail"/>
    <n v="0.05"/>
    <x v="3"/>
    <x v="0"/>
    <n v="0"/>
    <x v="532"/>
    <s v="Cust 3170"/>
    <n v="8.06"/>
    <x v="208"/>
    <d v="2024-11-12T00:00:00"/>
    <s v="Cameron"/>
    <n v="5006"/>
  </r>
  <r>
    <d v="2024-01-01T00:00:00"/>
    <x v="4"/>
    <x v="6"/>
    <n v="13"/>
    <n v="205"/>
    <x v="1"/>
    <s v="Retail"/>
    <n v="0.15"/>
    <x v="1"/>
    <x v="0"/>
    <n v="0"/>
    <x v="533"/>
    <s v="Cust 5438"/>
    <n v="6.76"/>
    <x v="223"/>
    <d v="2024-01-05T00:00:00"/>
    <s v="Wendy"/>
    <n v="2265"/>
  </r>
  <r>
    <d v="2024-04-09T00:00:00"/>
    <x v="3"/>
    <x v="6"/>
    <n v="3"/>
    <n v="250"/>
    <x v="3"/>
    <s v="Wholesale"/>
    <n v="0"/>
    <x v="1"/>
    <x v="1"/>
    <n v="0"/>
    <x v="534"/>
    <s v="Cust 2670"/>
    <n v="36.35"/>
    <x v="173"/>
    <d v="2024-04-17T00:00:00"/>
    <s v="Cameron"/>
    <n v="750"/>
  </r>
  <r>
    <d v="2025-01-17T00:00:00"/>
    <x v="2"/>
    <x v="2"/>
    <n v="12"/>
    <n v="527"/>
    <x v="1"/>
    <s v="Retail"/>
    <n v="0"/>
    <x v="2"/>
    <x v="2"/>
    <n v="0"/>
    <x v="535"/>
    <s v="Cust 8949"/>
    <n v="29.75"/>
    <x v="50"/>
    <d v="2025-01-25T00:00:00"/>
    <s v="Ryan"/>
    <n v="6324"/>
  </r>
  <r>
    <d v="2024-09-22T00:00:00"/>
    <x v="0"/>
    <x v="3"/>
    <n v="18"/>
    <n v="575"/>
    <x v="3"/>
    <s v="Wholesale"/>
    <n v="0"/>
    <x v="5"/>
    <x v="0"/>
    <n v="0"/>
    <x v="536"/>
    <s v="Cust 9748"/>
    <n v="35.32"/>
    <x v="309"/>
    <d v="2024-09-29T00:00:00"/>
    <s v="Eric"/>
    <n v="10350"/>
  </r>
  <r>
    <d v="2023-01-20T00:00:00"/>
    <x v="0"/>
    <x v="4"/>
    <n v="8"/>
    <n v="326"/>
    <x v="2"/>
    <s v="Retail"/>
    <n v="0.1"/>
    <x v="2"/>
    <x v="3"/>
    <n v="0"/>
    <x v="537"/>
    <s v="Cust 1220"/>
    <n v="45.59"/>
    <x v="411"/>
    <d v="2023-01-25T00:00:00"/>
    <s v="Eric"/>
    <n v="2347"/>
  </r>
  <r>
    <d v="2024-01-12T00:00:00"/>
    <x v="2"/>
    <x v="4"/>
    <n v="14"/>
    <n v="157"/>
    <x v="1"/>
    <s v="Wholesale"/>
    <n v="0.15"/>
    <x v="4"/>
    <x v="1"/>
    <n v="0"/>
    <x v="538"/>
    <s v="Cust 5645"/>
    <n v="36.04"/>
    <x v="412"/>
    <d v="2024-01-22T00:00:00"/>
    <s v="Ryan"/>
    <n v="1868"/>
  </r>
  <r>
    <d v="2024-04-08T00:00:00"/>
    <x v="3"/>
    <x v="0"/>
    <n v="10"/>
    <n v="100"/>
    <x v="3"/>
    <s v="Wholesale"/>
    <n v="0.05"/>
    <x v="3"/>
    <x v="1"/>
    <n v="0"/>
    <x v="539"/>
    <s v="Cust 6577"/>
    <n v="36.71"/>
    <x v="413"/>
    <d v="2024-04-15T00:00:00"/>
    <s v="Cameron"/>
    <n v="950"/>
  </r>
  <r>
    <d v="2023-04-27T00:00:00"/>
    <x v="3"/>
    <x v="0"/>
    <n v="9"/>
    <n v="554"/>
    <x v="2"/>
    <s v="Wholesale"/>
    <n v="0"/>
    <x v="3"/>
    <x v="0"/>
    <n v="0"/>
    <x v="540"/>
    <s v="Cust 9506"/>
    <n v="48.26"/>
    <x v="178"/>
    <d v="2023-05-01T00:00:00"/>
    <s v="Cameron"/>
    <n v="4986"/>
  </r>
  <r>
    <d v="2024-07-17T00:00:00"/>
    <x v="2"/>
    <x v="1"/>
    <n v="4"/>
    <n v="376"/>
    <x v="2"/>
    <s v="Retail"/>
    <n v="0.15"/>
    <x v="3"/>
    <x v="3"/>
    <n v="0"/>
    <x v="541"/>
    <s v="Cust 9302"/>
    <n v="44.99"/>
    <x v="414"/>
    <d v="2024-07-25T00:00:00"/>
    <s v="Ryan"/>
    <n v="1278"/>
  </r>
  <r>
    <d v="2024-02-17T00:00:00"/>
    <x v="3"/>
    <x v="4"/>
    <n v="14"/>
    <n v="485"/>
    <x v="1"/>
    <s v="Retail"/>
    <n v="0"/>
    <x v="2"/>
    <x v="0"/>
    <n v="0"/>
    <x v="542"/>
    <s v="Cust 3030"/>
    <n v="41.72"/>
    <x v="415"/>
    <d v="2024-02-23T00:00:00"/>
    <s v="Cameron"/>
    <n v="6790"/>
  </r>
  <r>
    <d v="2024-01-25T00:00:00"/>
    <x v="1"/>
    <x v="4"/>
    <n v="9"/>
    <n v="372"/>
    <x v="1"/>
    <s v="Wholesale"/>
    <n v="0.05"/>
    <x v="4"/>
    <x v="1"/>
    <n v="0"/>
    <x v="543"/>
    <s v="Cust 5896"/>
    <n v="41.87"/>
    <x v="109"/>
    <d v="2024-02-02T00:00:00"/>
    <s v="Sophie"/>
    <n v="3181"/>
  </r>
  <r>
    <d v="2024-03-24T00:00:00"/>
    <x v="3"/>
    <x v="0"/>
    <n v="7"/>
    <n v="141"/>
    <x v="3"/>
    <s v="Retail"/>
    <n v="0"/>
    <x v="2"/>
    <x v="3"/>
    <n v="1"/>
    <x v="544"/>
    <s v="Cust 3763"/>
    <n v="24.53"/>
    <x v="214"/>
    <d v="2024-04-02T00:00:00"/>
    <s v="Cameron"/>
    <n v="987"/>
  </r>
  <r>
    <d v="2023-06-25T00:00:00"/>
    <x v="2"/>
    <x v="2"/>
    <n v="15"/>
    <n v="366"/>
    <x v="3"/>
    <s v="Retail"/>
    <n v="0.15"/>
    <x v="5"/>
    <x v="4"/>
    <n v="0"/>
    <x v="545"/>
    <s v="Cust 9510"/>
    <n v="35.840000000000003"/>
    <x v="416"/>
    <d v="2023-06-27T00:00:00"/>
    <s v="Ryan"/>
    <n v="4666"/>
  </r>
  <r>
    <d v="2023-04-17T00:00:00"/>
    <x v="1"/>
    <x v="0"/>
    <n v="20"/>
    <n v="354"/>
    <x v="0"/>
    <s v="Wholesale"/>
    <n v="0.15"/>
    <x v="2"/>
    <x v="4"/>
    <n v="1"/>
    <x v="546"/>
    <s v="Cust 7637"/>
    <n v="22.05"/>
    <x v="417"/>
    <d v="2023-04-20T00:00:00"/>
    <s v="Sophie"/>
    <n v="6018"/>
  </r>
  <r>
    <d v="2023-06-28T00:00:00"/>
    <x v="0"/>
    <x v="3"/>
    <n v="14"/>
    <n v="293"/>
    <x v="3"/>
    <s v="Wholesale"/>
    <n v="0"/>
    <x v="1"/>
    <x v="1"/>
    <n v="0"/>
    <x v="547"/>
    <s v="Cust 8382"/>
    <n v="21.61"/>
    <x v="418"/>
    <d v="2023-06-30T00:00:00"/>
    <s v="Eric"/>
    <n v="4102"/>
  </r>
  <r>
    <d v="2024-04-06T00:00:00"/>
    <x v="3"/>
    <x v="3"/>
    <n v="10"/>
    <n v="397"/>
    <x v="3"/>
    <s v="Retail"/>
    <n v="0.15"/>
    <x v="1"/>
    <x v="1"/>
    <n v="0"/>
    <x v="548"/>
    <s v="Cust 4015"/>
    <n v="25.27"/>
    <x v="419"/>
    <d v="2024-04-16T00:00:00"/>
    <s v="Cameron"/>
    <n v="3374"/>
  </r>
  <r>
    <d v="2025-02-17T00:00:00"/>
    <x v="1"/>
    <x v="3"/>
    <n v="2"/>
    <n v="98"/>
    <x v="2"/>
    <s v="Retail"/>
    <n v="0"/>
    <x v="0"/>
    <x v="3"/>
    <n v="0"/>
    <x v="549"/>
    <s v="Cust 5172"/>
    <n v="28.65"/>
    <x v="130"/>
    <d v="2025-02-19T00:00:00"/>
    <s v="Sophie"/>
    <n v="196"/>
  </r>
  <r>
    <d v="2023-01-08T00:00:00"/>
    <x v="1"/>
    <x v="2"/>
    <n v="6"/>
    <n v="582"/>
    <x v="1"/>
    <s v="Wholesale"/>
    <n v="0"/>
    <x v="2"/>
    <x v="3"/>
    <n v="0"/>
    <x v="550"/>
    <s v="Cust 7584"/>
    <n v="39.4"/>
    <x v="420"/>
    <d v="2023-01-11T00:00:00"/>
    <s v="Sophie"/>
    <n v="3492"/>
  </r>
  <r>
    <d v="2023-12-21T00:00:00"/>
    <x v="1"/>
    <x v="1"/>
    <n v="19"/>
    <n v="30"/>
    <x v="3"/>
    <s v="Retail"/>
    <n v="0.05"/>
    <x v="2"/>
    <x v="3"/>
    <n v="0"/>
    <x v="551"/>
    <s v="Cust 6809"/>
    <n v="48.33"/>
    <x v="146"/>
    <d v="2023-12-31T00:00:00"/>
    <s v="Sophie"/>
    <n v="542"/>
  </r>
  <r>
    <d v="2024-07-13T00:00:00"/>
    <x v="2"/>
    <x v="4"/>
    <n v="15"/>
    <n v="369"/>
    <x v="2"/>
    <s v="Wholesale"/>
    <n v="0.1"/>
    <x v="5"/>
    <x v="1"/>
    <n v="0"/>
    <x v="552"/>
    <s v="Cust 7540"/>
    <n v="16.899999999999999"/>
    <x v="421"/>
    <d v="2024-07-15T00:00:00"/>
    <s v="Ryan"/>
    <n v="4982"/>
  </r>
  <r>
    <d v="2024-03-23T00:00:00"/>
    <x v="4"/>
    <x v="4"/>
    <n v="4"/>
    <n v="56"/>
    <x v="3"/>
    <s v="Retail"/>
    <n v="0.15"/>
    <x v="3"/>
    <x v="4"/>
    <n v="0"/>
    <x v="553"/>
    <s v="Cust 6888"/>
    <n v="10.77"/>
    <x v="105"/>
    <d v="2024-04-01T00:00:00"/>
    <s v="Wendy"/>
    <n v="190"/>
  </r>
  <r>
    <d v="2024-03-19T00:00:00"/>
    <x v="4"/>
    <x v="3"/>
    <n v="7"/>
    <n v="16"/>
    <x v="3"/>
    <s v="Wholesale"/>
    <n v="0"/>
    <x v="3"/>
    <x v="3"/>
    <n v="0"/>
    <x v="554"/>
    <s v="Cust 3304"/>
    <n v="13.28"/>
    <x v="422"/>
    <d v="2024-03-25T00:00:00"/>
    <s v="Wendy"/>
    <n v="112"/>
  </r>
  <r>
    <d v="2025-05-20T00:00:00"/>
    <x v="3"/>
    <x v="5"/>
    <n v="9"/>
    <n v="381"/>
    <x v="0"/>
    <s v="Wholesale"/>
    <n v="0"/>
    <x v="3"/>
    <x v="4"/>
    <n v="0"/>
    <x v="555"/>
    <s v="Cust 4196"/>
    <n v="33.4"/>
    <x v="355"/>
    <d v="2025-05-29T00:00:00"/>
    <s v="Cameron"/>
    <n v="3429"/>
  </r>
  <r>
    <d v="2025-01-19T00:00:00"/>
    <x v="1"/>
    <x v="3"/>
    <n v="11"/>
    <n v="587"/>
    <x v="2"/>
    <s v="Wholesale"/>
    <n v="0"/>
    <x v="3"/>
    <x v="3"/>
    <n v="0"/>
    <x v="556"/>
    <s v="Cust 6596"/>
    <n v="34.32"/>
    <x v="423"/>
    <d v="2025-01-26T00:00:00"/>
    <s v="Sophie"/>
    <n v="6457"/>
  </r>
  <r>
    <d v="2023-05-28T00:00:00"/>
    <x v="1"/>
    <x v="6"/>
    <n v="17"/>
    <n v="554"/>
    <x v="1"/>
    <s v="Wholesale"/>
    <n v="0.1"/>
    <x v="4"/>
    <x v="3"/>
    <n v="0"/>
    <x v="557"/>
    <s v="Cust 5588"/>
    <n v="8.66"/>
    <x v="424"/>
    <d v="2023-06-01T00:00:00"/>
    <s v="Sophie"/>
    <n v="8476"/>
  </r>
  <r>
    <d v="2023-10-28T00:00:00"/>
    <x v="0"/>
    <x v="6"/>
    <n v="3"/>
    <n v="410"/>
    <x v="1"/>
    <s v="Wholesale"/>
    <n v="0.15"/>
    <x v="4"/>
    <x v="2"/>
    <n v="0"/>
    <x v="558"/>
    <s v="Cust 1518"/>
    <n v="6.04"/>
    <x v="301"/>
    <d v="2023-11-03T00:00:00"/>
    <s v="Eric"/>
    <n v="1046"/>
  </r>
  <r>
    <d v="2023-11-25T00:00:00"/>
    <x v="4"/>
    <x v="4"/>
    <n v="5"/>
    <n v="99"/>
    <x v="0"/>
    <s v="Retail"/>
    <n v="0"/>
    <x v="0"/>
    <x v="3"/>
    <n v="0"/>
    <x v="559"/>
    <s v="Cust 2819"/>
    <n v="37.659999999999997"/>
    <x v="425"/>
    <d v="2023-12-02T00:00:00"/>
    <s v="Wendy"/>
    <n v="495"/>
  </r>
  <r>
    <d v="2024-11-17T00:00:00"/>
    <x v="1"/>
    <x v="4"/>
    <n v="9"/>
    <n v="503"/>
    <x v="0"/>
    <s v="Wholesale"/>
    <n v="0"/>
    <x v="4"/>
    <x v="1"/>
    <n v="1"/>
    <x v="560"/>
    <s v="Cust 1947"/>
    <n v="46.02"/>
    <x v="426"/>
    <d v="2024-11-24T00:00:00"/>
    <s v="Sophie"/>
    <n v="4527"/>
  </r>
  <r>
    <d v="2024-01-24T00:00:00"/>
    <x v="3"/>
    <x v="4"/>
    <n v="17"/>
    <n v="155"/>
    <x v="2"/>
    <s v="Retail"/>
    <n v="0.15"/>
    <x v="5"/>
    <x v="2"/>
    <n v="0"/>
    <x v="561"/>
    <s v="Cust 7332"/>
    <n v="27.1"/>
    <x v="113"/>
    <d v="2024-01-29T00:00:00"/>
    <s v="Cameron"/>
    <n v="2240"/>
  </r>
  <r>
    <d v="2023-06-19T00:00:00"/>
    <x v="2"/>
    <x v="3"/>
    <n v="7"/>
    <n v="304"/>
    <x v="3"/>
    <s v="Wholesale"/>
    <n v="0.15"/>
    <x v="2"/>
    <x v="2"/>
    <n v="0"/>
    <x v="562"/>
    <s v="Cust 7314"/>
    <n v="38.85"/>
    <x v="182"/>
    <d v="2023-06-29T00:00:00"/>
    <s v="Ryan"/>
    <n v="1809"/>
  </r>
  <r>
    <d v="2025-01-13T00:00:00"/>
    <x v="0"/>
    <x v="1"/>
    <n v="17"/>
    <n v="264"/>
    <x v="0"/>
    <s v="Retail"/>
    <n v="0"/>
    <x v="1"/>
    <x v="0"/>
    <n v="1"/>
    <x v="563"/>
    <s v="Cust 5296"/>
    <n v="12.97"/>
    <x v="427"/>
    <d v="2025-01-18T00:00:00"/>
    <s v="Eric"/>
    <n v="4488"/>
  </r>
  <r>
    <d v="2024-01-24T00:00:00"/>
    <x v="0"/>
    <x v="1"/>
    <n v="4"/>
    <n v="180"/>
    <x v="3"/>
    <s v="Retail"/>
    <n v="0.1"/>
    <x v="4"/>
    <x v="0"/>
    <n v="0"/>
    <x v="564"/>
    <s v="Cust 2964"/>
    <n v="35.26"/>
    <x v="113"/>
    <d v="2024-02-01T00:00:00"/>
    <s v="Eric"/>
    <n v="648"/>
  </r>
  <r>
    <d v="2025-01-06T00:00:00"/>
    <x v="1"/>
    <x v="6"/>
    <n v="2"/>
    <n v="264"/>
    <x v="3"/>
    <s v="Retail"/>
    <n v="0"/>
    <x v="5"/>
    <x v="1"/>
    <n v="0"/>
    <x v="565"/>
    <s v="Cust 5381"/>
    <n v="26.73"/>
    <x v="428"/>
    <d v="2025-01-14T00:00:00"/>
    <s v="Sophie"/>
    <n v="528"/>
  </r>
  <r>
    <d v="2025-01-02T00:00:00"/>
    <x v="3"/>
    <x v="0"/>
    <n v="4"/>
    <n v="404"/>
    <x v="1"/>
    <s v="Wholesale"/>
    <n v="0.05"/>
    <x v="1"/>
    <x v="4"/>
    <n v="0"/>
    <x v="566"/>
    <s v="Cust 5436"/>
    <n v="39.92"/>
    <x v="368"/>
    <d v="2025-01-09T00:00:00"/>
    <s v="Cameron"/>
    <n v="1535"/>
  </r>
  <r>
    <d v="2023-02-22T00:00:00"/>
    <x v="2"/>
    <x v="2"/>
    <n v="4"/>
    <n v="86"/>
    <x v="1"/>
    <s v="Retail"/>
    <n v="0.1"/>
    <x v="2"/>
    <x v="2"/>
    <n v="0"/>
    <x v="567"/>
    <s v="Cust 1494"/>
    <n v="32.119999999999997"/>
    <x v="429"/>
    <d v="2023-03-03T00:00:00"/>
    <s v="Ryan"/>
    <n v="310"/>
  </r>
  <r>
    <d v="2025-02-06T00:00:00"/>
    <x v="0"/>
    <x v="2"/>
    <n v="2"/>
    <n v="93"/>
    <x v="1"/>
    <s v="Wholesale"/>
    <n v="0.1"/>
    <x v="1"/>
    <x v="3"/>
    <n v="0"/>
    <x v="568"/>
    <s v="Cust 4380"/>
    <n v="26.31"/>
    <x v="323"/>
    <d v="2025-02-16T00:00:00"/>
    <s v="Eric"/>
    <n v="167"/>
  </r>
  <r>
    <d v="2024-09-26T00:00:00"/>
    <x v="0"/>
    <x v="2"/>
    <n v="11"/>
    <n v="144"/>
    <x v="0"/>
    <s v="Retail"/>
    <n v="0.05"/>
    <x v="5"/>
    <x v="2"/>
    <n v="0"/>
    <x v="569"/>
    <s v="Cust 7054"/>
    <n v="11.91"/>
    <x v="217"/>
    <d v="2024-09-30T00:00:00"/>
    <s v="Eric"/>
    <n v="1505"/>
  </r>
  <r>
    <d v="2025-03-28T00:00:00"/>
    <x v="2"/>
    <x v="3"/>
    <n v="18"/>
    <n v="553"/>
    <x v="3"/>
    <s v="Wholesale"/>
    <n v="0"/>
    <x v="2"/>
    <x v="4"/>
    <n v="0"/>
    <x v="570"/>
    <s v="Cust 1375"/>
    <n v="31.76"/>
    <x v="136"/>
    <d v="2025-04-01T00:00:00"/>
    <s v="Ryan"/>
    <n v="9954"/>
  </r>
  <r>
    <d v="2023-07-01T00:00:00"/>
    <x v="0"/>
    <x v="3"/>
    <n v="9"/>
    <n v="228"/>
    <x v="0"/>
    <s v="Retail"/>
    <n v="0.05"/>
    <x v="0"/>
    <x v="3"/>
    <n v="0"/>
    <x v="571"/>
    <s v="Cust 5698"/>
    <n v="8.75"/>
    <x v="430"/>
    <d v="2023-07-09T00:00:00"/>
    <s v="Eric"/>
    <n v="1949"/>
  </r>
  <r>
    <d v="2023-04-29T00:00:00"/>
    <x v="4"/>
    <x v="2"/>
    <n v="7"/>
    <n v="236"/>
    <x v="3"/>
    <s v="Wholesale"/>
    <n v="0.1"/>
    <x v="1"/>
    <x v="1"/>
    <n v="0"/>
    <x v="572"/>
    <s v="Cust 3259"/>
    <n v="8.44"/>
    <x v="431"/>
    <d v="2023-05-04T00:00:00"/>
    <s v="Wendy"/>
    <n v="1487"/>
  </r>
  <r>
    <d v="2023-04-30T00:00:00"/>
    <x v="0"/>
    <x v="6"/>
    <n v="17"/>
    <n v="370"/>
    <x v="2"/>
    <s v="Wholesale"/>
    <n v="0"/>
    <x v="3"/>
    <x v="1"/>
    <n v="0"/>
    <x v="573"/>
    <s v="Cust 9295"/>
    <n v="17.12"/>
    <x v="432"/>
    <d v="2023-05-06T00:00:00"/>
    <s v="Eric"/>
    <n v="6290"/>
  </r>
  <r>
    <d v="2024-03-14T00:00:00"/>
    <x v="4"/>
    <x v="1"/>
    <n v="8"/>
    <n v="142"/>
    <x v="1"/>
    <s v="Wholesale"/>
    <n v="0"/>
    <x v="0"/>
    <x v="2"/>
    <n v="0"/>
    <x v="574"/>
    <s v="Cust 7035"/>
    <n v="38.97"/>
    <x v="47"/>
    <d v="2024-03-20T00:00:00"/>
    <s v="Wendy"/>
    <n v="1136"/>
  </r>
  <r>
    <d v="2023-06-27T00:00:00"/>
    <x v="3"/>
    <x v="3"/>
    <n v="3"/>
    <n v="498"/>
    <x v="0"/>
    <s v="Wholesale"/>
    <n v="0.15"/>
    <x v="1"/>
    <x v="4"/>
    <n v="1"/>
    <x v="575"/>
    <s v="Cust 9049"/>
    <n v="13.97"/>
    <x v="161"/>
    <d v="2023-07-02T00:00:00"/>
    <s v="Cameron"/>
    <n v="1270"/>
  </r>
  <r>
    <d v="2024-04-10T00:00:00"/>
    <x v="2"/>
    <x v="0"/>
    <n v="19"/>
    <n v="9"/>
    <x v="1"/>
    <s v="Wholesale"/>
    <n v="0"/>
    <x v="3"/>
    <x v="0"/>
    <n v="0"/>
    <x v="576"/>
    <s v="Cust 6173"/>
    <n v="22.33"/>
    <x v="10"/>
    <d v="2024-04-12T00:00:00"/>
    <s v="Ryan"/>
    <n v="171"/>
  </r>
  <r>
    <d v="2023-08-30T00:00:00"/>
    <x v="3"/>
    <x v="6"/>
    <n v="8"/>
    <n v="55"/>
    <x v="1"/>
    <s v="Wholesale"/>
    <n v="0.15"/>
    <x v="5"/>
    <x v="4"/>
    <n v="0"/>
    <x v="577"/>
    <s v="Cust 3447"/>
    <n v="16.84"/>
    <x v="286"/>
    <d v="2023-09-01T00:00:00"/>
    <s v="Cameron"/>
    <n v="374"/>
  </r>
  <r>
    <d v="2023-10-23T00:00:00"/>
    <x v="4"/>
    <x v="0"/>
    <n v="17"/>
    <n v="26"/>
    <x v="0"/>
    <s v="Wholesale"/>
    <n v="0.05"/>
    <x v="5"/>
    <x v="1"/>
    <n v="0"/>
    <x v="578"/>
    <s v="Cust 2218"/>
    <n v="27.68"/>
    <x v="25"/>
    <d v="2023-10-30T00:00:00"/>
    <s v="Wendy"/>
    <n v="420"/>
  </r>
  <r>
    <d v="2023-03-23T00:00:00"/>
    <x v="2"/>
    <x v="2"/>
    <n v="18"/>
    <n v="210"/>
    <x v="1"/>
    <s v="Wholesale"/>
    <n v="0.1"/>
    <x v="3"/>
    <x v="3"/>
    <n v="0"/>
    <x v="579"/>
    <s v="Cust 8882"/>
    <n v="42.04"/>
    <x v="433"/>
    <d v="2023-03-30T00:00:00"/>
    <s v="Ryan"/>
    <n v="3402"/>
  </r>
  <r>
    <d v="2024-09-21T00:00:00"/>
    <x v="3"/>
    <x v="0"/>
    <n v="13"/>
    <n v="76"/>
    <x v="0"/>
    <s v="Wholesale"/>
    <n v="0.15"/>
    <x v="2"/>
    <x v="3"/>
    <n v="0"/>
    <x v="580"/>
    <s v="Cust 6709"/>
    <n v="41.94"/>
    <x v="367"/>
    <d v="2024-09-30T00:00:00"/>
    <s v="Cameron"/>
    <n v="840"/>
  </r>
  <r>
    <d v="2024-12-26T00:00:00"/>
    <x v="4"/>
    <x v="5"/>
    <n v="5"/>
    <n v="308"/>
    <x v="0"/>
    <s v="Wholesale"/>
    <n v="0.1"/>
    <x v="5"/>
    <x v="0"/>
    <n v="0"/>
    <x v="581"/>
    <s v="Cust 8727"/>
    <n v="13.61"/>
    <x v="215"/>
    <d v="2025-01-03T00:00:00"/>
    <s v="Wendy"/>
    <n v="1386"/>
  </r>
  <r>
    <d v="2023-02-26T00:00:00"/>
    <x v="0"/>
    <x v="1"/>
    <n v="13"/>
    <n v="6"/>
    <x v="1"/>
    <s v="Wholesale"/>
    <n v="0"/>
    <x v="4"/>
    <x v="4"/>
    <n v="0"/>
    <x v="582"/>
    <s v="Cust 8359"/>
    <n v="20.02"/>
    <x v="16"/>
    <d v="2023-03-03T00:00:00"/>
    <s v="Eric"/>
    <n v="78"/>
  </r>
  <r>
    <d v="2024-12-10T00:00:00"/>
    <x v="2"/>
    <x v="4"/>
    <n v="8"/>
    <n v="71"/>
    <x v="0"/>
    <s v="Wholesale"/>
    <n v="0"/>
    <x v="4"/>
    <x v="0"/>
    <n v="0"/>
    <x v="583"/>
    <s v="Cust 1514"/>
    <n v="46.35"/>
    <x v="434"/>
    <d v="2024-12-14T00:00:00"/>
    <s v="Ryan"/>
    <n v="568"/>
  </r>
  <r>
    <d v="2025-01-01T00:00:00"/>
    <x v="0"/>
    <x v="0"/>
    <n v="17"/>
    <n v="585"/>
    <x v="3"/>
    <s v="Retail"/>
    <n v="0.1"/>
    <x v="0"/>
    <x v="0"/>
    <n v="1"/>
    <x v="584"/>
    <s v="Cust 2774"/>
    <n v="46.59"/>
    <x v="435"/>
    <d v="2025-01-03T00:00:00"/>
    <s v="Eric"/>
    <n v="8950"/>
  </r>
  <r>
    <d v="2025-03-14T00:00:00"/>
    <x v="0"/>
    <x v="1"/>
    <n v="4"/>
    <n v="23"/>
    <x v="2"/>
    <s v="Wholesale"/>
    <n v="0.15"/>
    <x v="4"/>
    <x v="0"/>
    <n v="0"/>
    <x v="585"/>
    <s v="Cust 4270"/>
    <n v="32.86"/>
    <x v="95"/>
    <d v="2025-03-21T00:00:00"/>
    <s v="Eric"/>
    <n v="78"/>
  </r>
  <r>
    <d v="2024-01-16T00:00:00"/>
    <x v="1"/>
    <x v="5"/>
    <n v="5"/>
    <n v="441"/>
    <x v="0"/>
    <s v="Wholesale"/>
    <n v="0.1"/>
    <x v="3"/>
    <x v="1"/>
    <n v="0"/>
    <x v="586"/>
    <s v="Cust 3123"/>
    <n v="23.84"/>
    <x v="436"/>
    <d v="2024-01-20T00:00:00"/>
    <s v="Sophie"/>
    <n v="1984"/>
  </r>
  <r>
    <d v="2024-04-19T00:00:00"/>
    <x v="4"/>
    <x v="5"/>
    <n v="10"/>
    <n v="278"/>
    <x v="3"/>
    <s v="Wholesale"/>
    <n v="0"/>
    <x v="0"/>
    <x v="2"/>
    <n v="0"/>
    <x v="587"/>
    <s v="Cust 7414"/>
    <n v="11.13"/>
    <x v="53"/>
    <d v="2024-04-25T00:00:00"/>
    <s v="Wendy"/>
    <n v="2780"/>
  </r>
  <r>
    <d v="2023-12-08T00:00:00"/>
    <x v="2"/>
    <x v="4"/>
    <n v="14"/>
    <n v="382"/>
    <x v="0"/>
    <s v="Wholesale"/>
    <n v="0.05"/>
    <x v="2"/>
    <x v="4"/>
    <n v="1"/>
    <x v="588"/>
    <s v="Cust 5051"/>
    <n v="49.12"/>
    <x v="437"/>
    <d v="2023-12-11T00:00:00"/>
    <s v="Ryan"/>
    <n v="5081"/>
  </r>
  <r>
    <d v="2023-03-15T00:00:00"/>
    <x v="2"/>
    <x v="4"/>
    <n v="14"/>
    <n v="232"/>
    <x v="3"/>
    <s v="Wholesale"/>
    <n v="0.05"/>
    <x v="4"/>
    <x v="0"/>
    <n v="1"/>
    <x v="589"/>
    <s v="Cust 5975"/>
    <n v="5.32"/>
    <x v="438"/>
    <d v="2023-03-19T00:00:00"/>
    <s v="Ryan"/>
    <n v="3086"/>
  </r>
  <r>
    <d v="2025-02-07T00:00:00"/>
    <x v="1"/>
    <x v="0"/>
    <n v="17"/>
    <n v="15"/>
    <x v="3"/>
    <s v="Wholesale"/>
    <n v="0.15"/>
    <x v="4"/>
    <x v="3"/>
    <n v="1"/>
    <x v="590"/>
    <s v="Cust 6948"/>
    <n v="22"/>
    <x v="439"/>
    <d v="2025-02-13T00:00:00"/>
    <s v="Sophie"/>
    <n v="217"/>
  </r>
  <r>
    <d v="2025-06-27T00:00:00"/>
    <x v="2"/>
    <x v="4"/>
    <n v="11"/>
    <n v="29"/>
    <x v="3"/>
    <s v="Retail"/>
    <n v="0.05"/>
    <x v="3"/>
    <x v="2"/>
    <n v="0"/>
    <x v="591"/>
    <s v="Cust 8253"/>
    <n v="6.16"/>
    <x v="440"/>
    <d v="2025-07-02T00:00:00"/>
    <s v="Ryan"/>
    <n v="303"/>
  </r>
  <r>
    <d v="2024-12-17T00:00:00"/>
    <x v="3"/>
    <x v="5"/>
    <n v="1"/>
    <n v="486"/>
    <x v="0"/>
    <s v="Retail"/>
    <n v="0.05"/>
    <x v="2"/>
    <x v="0"/>
    <n v="0"/>
    <x v="592"/>
    <s v="Cust 7238"/>
    <n v="41.73"/>
    <x v="441"/>
    <d v="2024-12-20T00:00:00"/>
    <s v="Cameron"/>
    <n v="462"/>
  </r>
  <r>
    <d v="2024-05-03T00:00:00"/>
    <x v="1"/>
    <x v="0"/>
    <n v="6"/>
    <n v="267"/>
    <x v="0"/>
    <s v="Wholesale"/>
    <n v="0.05"/>
    <x v="0"/>
    <x v="3"/>
    <n v="0"/>
    <x v="593"/>
    <s v="Cust 2219"/>
    <n v="48.49"/>
    <x v="80"/>
    <d v="2024-05-11T00:00:00"/>
    <s v="Sophie"/>
    <n v="1522"/>
  </r>
  <r>
    <d v="2023-12-26T00:00:00"/>
    <x v="1"/>
    <x v="6"/>
    <n v="3"/>
    <n v="301"/>
    <x v="0"/>
    <s v="Wholesale"/>
    <n v="0.1"/>
    <x v="3"/>
    <x v="4"/>
    <n v="1"/>
    <x v="594"/>
    <s v="Cust 4297"/>
    <n v="15.98"/>
    <x v="442"/>
    <d v="2024-01-01T00:00:00"/>
    <s v="Sophie"/>
    <n v="813"/>
  </r>
  <r>
    <d v="2024-05-13T00:00:00"/>
    <x v="3"/>
    <x v="6"/>
    <n v="11"/>
    <n v="80"/>
    <x v="0"/>
    <s v="Wholesale"/>
    <n v="0.05"/>
    <x v="2"/>
    <x v="0"/>
    <n v="0"/>
    <x v="595"/>
    <s v="Cust 6665"/>
    <n v="43.84"/>
    <x v="443"/>
    <d v="2024-05-19T00:00:00"/>
    <s v="Cameron"/>
    <n v="836"/>
  </r>
  <r>
    <d v="2023-10-07T00:00:00"/>
    <x v="1"/>
    <x v="0"/>
    <n v="6"/>
    <n v="506"/>
    <x v="2"/>
    <s v="Retail"/>
    <n v="0"/>
    <x v="1"/>
    <x v="4"/>
    <n v="0"/>
    <x v="596"/>
    <s v="Cust 4252"/>
    <n v="40.380000000000003"/>
    <x v="444"/>
    <d v="2023-10-16T00:00:00"/>
    <s v="Sophie"/>
    <n v="3036"/>
  </r>
  <r>
    <d v="2023-07-11T00:00:00"/>
    <x v="4"/>
    <x v="6"/>
    <n v="5"/>
    <n v="570"/>
    <x v="2"/>
    <s v="Wholesale"/>
    <n v="0"/>
    <x v="4"/>
    <x v="3"/>
    <n v="0"/>
    <x v="597"/>
    <s v="Cust 6104"/>
    <n v="48.8"/>
    <x v="445"/>
    <d v="2023-07-13T00:00:00"/>
    <s v="Wendy"/>
    <n v="2850"/>
  </r>
  <r>
    <d v="2025-01-31T00:00:00"/>
    <x v="1"/>
    <x v="5"/>
    <n v="19"/>
    <n v="91"/>
    <x v="2"/>
    <s v="Retail"/>
    <n v="0.05"/>
    <x v="1"/>
    <x v="2"/>
    <n v="0"/>
    <x v="598"/>
    <s v="Cust 6407"/>
    <n v="22.28"/>
    <x v="94"/>
    <d v="2025-02-06T00:00:00"/>
    <s v="Sophie"/>
    <n v="1643"/>
  </r>
  <r>
    <d v="2023-02-04T00:00:00"/>
    <x v="1"/>
    <x v="3"/>
    <n v="2"/>
    <n v="297"/>
    <x v="1"/>
    <s v="Wholesale"/>
    <n v="0.05"/>
    <x v="3"/>
    <x v="3"/>
    <n v="0"/>
    <x v="599"/>
    <s v="Cust 3573"/>
    <n v="44.35"/>
    <x v="446"/>
    <d v="2023-02-07T00:00:00"/>
    <s v="Sophie"/>
    <n v="564"/>
  </r>
  <r>
    <d v="2023-09-02T00:00:00"/>
    <x v="1"/>
    <x v="6"/>
    <n v="2"/>
    <n v="6"/>
    <x v="0"/>
    <s v="Retail"/>
    <n v="0.1"/>
    <x v="2"/>
    <x v="2"/>
    <n v="1"/>
    <x v="600"/>
    <s v="Cust 5280"/>
    <n v="47.24"/>
    <x v="447"/>
    <d v="2023-09-12T00:00:00"/>
    <s v="Sophie"/>
    <n v="11"/>
  </r>
  <r>
    <d v="2024-12-13T00:00:00"/>
    <x v="3"/>
    <x v="4"/>
    <n v="18"/>
    <n v="207"/>
    <x v="3"/>
    <s v="Wholesale"/>
    <n v="0.15"/>
    <x v="1"/>
    <x v="3"/>
    <n v="0"/>
    <x v="601"/>
    <s v="Cust 2365"/>
    <n v="11.17"/>
    <x v="167"/>
    <d v="2024-12-15T00:00:00"/>
    <s v="Cameron"/>
    <n v="3167"/>
  </r>
  <r>
    <d v="2023-10-13T00:00:00"/>
    <x v="3"/>
    <x v="5"/>
    <n v="5"/>
    <n v="75"/>
    <x v="1"/>
    <s v="Wholesale"/>
    <n v="0"/>
    <x v="3"/>
    <x v="4"/>
    <n v="0"/>
    <x v="602"/>
    <s v="Cust 7130"/>
    <n v="31.61"/>
    <x v="448"/>
    <d v="2023-10-22T00:00:00"/>
    <s v="Cameron"/>
    <n v="375"/>
  </r>
  <r>
    <d v="2024-10-03T00:00:00"/>
    <x v="1"/>
    <x v="4"/>
    <n v="3"/>
    <n v="136"/>
    <x v="1"/>
    <s v="Retail"/>
    <n v="0.1"/>
    <x v="4"/>
    <x v="1"/>
    <n v="0"/>
    <x v="603"/>
    <s v="Cust 6539"/>
    <n v="48.38"/>
    <x v="449"/>
    <d v="2024-10-07T00:00:00"/>
    <s v="Sophie"/>
    <n v="367"/>
  </r>
  <r>
    <d v="2024-04-28T00:00:00"/>
    <x v="3"/>
    <x v="2"/>
    <n v="5"/>
    <n v="545"/>
    <x v="0"/>
    <s v="Retail"/>
    <n v="0.1"/>
    <x v="4"/>
    <x v="0"/>
    <n v="0"/>
    <x v="604"/>
    <s v="Cust 1656"/>
    <n v="8.39"/>
    <x v="450"/>
    <d v="2024-05-04T00:00:00"/>
    <s v="Cameron"/>
    <n v="2452"/>
  </r>
  <r>
    <d v="2024-02-07T00:00:00"/>
    <x v="3"/>
    <x v="2"/>
    <n v="8"/>
    <n v="562"/>
    <x v="1"/>
    <s v="Retail"/>
    <n v="0.15"/>
    <x v="5"/>
    <x v="0"/>
    <n v="1"/>
    <x v="605"/>
    <s v="Cust 1932"/>
    <n v="15.97"/>
    <x v="451"/>
    <d v="2024-02-14T00:00:00"/>
    <s v="Cameron"/>
    <n v="3822"/>
  </r>
  <r>
    <d v="2023-02-08T00:00:00"/>
    <x v="1"/>
    <x v="3"/>
    <n v="20"/>
    <n v="313"/>
    <x v="2"/>
    <s v="Retail"/>
    <n v="0.15"/>
    <x v="1"/>
    <x v="0"/>
    <n v="0"/>
    <x v="606"/>
    <s v="Cust 7367"/>
    <n v="18.170000000000002"/>
    <x v="162"/>
    <d v="2023-02-11T00:00:00"/>
    <s v="Sophie"/>
    <n v="5321"/>
  </r>
  <r>
    <d v="2023-06-17T00:00:00"/>
    <x v="1"/>
    <x v="1"/>
    <n v="1"/>
    <n v="418"/>
    <x v="2"/>
    <s v="Retail"/>
    <n v="0.15"/>
    <x v="4"/>
    <x v="4"/>
    <n v="0"/>
    <x v="607"/>
    <s v="Cust 1116"/>
    <n v="35.58"/>
    <x v="357"/>
    <d v="2023-06-19T00:00:00"/>
    <s v="Sophie"/>
    <n v="355"/>
  </r>
  <r>
    <d v="2024-07-29T00:00:00"/>
    <x v="4"/>
    <x v="4"/>
    <n v="8"/>
    <n v="421"/>
    <x v="0"/>
    <s v="Wholesale"/>
    <n v="0.1"/>
    <x v="5"/>
    <x v="0"/>
    <n v="1"/>
    <x v="608"/>
    <s v="Cust 4464"/>
    <n v="44.61"/>
    <x v="452"/>
    <d v="2024-08-01T00:00:00"/>
    <s v="Wendy"/>
    <n v="3031"/>
  </r>
  <r>
    <d v="2024-01-29T00:00:00"/>
    <x v="4"/>
    <x v="6"/>
    <n v="16"/>
    <n v="514"/>
    <x v="3"/>
    <s v="Wholesale"/>
    <n v="0"/>
    <x v="1"/>
    <x v="0"/>
    <n v="0"/>
    <x v="609"/>
    <s v="Cust 2543"/>
    <n v="40.75"/>
    <x v="282"/>
    <d v="2024-02-01T00:00:00"/>
    <s v="Wendy"/>
    <n v="8224"/>
  </r>
  <r>
    <d v="2024-01-18T00:00:00"/>
    <x v="0"/>
    <x v="1"/>
    <n v="2"/>
    <n v="297"/>
    <x v="0"/>
    <s v="Retail"/>
    <n v="0.1"/>
    <x v="2"/>
    <x v="1"/>
    <n v="0"/>
    <x v="610"/>
    <s v="Cust 7948"/>
    <n v="8.7100000000000009"/>
    <x v="453"/>
    <d v="2024-01-23T00:00:00"/>
    <s v="Eric"/>
    <n v="535"/>
  </r>
  <r>
    <d v="2024-08-12T00:00:00"/>
    <x v="2"/>
    <x v="3"/>
    <n v="10"/>
    <n v="278"/>
    <x v="2"/>
    <s v="Retail"/>
    <n v="0"/>
    <x v="5"/>
    <x v="2"/>
    <n v="0"/>
    <x v="611"/>
    <s v="Cust 3199"/>
    <n v="24.25"/>
    <x v="305"/>
    <d v="2024-08-22T00:00:00"/>
    <s v="Ryan"/>
    <n v="2780"/>
  </r>
  <r>
    <d v="2025-04-16T00:00:00"/>
    <x v="4"/>
    <x v="4"/>
    <n v="8"/>
    <n v="583"/>
    <x v="3"/>
    <s v="Wholesale"/>
    <n v="0.1"/>
    <x v="2"/>
    <x v="2"/>
    <n v="0"/>
    <x v="612"/>
    <s v="Cust 2800"/>
    <n v="49.18"/>
    <x v="454"/>
    <d v="2025-04-20T00:00:00"/>
    <s v="Wendy"/>
    <n v="4198"/>
  </r>
  <r>
    <d v="2023-02-26T00:00:00"/>
    <x v="3"/>
    <x v="2"/>
    <n v="16"/>
    <n v="76"/>
    <x v="3"/>
    <s v="Retail"/>
    <n v="0.1"/>
    <x v="4"/>
    <x v="4"/>
    <n v="0"/>
    <x v="613"/>
    <s v="Cust 3863"/>
    <n v="27.39"/>
    <x v="16"/>
    <d v="2023-03-02T00:00:00"/>
    <s v="Cameron"/>
    <n v="1094"/>
  </r>
  <r>
    <d v="2023-01-07T00:00:00"/>
    <x v="0"/>
    <x v="2"/>
    <n v="13"/>
    <n v="562"/>
    <x v="2"/>
    <s v="Wholesale"/>
    <n v="0.05"/>
    <x v="2"/>
    <x v="1"/>
    <n v="0"/>
    <x v="614"/>
    <s v="Cust 8391"/>
    <n v="12.91"/>
    <x v="455"/>
    <d v="2023-01-11T00:00:00"/>
    <s v="Eric"/>
    <n v="6941"/>
  </r>
  <r>
    <d v="2023-10-24T00:00:00"/>
    <x v="1"/>
    <x v="2"/>
    <n v="5"/>
    <n v="360"/>
    <x v="1"/>
    <s v="Retail"/>
    <n v="0"/>
    <x v="5"/>
    <x v="0"/>
    <n v="0"/>
    <x v="615"/>
    <s v="Cust 6711"/>
    <n v="41.31"/>
    <x v="456"/>
    <d v="2023-11-03T00:00:00"/>
    <s v="Sophie"/>
    <n v="1800"/>
  </r>
  <r>
    <d v="2024-01-02T00:00:00"/>
    <x v="2"/>
    <x v="5"/>
    <n v="15"/>
    <n v="115"/>
    <x v="1"/>
    <s v="Retail"/>
    <n v="0.15"/>
    <x v="2"/>
    <x v="2"/>
    <n v="0"/>
    <x v="616"/>
    <s v="Cust 8653"/>
    <n v="6.04"/>
    <x v="78"/>
    <d v="2024-01-12T00:00:00"/>
    <s v="Ryan"/>
    <n v="1466"/>
  </r>
  <r>
    <d v="2024-09-17T00:00:00"/>
    <x v="1"/>
    <x v="0"/>
    <n v="12"/>
    <n v="596"/>
    <x v="3"/>
    <s v="Wholesale"/>
    <n v="0.15"/>
    <x v="0"/>
    <x v="1"/>
    <n v="0"/>
    <x v="617"/>
    <s v="Cust 7937"/>
    <n v="28.27"/>
    <x v="457"/>
    <d v="2024-09-25T00:00:00"/>
    <s v="Sophie"/>
    <n v="6079"/>
  </r>
  <r>
    <d v="2024-05-05T00:00:00"/>
    <x v="3"/>
    <x v="5"/>
    <n v="19"/>
    <n v="402"/>
    <x v="2"/>
    <s v="Wholesale"/>
    <n v="0.05"/>
    <x v="1"/>
    <x v="3"/>
    <n v="1"/>
    <x v="618"/>
    <s v="Cust 5972"/>
    <n v="37.770000000000003"/>
    <x v="458"/>
    <d v="2024-05-11T00:00:00"/>
    <s v="Cameron"/>
    <n v="7256"/>
  </r>
  <r>
    <d v="2025-06-27T00:00:00"/>
    <x v="4"/>
    <x v="2"/>
    <n v="13"/>
    <n v="113"/>
    <x v="3"/>
    <s v="Retail"/>
    <n v="0"/>
    <x v="2"/>
    <x v="3"/>
    <n v="0"/>
    <x v="619"/>
    <s v="Cust 8597"/>
    <n v="12.39"/>
    <x v="440"/>
    <d v="2025-06-29T00:00:00"/>
    <s v="Wendy"/>
    <n v="1469"/>
  </r>
  <r>
    <d v="2024-05-14T00:00:00"/>
    <x v="4"/>
    <x v="1"/>
    <n v="6"/>
    <n v="370"/>
    <x v="3"/>
    <s v="Retail"/>
    <n v="0.15"/>
    <x v="1"/>
    <x v="0"/>
    <n v="0"/>
    <x v="620"/>
    <s v="Cust 5382"/>
    <n v="7.39"/>
    <x v="125"/>
    <d v="2024-05-22T00:00:00"/>
    <s v="Wendy"/>
    <n v="1887"/>
  </r>
  <r>
    <d v="2024-02-29T00:00:00"/>
    <x v="2"/>
    <x v="3"/>
    <n v="15"/>
    <n v="120"/>
    <x v="1"/>
    <s v="Wholesale"/>
    <n v="0.15"/>
    <x v="5"/>
    <x v="3"/>
    <n v="1"/>
    <x v="621"/>
    <s v="Cust 4323"/>
    <n v="30.78"/>
    <x v="459"/>
    <d v="2024-03-05T00:00:00"/>
    <s v="Ryan"/>
    <n v="1530"/>
  </r>
  <r>
    <d v="2025-05-19T00:00:00"/>
    <x v="0"/>
    <x v="1"/>
    <n v="5"/>
    <n v="271"/>
    <x v="1"/>
    <s v="Wholesale"/>
    <n v="0.15"/>
    <x v="4"/>
    <x v="3"/>
    <n v="0"/>
    <x v="622"/>
    <s v="Cust 1767"/>
    <n v="5.98"/>
    <x v="460"/>
    <d v="2025-05-27T00:00:00"/>
    <s v="Eric"/>
    <n v="1152"/>
  </r>
  <r>
    <d v="2024-12-02T00:00:00"/>
    <x v="0"/>
    <x v="2"/>
    <n v="9"/>
    <n v="363"/>
    <x v="0"/>
    <s v="Wholesale"/>
    <n v="0.05"/>
    <x v="4"/>
    <x v="1"/>
    <n v="0"/>
    <x v="623"/>
    <s v="Cust 3845"/>
    <n v="41.64"/>
    <x v="461"/>
    <d v="2024-12-04T00:00:00"/>
    <s v="Eric"/>
    <n v="3104"/>
  </r>
  <r>
    <d v="2024-07-30T00:00:00"/>
    <x v="4"/>
    <x v="6"/>
    <n v="12"/>
    <n v="534"/>
    <x v="3"/>
    <s v="Wholesale"/>
    <n v="0.15"/>
    <x v="1"/>
    <x v="4"/>
    <n v="0"/>
    <x v="624"/>
    <s v="Cust 5912"/>
    <n v="48.71"/>
    <x v="117"/>
    <d v="2024-08-04T00:00:00"/>
    <s v="Wendy"/>
    <n v="5447"/>
  </r>
  <r>
    <d v="2023-06-25T00:00:00"/>
    <x v="1"/>
    <x v="2"/>
    <n v="12"/>
    <n v="192"/>
    <x v="0"/>
    <s v="Wholesale"/>
    <n v="0.1"/>
    <x v="3"/>
    <x v="2"/>
    <n v="0"/>
    <x v="625"/>
    <s v="Cust 4446"/>
    <n v="41.08"/>
    <x v="416"/>
    <d v="2023-07-03T00:00:00"/>
    <s v="Sophie"/>
    <n v="2074"/>
  </r>
  <r>
    <d v="2024-07-10T00:00:00"/>
    <x v="1"/>
    <x v="3"/>
    <n v="20"/>
    <n v="504"/>
    <x v="3"/>
    <s v="Wholesale"/>
    <n v="0"/>
    <x v="2"/>
    <x v="0"/>
    <n v="0"/>
    <x v="626"/>
    <s v="Cust 6107"/>
    <n v="14.61"/>
    <x v="462"/>
    <d v="2024-07-19T00:00:00"/>
    <s v="Sophie"/>
    <n v="10080"/>
  </r>
  <r>
    <d v="2023-01-06T00:00:00"/>
    <x v="0"/>
    <x v="0"/>
    <n v="7"/>
    <n v="194"/>
    <x v="1"/>
    <s v="Wholesale"/>
    <n v="0.1"/>
    <x v="4"/>
    <x v="2"/>
    <n v="0"/>
    <x v="627"/>
    <s v="Cust 3330"/>
    <n v="39.01"/>
    <x v="463"/>
    <d v="2023-01-15T00:00:00"/>
    <s v="Eric"/>
    <n v="1222"/>
  </r>
  <r>
    <d v="2024-02-24T00:00:00"/>
    <x v="1"/>
    <x v="3"/>
    <n v="3"/>
    <n v="271"/>
    <x v="0"/>
    <s v="Wholesale"/>
    <n v="0.1"/>
    <x v="3"/>
    <x v="0"/>
    <n v="1"/>
    <x v="628"/>
    <s v="Cust 3604"/>
    <n v="17.2"/>
    <x v="62"/>
    <d v="2024-02-29T00:00:00"/>
    <s v="Sophie"/>
    <n v="732"/>
  </r>
  <r>
    <d v="2023-12-11T00:00:00"/>
    <x v="3"/>
    <x v="5"/>
    <n v="18"/>
    <n v="62"/>
    <x v="0"/>
    <s v="Retail"/>
    <n v="0"/>
    <x v="4"/>
    <x v="2"/>
    <n v="1"/>
    <x v="629"/>
    <s v="Cust 7412"/>
    <n v="8.67"/>
    <x v="464"/>
    <d v="2023-12-20T00:00:00"/>
    <s v="Cameron"/>
    <n v="1116"/>
  </r>
  <r>
    <d v="2025-02-19T00:00:00"/>
    <x v="1"/>
    <x v="6"/>
    <n v="11"/>
    <n v="506"/>
    <x v="2"/>
    <s v="Wholesale"/>
    <n v="0.15"/>
    <x v="0"/>
    <x v="3"/>
    <n v="1"/>
    <x v="630"/>
    <s v="Cust 5183"/>
    <n v="22.84"/>
    <x v="465"/>
    <d v="2025-02-23T00:00:00"/>
    <s v="Sophie"/>
    <n v="4731"/>
  </r>
  <r>
    <d v="2025-03-18T00:00:00"/>
    <x v="4"/>
    <x v="5"/>
    <n v="4"/>
    <n v="62"/>
    <x v="3"/>
    <s v="Wholesale"/>
    <n v="0.15"/>
    <x v="1"/>
    <x v="3"/>
    <n v="0"/>
    <x v="631"/>
    <s v="Cust 4825"/>
    <n v="31.91"/>
    <x v="213"/>
    <d v="2025-03-26T00:00:00"/>
    <s v="Wendy"/>
    <n v="211"/>
  </r>
  <r>
    <d v="2023-09-22T00:00:00"/>
    <x v="1"/>
    <x v="1"/>
    <n v="7"/>
    <n v="480"/>
    <x v="0"/>
    <s v="Wholesale"/>
    <n v="0.1"/>
    <x v="4"/>
    <x v="0"/>
    <n v="1"/>
    <x v="632"/>
    <s v="Cust 2123"/>
    <n v="44.37"/>
    <x v="466"/>
    <d v="2023-09-27T00:00:00"/>
    <s v="Sophie"/>
    <n v="3024"/>
  </r>
  <r>
    <d v="2023-12-23T00:00:00"/>
    <x v="4"/>
    <x v="5"/>
    <n v="18"/>
    <n v="61"/>
    <x v="1"/>
    <s v="Retail"/>
    <n v="0"/>
    <x v="5"/>
    <x v="0"/>
    <n v="1"/>
    <x v="633"/>
    <s v="Cust 8684"/>
    <n v="10.08"/>
    <x v="467"/>
    <d v="2023-12-28T00:00:00"/>
    <s v="Wendy"/>
    <n v="1098"/>
  </r>
  <r>
    <d v="2025-05-04T00:00:00"/>
    <x v="2"/>
    <x v="2"/>
    <n v="6"/>
    <n v="249"/>
    <x v="0"/>
    <s v="Retail"/>
    <n v="0.05"/>
    <x v="2"/>
    <x v="4"/>
    <n v="0"/>
    <x v="634"/>
    <s v="Cust 5964"/>
    <n v="20.38"/>
    <x v="291"/>
    <d v="2025-05-10T00:00:00"/>
    <s v="Ryan"/>
    <n v="1419"/>
  </r>
  <r>
    <d v="2025-01-11T00:00:00"/>
    <x v="0"/>
    <x v="1"/>
    <n v="20"/>
    <n v="400"/>
    <x v="3"/>
    <s v="Wholesale"/>
    <n v="0.1"/>
    <x v="4"/>
    <x v="3"/>
    <n v="0"/>
    <x v="635"/>
    <s v="Cust 1810"/>
    <n v="24.41"/>
    <x v="405"/>
    <d v="2025-01-13T00:00:00"/>
    <s v="Eric"/>
    <n v="7200"/>
  </r>
  <r>
    <d v="2025-04-21T00:00:00"/>
    <x v="1"/>
    <x v="6"/>
    <n v="1"/>
    <n v="131"/>
    <x v="0"/>
    <s v="Retail"/>
    <n v="0.05"/>
    <x v="4"/>
    <x v="0"/>
    <n v="0"/>
    <x v="636"/>
    <s v="Cust 2685"/>
    <n v="43.21"/>
    <x v="468"/>
    <d v="2025-04-24T00:00:00"/>
    <s v="Sophie"/>
    <n v="124"/>
  </r>
  <r>
    <d v="2023-12-13T00:00:00"/>
    <x v="3"/>
    <x v="5"/>
    <n v="11"/>
    <n v="133"/>
    <x v="1"/>
    <s v="Wholesale"/>
    <n v="0.15"/>
    <x v="2"/>
    <x v="2"/>
    <n v="0"/>
    <x v="637"/>
    <s v="Cust 7855"/>
    <n v="44.61"/>
    <x v="469"/>
    <d v="2023-12-22T00:00:00"/>
    <s v="Cameron"/>
    <n v="1244"/>
  </r>
  <r>
    <d v="2024-02-07T00:00:00"/>
    <x v="0"/>
    <x v="3"/>
    <n v="13"/>
    <n v="449"/>
    <x v="0"/>
    <s v="Wholesale"/>
    <n v="0.1"/>
    <x v="4"/>
    <x v="2"/>
    <n v="1"/>
    <x v="638"/>
    <s v="Cust 4101"/>
    <n v="16.82"/>
    <x v="451"/>
    <d v="2024-02-11T00:00:00"/>
    <s v="Eric"/>
    <n v="5253"/>
  </r>
  <r>
    <d v="2024-04-24T00:00:00"/>
    <x v="2"/>
    <x v="5"/>
    <n v="19"/>
    <n v="36"/>
    <x v="0"/>
    <s v="Wholesale"/>
    <n v="0"/>
    <x v="4"/>
    <x v="3"/>
    <n v="0"/>
    <x v="639"/>
    <s v="Cust 7964"/>
    <n v="33.94"/>
    <x v="470"/>
    <d v="2024-04-27T00:00:00"/>
    <s v="Ryan"/>
    <n v="684"/>
  </r>
  <r>
    <d v="2023-09-11T00:00:00"/>
    <x v="4"/>
    <x v="3"/>
    <n v="14"/>
    <n v="114"/>
    <x v="2"/>
    <s v="Retail"/>
    <n v="0"/>
    <x v="0"/>
    <x v="4"/>
    <n v="0"/>
    <x v="640"/>
    <s v="Cust 5857"/>
    <n v="25.35"/>
    <x v="471"/>
    <d v="2023-09-16T00:00:00"/>
    <s v="Wendy"/>
    <n v="1596"/>
  </r>
  <r>
    <d v="2025-06-09T00:00:00"/>
    <x v="3"/>
    <x v="6"/>
    <n v="2"/>
    <n v="90"/>
    <x v="1"/>
    <s v="Retail"/>
    <n v="0"/>
    <x v="4"/>
    <x v="1"/>
    <n v="0"/>
    <x v="641"/>
    <s v="Cust 7010"/>
    <n v="23.69"/>
    <x v="102"/>
    <d v="2025-06-12T00:00:00"/>
    <s v="Cameron"/>
    <n v="180"/>
  </r>
  <r>
    <d v="2025-06-06T00:00:00"/>
    <x v="0"/>
    <x v="2"/>
    <n v="3"/>
    <n v="392"/>
    <x v="1"/>
    <s v="Wholesale"/>
    <n v="0.15"/>
    <x v="1"/>
    <x v="3"/>
    <n v="0"/>
    <x v="642"/>
    <s v="Cust 7917"/>
    <n v="9.86"/>
    <x v="472"/>
    <d v="2025-06-16T00:00:00"/>
    <s v="Eric"/>
    <n v="1000"/>
  </r>
  <r>
    <d v="2024-12-23T00:00:00"/>
    <x v="1"/>
    <x v="3"/>
    <n v="10"/>
    <n v="419"/>
    <x v="2"/>
    <s v="Wholesale"/>
    <n v="0.1"/>
    <x v="5"/>
    <x v="2"/>
    <n v="0"/>
    <x v="643"/>
    <s v="Cust 8111"/>
    <n v="45.63"/>
    <x v="473"/>
    <d v="2024-12-28T00:00:00"/>
    <s v="Sophie"/>
    <n v="3771"/>
  </r>
  <r>
    <d v="2023-08-27T00:00:00"/>
    <x v="0"/>
    <x v="4"/>
    <n v="12"/>
    <n v="303"/>
    <x v="0"/>
    <s v="Wholesale"/>
    <n v="0"/>
    <x v="1"/>
    <x v="1"/>
    <n v="1"/>
    <x v="644"/>
    <s v="Cust 4715"/>
    <n v="5.48"/>
    <x v="474"/>
    <d v="2023-09-03T00:00:00"/>
    <s v="Eric"/>
    <n v="3636"/>
  </r>
  <r>
    <d v="2023-01-09T00:00:00"/>
    <x v="0"/>
    <x v="4"/>
    <n v="10"/>
    <n v="210"/>
    <x v="1"/>
    <s v="Wholesale"/>
    <n v="0.1"/>
    <x v="0"/>
    <x v="4"/>
    <n v="0"/>
    <x v="645"/>
    <s v="Cust 8720"/>
    <n v="10.99"/>
    <x v="7"/>
    <d v="2023-01-13T00:00:00"/>
    <s v="Eric"/>
    <n v="1890"/>
  </r>
  <r>
    <d v="2025-04-22T00:00:00"/>
    <x v="0"/>
    <x v="0"/>
    <n v="8"/>
    <n v="284"/>
    <x v="2"/>
    <s v="Wholesale"/>
    <n v="0.1"/>
    <x v="1"/>
    <x v="4"/>
    <n v="0"/>
    <x v="646"/>
    <s v="Cust 8216"/>
    <n v="49.91"/>
    <x v="475"/>
    <d v="2025-04-25T00:00:00"/>
    <s v="Eric"/>
    <n v="2045"/>
  </r>
  <r>
    <d v="2023-09-06T00:00:00"/>
    <x v="1"/>
    <x v="1"/>
    <n v="7"/>
    <n v="18"/>
    <x v="3"/>
    <s v="Retail"/>
    <n v="0.1"/>
    <x v="1"/>
    <x v="0"/>
    <n v="0"/>
    <x v="647"/>
    <s v="Cust 6946"/>
    <n v="48.92"/>
    <x v="476"/>
    <d v="2023-09-11T00:00:00"/>
    <s v="Sophie"/>
    <n v="113"/>
  </r>
  <r>
    <d v="2023-01-21T00:00:00"/>
    <x v="0"/>
    <x v="4"/>
    <n v="9"/>
    <n v="475"/>
    <x v="1"/>
    <s v="Wholesale"/>
    <n v="0.1"/>
    <x v="3"/>
    <x v="3"/>
    <n v="0"/>
    <x v="648"/>
    <s v="Cust 9888"/>
    <n v="39.979999999999997"/>
    <x v="477"/>
    <d v="2023-01-27T00:00:00"/>
    <s v="Eric"/>
    <n v="3848"/>
  </r>
  <r>
    <d v="2024-04-26T00:00:00"/>
    <x v="3"/>
    <x v="3"/>
    <n v="12"/>
    <n v="592"/>
    <x v="3"/>
    <s v="Retail"/>
    <n v="0"/>
    <x v="0"/>
    <x v="3"/>
    <n v="0"/>
    <x v="649"/>
    <s v="Cust 4009"/>
    <n v="25.2"/>
    <x v="478"/>
    <d v="2024-05-06T00:00:00"/>
    <s v="Cameron"/>
    <n v="7104"/>
  </r>
  <r>
    <d v="2023-06-27T00:00:00"/>
    <x v="2"/>
    <x v="1"/>
    <n v="7"/>
    <n v="93"/>
    <x v="0"/>
    <s v="Retail"/>
    <n v="0.05"/>
    <x v="1"/>
    <x v="2"/>
    <n v="1"/>
    <x v="650"/>
    <s v="Cust 9489"/>
    <n v="6.47"/>
    <x v="161"/>
    <d v="2023-06-30T00:00:00"/>
    <s v="Ryan"/>
    <n v="618"/>
  </r>
  <r>
    <d v="2023-01-01T00:00:00"/>
    <x v="0"/>
    <x v="5"/>
    <n v="15"/>
    <n v="299"/>
    <x v="2"/>
    <s v="Retail"/>
    <n v="0"/>
    <x v="5"/>
    <x v="3"/>
    <n v="0"/>
    <x v="651"/>
    <s v="Cust 2446"/>
    <n v="11.38"/>
    <x v="209"/>
    <d v="2023-01-08T00:00:00"/>
    <s v="Eric"/>
    <n v="4485"/>
  </r>
  <r>
    <d v="2023-12-30T00:00:00"/>
    <x v="4"/>
    <x v="5"/>
    <n v="15"/>
    <n v="52"/>
    <x v="1"/>
    <s v="Retail"/>
    <n v="0.15"/>
    <x v="4"/>
    <x v="0"/>
    <n v="0"/>
    <x v="652"/>
    <s v="Cust 4150"/>
    <n v="8.93"/>
    <x v="479"/>
    <d v="2024-01-02T00:00:00"/>
    <s v="Wendy"/>
    <n v="663"/>
  </r>
  <r>
    <d v="2023-01-22T00:00:00"/>
    <x v="3"/>
    <x v="1"/>
    <n v="6"/>
    <n v="104"/>
    <x v="2"/>
    <s v="Retail"/>
    <n v="0.1"/>
    <x v="4"/>
    <x v="0"/>
    <n v="0"/>
    <x v="653"/>
    <s v="Cust 3569"/>
    <n v="8.6199999999999992"/>
    <x v="229"/>
    <d v="2023-01-24T00:00:00"/>
    <s v="Cameron"/>
    <n v="562"/>
  </r>
  <r>
    <d v="2024-07-27T00:00:00"/>
    <x v="1"/>
    <x v="0"/>
    <n v="8"/>
    <n v="493"/>
    <x v="1"/>
    <s v="Retail"/>
    <n v="0.05"/>
    <x v="4"/>
    <x v="2"/>
    <n v="0"/>
    <x v="654"/>
    <s v="Cust 1023"/>
    <n v="11.49"/>
    <x v="480"/>
    <d v="2024-08-05T00:00:00"/>
    <s v="Sophie"/>
    <n v="3747"/>
  </r>
  <r>
    <d v="2024-01-15T00:00:00"/>
    <x v="1"/>
    <x v="3"/>
    <n v="6"/>
    <n v="292"/>
    <x v="0"/>
    <s v="Wholesale"/>
    <n v="0"/>
    <x v="2"/>
    <x v="2"/>
    <n v="0"/>
    <x v="655"/>
    <s v="Cust 3748"/>
    <n v="30.25"/>
    <x v="481"/>
    <d v="2024-01-17T00:00:00"/>
    <s v="Sophie"/>
    <n v="1752"/>
  </r>
  <r>
    <d v="2024-01-04T00:00:00"/>
    <x v="4"/>
    <x v="5"/>
    <n v="1"/>
    <n v="103"/>
    <x v="0"/>
    <s v="Wholesale"/>
    <n v="0"/>
    <x v="5"/>
    <x v="0"/>
    <n v="0"/>
    <x v="656"/>
    <s v="Cust 4798"/>
    <n v="42.38"/>
    <x v="482"/>
    <d v="2024-01-14T00:00:00"/>
    <s v="Wendy"/>
    <n v="103"/>
  </r>
  <r>
    <d v="2023-02-09T00:00:00"/>
    <x v="0"/>
    <x v="4"/>
    <n v="1"/>
    <n v="542"/>
    <x v="1"/>
    <s v="Retail"/>
    <n v="0.05"/>
    <x v="0"/>
    <x v="4"/>
    <n v="0"/>
    <x v="657"/>
    <s v="Cust 8305"/>
    <n v="40.35"/>
    <x v="483"/>
    <d v="2023-02-19T00:00:00"/>
    <s v="Eric"/>
    <n v="515"/>
  </r>
  <r>
    <d v="2024-06-20T00:00:00"/>
    <x v="2"/>
    <x v="1"/>
    <n v="11"/>
    <n v="303"/>
    <x v="3"/>
    <s v="Wholesale"/>
    <n v="0.1"/>
    <x v="4"/>
    <x v="0"/>
    <n v="0"/>
    <x v="658"/>
    <s v="Cust 3864"/>
    <n v="21.88"/>
    <x v="249"/>
    <d v="2024-06-24T00:00:00"/>
    <s v="Ryan"/>
    <n v="3000"/>
  </r>
  <r>
    <d v="2023-02-21T00:00:00"/>
    <x v="3"/>
    <x v="2"/>
    <n v="11"/>
    <n v="62"/>
    <x v="2"/>
    <s v="Retail"/>
    <n v="0.05"/>
    <x v="5"/>
    <x v="1"/>
    <n v="0"/>
    <x v="659"/>
    <s v="Cust 3459"/>
    <n v="47.95"/>
    <x v="220"/>
    <d v="2023-03-03T00:00:00"/>
    <s v="Cameron"/>
    <n v="648"/>
  </r>
  <r>
    <d v="2023-08-16T00:00:00"/>
    <x v="3"/>
    <x v="2"/>
    <n v="8"/>
    <n v="355"/>
    <x v="0"/>
    <s v="Retail"/>
    <n v="0.1"/>
    <x v="3"/>
    <x v="0"/>
    <n v="1"/>
    <x v="660"/>
    <s v="Cust 1187"/>
    <n v="38.590000000000003"/>
    <x v="484"/>
    <d v="2023-08-24T00:00:00"/>
    <s v="Cameron"/>
    <n v="2556"/>
  </r>
  <r>
    <d v="2023-11-03T00:00:00"/>
    <x v="4"/>
    <x v="4"/>
    <n v="11"/>
    <n v="120"/>
    <x v="3"/>
    <s v="Wholesale"/>
    <n v="0.1"/>
    <x v="0"/>
    <x v="0"/>
    <n v="0"/>
    <x v="661"/>
    <s v="Cust 7509"/>
    <n v="16.64"/>
    <x v="257"/>
    <d v="2023-11-11T00:00:00"/>
    <s v="Wendy"/>
    <n v="1188"/>
  </r>
  <r>
    <d v="2024-04-26T00:00:00"/>
    <x v="1"/>
    <x v="0"/>
    <n v="16"/>
    <n v="318"/>
    <x v="2"/>
    <s v="Wholesale"/>
    <n v="0.05"/>
    <x v="4"/>
    <x v="2"/>
    <n v="0"/>
    <x v="662"/>
    <s v="Cust 1869"/>
    <n v="40.78"/>
    <x v="478"/>
    <d v="2024-05-01T00:00:00"/>
    <s v="Sophie"/>
    <n v="4834"/>
  </r>
  <r>
    <d v="2024-10-08T00:00:00"/>
    <x v="1"/>
    <x v="2"/>
    <n v="9"/>
    <n v="446"/>
    <x v="3"/>
    <s v="Wholesale"/>
    <n v="0.15"/>
    <x v="3"/>
    <x v="4"/>
    <n v="0"/>
    <x v="663"/>
    <s v="Cust 5943"/>
    <n v="5.77"/>
    <x v="485"/>
    <d v="2024-10-17T00:00:00"/>
    <s v="Sophie"/>
    <n v="3412"/>
  </r>
  <r>
    <d v="2023-01-09T00:00:00"/>
    <x v="1"/>
    <x v="2"/>
    <n v="16"/>
    <n v="259"/>
    <x v="3"/>
    <s v="Retail"/>
    <n v="0.1"/>
    <x v="4"/>
    <x v="0"/>
    <n v="0"/>
    <x v="664"/>
    <s v="Cust 8364"/>
    <n v="46.93"/>
    <x v="7"/>
    <d v="2023-01-17T00:00:00"/>
    <s v="Sophie"/>
    <n v="3730"/>
  </r>
  <r>
    <d v="2023-12-25T00:00:00"/>
    <x v="2"/>
    <x v="6"/>
    <n v="9"/>
    <n v="273"/>
    <x v="3"/>
    <s v="Wholesale"/>
    <n v="0.05"/>
    <x v="0"/>
    <x v="0"/>
    <n v="0"/>
    <x v="665"/>
    <s v="Cust 8401"/>
    <n v="16.43"/>
    <x v="486"/>
    <d v="2024-01-02T00:00:00"/>
    <s v="Ryan"/>
    <n v="2334"/>
  </r>
  <r>
    <d v="2024-05-11T00:00:00"/>
    <x v="3"/>
    <x v="4"/>
    <n v="12"/>
    <n v="439"/>
    <x v="2"/>
    <s v="Retail"/>
    <n v="0"/>
    <x v="0"/>
    <x v="3"/>
    <n v="0"/>
    <x v="666"/>
    <s v="Cust 4047"/>
    <n v="9.31"/>
    <x v="487"/>
    <d v="2024-05-20T00:00:00"/>
    <s v="Cameron"/>
    <n v="5268"/>
  </r>
  <r>
    <d v="2023-11-23T00:00:00"/>
    <x v="4"/>
    <x v="5"/>
    <n v="18"/>
    <n v="268"/>
    <x v="0"/>
    <s v="Retail"/>
    <n v="0"/>
    <x v="3"/>
    <x v="1"/>
    <n v="0"/>
    <x v="667"/>
    <s v="Cust 6019"/>
    <n v="44.48"/>
    <x v="488"/>
    <d v="2023-11-26T00:00:00"/>
    <s v="Wendy"/>
    <n v="4824"/>
  </r>
  <r>
    <d v="2023-12-10T00:00:00"/>
    <x v="3"/>
    <x v="6"/>
    <n v="6"/>
    <n v="116"/>
    <x v="1"/>
    <s v="Wholesale"/>
    <n v="0.05"/>
    <x v="3"/>
    <x v="2"/>
    <n v="0"/>
    <x v="668"/>
    <s v="Cust 8750"/>
    <n v="23.91"/>
    <x v="489"/>
    <d v="2023-12-12T00:00:00"/>
    <s v="Cameron"/>
    <n v="661"/>
  </r>
  <r>
    <d v="2024-02-03T00:00:00"/>
    <x v="2"/>
    <x v="6"/>
    <n v="19"/>
    <n v="276"/>
    <x v="2"/>
    <s v="Retail"/>
    <n v="0"/>
    <x v="2"/>
    <x v="4"/>
    <n v="0"/>
    <x v="669"/>
    <s v="Cust 5782"/>
    <n v="47"/>
    <x v="490"/>
    <d v="2024-02-05T00:00:00"/>
    <s v="Ryan"/>
    <n v="5244"/>
  </r>
  <r>
    <d v="2024-11-24T00:00:00"/>
    <x v="3"/>
    <x v="3"/>
    <n v="12"/>
    <n v="256"/>
    <x v="0"/>
    <s v="Retail"/>
    <n v="0"/>
    <x v="0"/>
    <x v="4"/>
    <n v="0"/>
    <x v="670"/>
    <s v="Cust 4090"/>
    <n v="23.74"/>
    <x v="224"/>
    <d v="2024-12-04T00:00:00"/>
    <s v="Cameron"/>
    <n v="3072"/>
  </r>
  <r>
    <d v="2024-03-06T00:00:00"/>
    <x v="4"/>
    <x v="1"/>
    <n v="1"/>
    <n v="381"/>
    <x v="3"/>
    <s v="Wholesale"/>
    <n v="0.15"/>
    <x v="5"/>
    <x v="0"/>
    <n v="0"/>
    <x v="671"/>
    <s v="Cust 4730"/>
    <n v="9.9499999999999993"/>
    <x v="491"/>
    <d v="2024-03-11T00:00:00"/>
    <s v="Wendy"/>
    <n v="324"/>
  </r>
  <r>
    <d v="2025-02-01T00:00:00"/>
    <x v="1"/>
    <x v="2"/>
    <n v="5"/>
    <n v="38"/>
    <x v="2"/>
    <s v="Wholesale"/>
    <n v="0.15"/>
    <x v="5"/>
    <x v="3"/>
    <n v="0"/>
    <x v="672"/>
    <s v="Cust 5648"/>
    <n v="21.06"/>
    <x v="492"/>
    <d v="2025-02-11T00:00:00"/>
    <s v="Sophie"/>
    <n v="162"/>
  </r>
  <r>
    <d v="2024-06-04T00:00:00"/>
    <x v="3"/>
    <x v="0"/>
    <n v="7"/>
    <n v="226"/>
    <x v="0"/>
    <s v="Wholesale"/>
    <n v="0"/>
    <x v="3"/>
    <x v="3"/>
    <n v="0"/>
    <x v="673"/>
    <s v="Cust 8933"/>
    <n v="24.48"/>
    <x v="44"/>
    <d v="2024-06-09T00:00:00"/>
    <s v="Cameron"/>
    <n v="1582"/>
  </r>
  <r>
    <d v="2023-08-06T00:00:00"/>
    <x v="3"/>
    <x v="2"/>
    <n v="8"/>
    <n v="548"/>
    <x v="3"/>
    <s v="Retail"/>
    <n v="0.05"/>
    <x v="0"/>
    <x v="0"/>
    <n v="0"/>
    <x v="674"/>
    <s v="Cust 9280"/>
    <n v="33.4"/>
    <x v="23"/>
    <d v="2023-08-13T00:00:00"/>
    <s v="Cameron"/>
    <n v="4165"/>
  </r>
  <r>
    <d v="2023-06-30T00:00:00"/>
    <x v="4"/>
    <x v="6"/>
    <n v="18"/>
    <n v="485"/>
    <x v="3"/>
    <s v="Wholesale"/>
    <n v="0.05"/>
    <x v="5"/>
    <x v="3"/>
    <n v="1"/>
    <x v="675"/>
    <s v="Cust 8696"/>
    <n v="47.77"/>
    <x v="43"/>
    <d v="2023-07-05T00:00:00"/>
    <s v="Wendy"/>
    <n v="8294"/>
  </r>
  <r>
    <d v="2023-02-15T00:00:00"/>
    <x v="4"/>
    <x v="6"/>
    <n v="19"/>
    <n v="414"/>
    <x v="1"/>
    <s v="Retail"/>
    <n v="0.1"/>
    <x v="0"/>
    <x v="2"/>
    <n v="0"/>
    <x v="676"/>
    <s v="Cust 1944"/>
    <n v="17.43"/>
    <x v="493"/>
    <d v="2023-02-19T00:00:00"/>
    <s v="Wendy"/>
    <n v="7079"/>
  </r>
  <r>
    <d v="2024-01-23T00:00:00"/>
    <x v="2"/>
    <x v="6"/>
    <n v="8"/>
    <n v="51"/>
    <x v="1"/>
    <s v="Wholesale"/>
    <n v="0.05"/>
    <x v="3"/>
    <x v="3"/>
    <n v="0"/>
    <x v="677"/>
    <s v="Cust 7780"/>
    <n v="12.35"/>
    <x v="145"/>
    <d v="2024-01-30T00:00:00"/>
    <s v="Ryan"/>
    <n v="388"/>
  </r>
  <r>
    <d v="2024-10-31T00:00:00"/>
    <x v="2"/>
    <x v="5"/>
    <n v="17"/>
    <n v="83"/>
    <x v="1"/>
    <s v="Wholesale"/>
    <n v="0.15"/>
    <x v="0"/>
    <x v="4"/>
    <n v="0"/>
    <x v="678"/>
    <s v="Cust 8055"/>
    <n v="42.68"/>
    <x v="335"/>
    <d v="2024-11-06T00:00:00"/>
    <s v="Ryan"/>
    <n v="1199"/>
  </r>
  <r>
    <d v="2023-12-19T00:00:00"/>
    <x v="3"/>
    <x v="2"/>
    <n v="20"/>
    <n v="52"/>
    <x v="2"/>
    <s v="Wholesale"/>
    <n v="0.15"/>
    <x v="3"/>
    <x v="4"/>
    <n v="0"/>
    <x v="679"/>
    <s v="Cust 4707"/>
    <n v="33.159999999999997"/>
    <x v="373"/>
    <d v="2023-12-21T00:00:00"/>
    <s v="Cameron"/>
    <n v="884"/>
  </r>
  <r>
    <d v="2023-07-04T00:00:00"/>
    <x v="1"/>
    <x v="5"/>
    <n v="12"/>
    <n v="123"/>
    <x v="0"/>
    <s v="Wholesale"/>
    <n v="0.05"/>
    <x v="4"/>
    <x v="1"/>
    <n v="0"/>
    <x v="680"/>
    <s v="Cust 8088"/>
    <n v="43.47"/>
    <x v="250"/>
    <d v="2023-07-06T00:00:00"/>
    <s v="Sophie"/>
    <n v="1402"/>
  </r>
  <r>
    <d v="2024-05-16T00:00:00"/>
    <x v="0"/>
    <x v="0"/>
    <n v="11"/>
    <n v="222"/>
    <x v="3"/>
    <s v="Wholesale"/>
    <n v="0.15"/>
    <x v="0"/>
    <x v="4"/>
    <n v="1"/>
    <x v="681"/>
    <s v="Cust 7806"/>
    <n v="9.8800000000000008"/>
    <x v="494"/>
    <d v="2024-05-18T00:00:00"/>
    <s v="Eric"/>
    <n v="2076"/>
  </r>
  <r>
    <d v="2023-09-16T00:00:00"/>
    <x v="2"/>
    <x v="4"/>
    <n v="8"/>
    <n v="205"/>
    <x v="2"/>
    <s v="Retail"/>
    <n v="0"/>
    <x v="5"/>
    <x v="4"/>
    <n v="0"/>
    <x v="682"/>
    <s v="Cust 7033"/>
    <n v="43.4"/>
    <x v="292"/>
    <d v="2023-09-21T00:00:00"/>
    <s v="Ryan"/>
    <n v="1640"/>
  </r>
  <r>
    <d v="2024-11-22T00:00:00"/>
    <x v="0"/>
    <x v="3"/>
    <n v="3"/>
    <n v="537"/>
    <x v="2"/>
    <s v="Wholesale"/>
    <n v="0"/>
    <x v="3"/>
    <x v="3"/>
    <n v="0"/>
    <x v="683"/>
    <s v="Cust 8372"/>
    <n v="13.86"/>
    <x v="196"/>
    <d v="2024-12-01T00:00:00"/>
    <s v="Eric"/>
    <n v="1611"/>
  </r>
  <r>
    <d v="2024-04-13T00:00:00"/>
    <x v="4"/>
    <x v="3"/>
    <n v="15"/>
    <n v="553"/>
    <x v="1"/>
    <s v="Retail"/>
    <n v="0.1"/>
    <x v="3"/>
    <x v="2"/>
    <n v="1"/>
    <x v="684"/>
    <s v="Cust 1935"/>
    <n v="23.3"/>
    <x v="495"/>
    <d v="2024-04-21T00:00:00"/>
    <s v="Wendy"/>
    <n v="7466"/>
  </r>
  <r>
    <d v="2024-06-30T00:00:00"/>
    <x v="1"/>
    <x v="3"/>
    <n v="20"/>
    <n v="285"/>
    <x v="3"/>
    <s v="Retail"/>
    <n v="0.1"/>
    <x v="1"/>
    <x v="2"/>
    <n v="1"/>
    <x v="685"/>
    <s v="Cust 8417"/>
    <n v="27"/>
    <x v="261"/>
    <d v="2024-07-06T00:00:00"/>
    <s v="Sophie"/>
    <n v="5130"/>
  </r>
  <r>
    <d v="2024-08-29T00:00:00"/>
    <x v="2"/>
    <x v="2"/>
    <n v="18"/>
    <n v="524"/>
    <x v="2"/>
    <s v="Retail"/>
    <n v="0.15"/>
    <x v="4"/>
    <x v="1"/>
    <n v="0"/>
    <x v="686"/>
    <s v="Cust 3370"/>
    <n v="42.63"/>
    <x v="496"/>
    <d v="2024-09-02T00:00:00"/>
    <s v="Ryan"/>
    <n v="8017"/>
  </r>
  <r>
    <d v="2023-12-26T00:00:00"/>
    <x v="3"/>
    <x v="2"/>
    <n v="3"/>
    <n v="232"/>
    <x v="0"/>
    <s v="Retail"/>
    <n v="0.1"/>
    <x v="4"/>
    <x v="4"/>
    <n v="1"/>
    <x v="687"/>
    <s v="Cust 3664"/>
    <n v="46.65"/>
    <x v="442"/>
    <d v="2023-12-31T00:00:00"/>
    <s v="Cameron"/>
    <n v="626"/>
  </r>
  <r>
    <d v="2025-01-30T00:00:00"/>
    <x v="2"/>
    <x v="1"/>
    <n v="17"/>
    <n v="179"/>
    <x v="1"/>
    <s v="Retail"/>
    <n v="0.1"/>
    <x v="5"/>
    <x v="3"/>
    <n v="1"/>
    <x v="688"/>
    <s v="Cust 5760"/>
    <n v="26.74"/>
    <x v="258"/>
    <d v="2025-02-06T00:00:00"/>
    <s v="Ryan"/>
    <n v="2739"/>
  </r>
  <r>
    <d v="2023-05-17T00:00:00"/>
    <x v="1"/>
    <x v="3"/>
    <n v="1"/>
    <n v="396"/>
    <x v="0"/>
    <s v="Retail"/>
    <n v="0.15"/>
    <x v="2"/>
    <x v="3"/>
    <n v="1"/>
    <x v="689"/>
    <s v="Cust 3037"/>
    <n v="19.89"/>
    <x v="497"/>
    <d v="2023-05-25T00:00:00"/>
    <s v="Sophie"/>
    <n v="337"/>
  </r>
  <r>
    <d v="2024-01-27T00:00:00"/>
    <x v="3"/>
    <x v="2"/>
    <n v="17"/>
    <n v="108"/>
    <x v="1"/>
    <s v="Wholesale"/>
    <n v="0.1"/>
    <x v="3"/>
    <x v="0"/>
    <n v="1"/>
    <x v="690"/>
    <s v="Cust 9828"/>
    <n v="48.9"/>
    <x v="498"/>
    <d v="2024-02-05T00:00:00"/>
    <s v="Cameron"/>
    <n v="1652"/>
  </r>
  <r>
    <d v="2025-05-26T00:00:00"/>
    <x v="0"/>
    <x v="6"/>
    <n v="10"/>
    <n v="150"/>
    <x v="3"/>
    <s v="Retail"/>
    <n v="0.1"/>
    <x v="3"/>
    <x v="4"/>
    <n v="1"/>
    <x v="691"/>
    <s v="Cust 5297"/>
    <n v="49.67"/>
    <x v="499"/>
    <d v="2025-06-02T00:00:00"/>
    <s v="Eric"/>
    <n v="1350"/>
  </r>
  <r>
    <d v="2025-03-09T00:00:00"/>
    <x v="2"/>
    <x v="1"/>
    <n v="1"/>
    <n v="506"/>
    <x v="3"/>
    <s v="Wholesale"/>
    <n v="0"/>
    <x v="5"/>
    <x v="4"/>
    <n v="0"/>
    <x v="692"/>
    <s v="Cust 6785"/>
    <n v="17.899999999999999"/>
    <x v="31"/>
    <d v="2025-03-17T00:00:00"/>
    <s v="Ryan"/>
    <n v="506"/>
  </r>
  <r>
    <d v="2024-02-22T00:00:00"/>
    <x v="4"/>
    <x v="5"/>
    <n v="6"/>
    <n v="346"/>
    <x v="0"/>
    <s v="Retail"/>
    <n v="0.15"/>
    <x v="2"/>
    <x v="2"/>
    <n v="0"/>
    <x v="693"/>
    <s v="Cust 1344"/>
    <n v="30.58"/>
    <x v="193"/>
    <d v="2024-03-03T00:00:00"/>
    <s v="Wendy"/>
    <n v="1765"/>
  </r>
  <r>
    <d v="2025-02-03T00:00:00"/>
    <x v="0"/>
    <x v="5"/>
    <n v="15"/>
    <n v="342"/>
    <x v="2"/>
    <s v="Retail"/>
    <n v="0.15"/>
    <x v="4"/>
    <x v="1"/>
    <n v="0"/>
    <x v="694"/>
    <s v="Cust 4023"/>
    <n v="44.91"/>
    <x v="45"/>
    <d v="2025-02-08T00:00:00"/>
    <s v="Eric"/>
    <n v="4360"/>
  </r>
  <r>
    <d v="2024-01-09T00:00:00"/>
    <x v="3"/>
    <x v="6"/>
    <n v="11"/>
    <n v="405"/>
    <x v="1"/>
    <s v="Wholesale"/>
    <n v="0.05"/>
    <x v="1"/>
    <x v="1"/>
    <n v="0"/>
    <x v="695"/>
    <s v="Cust 3721"/>
    <n v="18.920000000000002"/>
    <x v="46"/>
    <d v="2024-01-16T00:00:00"/>
    <s v="Cameron"/>
    <n v="4232"/>
  </r>
  <r>
    <d v="2025-05-05T00:00:00"/>
    <x v="2"/>
    <x v="2"/>
    <n v="9"/>
    <n v="292"/>
    <x v="1"/>
    <s v="Wholesale"/>
    <n v="0.05"/>
    <x v="3"/>
    <x v="2"/>
    <n v="0"/>
    <x v="696"/>
    <s v="Cust 1486"/>
    <n v="34.26"/>
    <x v="500"/>
    <d v="2025-05-14T00:00:00"/>
    <s v="Ryan"/>
    <n v="2497"/>
  </r>
  <r>
    <d v="2023-04-17T00:00:00"/>
    <x v="3"/>
    <x v="2"/>
    <n v="5"/>
    <n v="548"/>
    <x v="1"/>
    <s v="Retail"/>
    <n v="0.1"/>
    <x v="0"/>
    <x v="3"/>
    <n v="0"/>
    <x v="697"/>
    <s v="Cust 3958"/>
    <n v="24.68"/>
    <x v="417"/>
    <d v="2023-04-21T00:00:00"/>
    <s v="Cameron"/>
    <n v="2466"/>
  </r>
  <r>
    <d v="2024-06-16T00:00:00"/>
    <x v="1"/>
    <x v="2"/>
    <n v="12"/>
    <n v="349"/>
    <x v="2"/>
    <s v="Wholesale"/>
    <n v="0"/>
    <x v="1"/>
    <x v="2"/>
    <n v="0"/>
    <x v="698"/>
    <s v="Cust 6914"/>
    <n v="31.28"/>
    <x v="40"/>
    <d v="2024-06-21T00:00:00"/>
    <s v="Sophie"/>
    <n v="4188"/>
  </r>
  <r>
    <d v="2024-11-01T00:00:00"/>
    <x v="1"/>
    <x v="1"/>
    <n v="15"/>
    <n v="486"/>
    <x v="2"/>
    <s v="Wholesale"/>
    <n v="0"/>
    <x v="1"/>
    <x v="3"/>
    <n v="0"/>
    <x v="699"/>
    <s v="Cust 3287"/>
    <n v="14.9"/>
    <x v="501"/>
    <d v="2024-11-04T00:00:00"/>
    <s v="Sophie"/>
    <n v="7290"/>
  </r>
  <r>
    <d v="2025-02-07T00:00:00"/>
    <x v="0"/>
    <x v="5"/>
    <n v="14"/>
    <n v="159"/>
    <x v="2"/>
    <s v="Retail"/>
    <n v="0.15"/>
    <x v="5"/>
    <x v="3"/>
    <n v="0"/>
    <x v="700"/>
    <s v="Cust 9072"/>
    <n v="27.05"/>
    <x v="439"/>
    <d v="2025-02-10T00:00:00"/>
    <s v="Eric"/>
    <n v="1892"/>
  </r>
  <r>
    <d v="2024-11-24T00:00:00"/>
    <x v="1"/>
    <x v="4"/>
    <n v="12"/>
    <n v="174"/>
    <x v="3"/>
    <s v="Retail"/>
    <n v="0.15"/>
    <x v="0"/>
    <x v="2"/>
    <n v="0"/>
    <x v="701"/>
    <s v="Cust 3098"/>
    <n v="21.23"/>
    <x v="224"/>
    <d v="2024-12-04T00:00:00"/>
    <s v="Sophie"/>
    <n v="1775"/>
  </r>
  <r>
    <d v="2024-04-23T00:00:00"/>
    <x v="3"/>
    <x v="4"/>
    <n v="13"/>
    <n v="440"/>
    <x v="1"/>
    <s v="Wholesale"/>
    <n v="0"/>
    <x v="2"/>
    <x v="0"/>
    <n v="1"/>
    <x v="702"/>
    <s v="Cust 7942"/>
    <n v="12.23"/>
    <x v="502"/>
    <d v="2024-05-02T00:00:00"/>
    <s v="Cameron"/>
    <n v="5720"/>
  </r>
  <r>
    <d v="2024-06-24T00:00:00"/>
    <x v="0"/>
    <x v="0"/>
    <n v="9"/>
    <n v="265"/>
    <x v="3"/>
    <s v="Wholesale"/>
    <n v="0.05"/>
    <x v="0"/>
    <x v="2"/>
    <n v="0"/>
    <x v="703"/>
    <s v="Cust 4307"/>
    <n v="40.18"/>
    <x v="503"/>
    <d v="2024-06-27T00:00:00"/>
    <s v="Eric"/>
    <n v="2266"/>
  </r>
  <r>
    <d v="2025-06-01T00:00:00"/>
    <x v="4"/>
    <x v="4"/>
    <n v="12"/>
    <n v="290"/>
    <x v="0"/>
    <s v="Retail"/>
    <n v="0.1"/>
    <x v="3"/>
    <x v="4"/>
    <n v="1"/>
    <x v="704"/>
    <s v="Cust 4618"/>
    <n v="5.55"/>
    <x v="216"/>
    <d v="2025-06-07T00:00:00"/>
    <s v="Wendy"/>
    <n v="3132"/>
  </r>
  <r>
    <d v="2023-03-12T00:00:00"/>
    <x v="4"/>
    <x v="5"/>
    <n v="6"/>
    <n v="89"/>
    <x v="0"/>
    <s v="Wholesale"/>
    <n v="0"/>
    <x v="3"/>
    <x v="1"/>
    <n v="0"/>
    <x v="705"/>
    <s v="Cust 5322"/>
    <n v="16.98"/>
    <x v="504"/>
    <d v="2023-03-14T00:00:00"/>
    <s v="Wendy"/>
    <n v="534"/>
  </r>
  <r>
    <d v="2024-11-11T00:00:00"/>
    <x v="3"/>
    <x v="2"/>
    <n v="2"/>
    <n v="240"/>
    <x v="2"/>
    <s v="Retail"/>
    <n v="0"/>
    <x v="4"/>
    <x v="2"/>
    <n v="0"/>
    <x v="706"/>
    <s v="Cust 9873"/>
    <n v="28.96"/>
    <x v="207"/>
    <d v="2024-11-19T00:00:00"/>
    <s v="Cameron"/>
    <n v="480"/>
  </r>
  <r>
    <d v="2024-10-17T00:00:00"/>
    <x v="3"/>
    <x v="5"/>
    <n v="8"/>
    <n v="40"/>
    <x v="2"/>
    <s v="Retail"/>
    <n v="0.1"/>
    <x v="5"/>
    <x v="2"/>
    <n v="0"/>
    <x v="707"/>
    <s v="Cust 3652"/>
    <n v="46.16"/>
    <x v="386"/>
    <d v="2024-10-26T00:00:00"/>
    <s v="Cameron"/>
    <n v="288"/>
  </r>
  <r>
    <d v="2023-05-10T00:00:00"/>
    <x v="0"/>
    <x v="6"/>
    <n v="18"/>
    <n v="207"/>
    <x v="1"/>
    <s v="Retail"/>
    <n v="0.05"/>
    <x v="2"/>
    <x v="3"/>
    <n v="1"/>
    <x v="708"/>
    <s v="Cust 5569"/>
    <n v="39.25"/>
    <x v="2"/>
    <d v="2023-05-13T00:00:00"/>
    <s v="Eric"/>
    <n v="3540"/>
  </r>
  <r>
    <d v="2023-07-29T00:00:00"/>
    <x v="0"/>
    <x v="0"/>
    <n v="18"/>
    <n v="176"/>
    <x v="2"/>
    <s v="Retail"/>
    <n v="0"/>
    <x v="0"/>
    <x v="1"/>
    <n v="1"/>
    <x v="709"/>
    <s v="Cust 5369"/>
    <n v="26.97"/>
    <x v="237"/>
    <d v="2023-08-07T00:00:00"/>
    <s v="Eric"/>
    <n v="3168"/>
  </r>
  <r>
    <d v="2023-08-26T00:00:00"/>
    <x v="3"/>
    <x v="1"/>
    <n v="14"/>
    <n v="547"/>
    <x v="2"/>
    <s v="Retail"/>
    <n v="0.15"/>
    <x v="4"/>
    <x v="0"/>
    <n v="0"/>
    <x v="710"/>
    <s v="Cust 9044"/>
    <n v="25.24"/>
    <x v="222"/>
    <d v="2023-08-29T00:00:00"/>
    <s v="Cameron"/>
    <n v="6509"/>
  </r>
  <r>
    <d v="2023-12-28T00:00:00"/>
    <x v="0"/>
    <x v="0"/>
    <n v="19"/>
    <n v="375"/>
    <x v="1"/>
    <s v="Retail"/>
    <n v="0.05"/>
    <x v="3"/>
    <x v="0"/>
    <n v="0"/>
    <x v="711"/>
    <s v="Cust 1887"/>
    <n v="41.67"/>
    <x v="505"/>
    <d v="2024-01-03T00:00:00"/>
    <s v="Eric"/>
    <n v="6769"/>
  </r>
  <r>
    <d v="2025-03-10T00:00:00"/>
    <x v="2"/>
    <x v="5"/>
    <n v="9"/>
    <n v="508"/>
    <x v="3"/>
    <s v="Retail"/>
    <n v="0.15"/>
    <x v="5"/>
    <x v="4"/>
    <n v="1"/>
    <x v="712"/>
    <s v="Cust 1559"/>
    <n v="22.08"/>
    <x v="506"/>
    <d v="2025-03-17T00:00:00"/>
    <s v="Ryan"/>
    <n v="3886"/>
  </r>
  <r>
    <d v="2023-09-09T00:00:00"/>
    <x v="3"/>
    <x v="2"/>
    <n v="1"/>
    <n v="224"/>
    <x v="0"/>
    <s v="Wholesale"/>
    <n v="0.15"/>
    <x v="5"/>
    <x v="2"/>
    <n v="0"/>
    <x v="713"/>
    <s v="Cust 1722"/>
    <n v="37.840000000000003"/>
    <x v="507"/>
    <d v="2023-09-14T00:00:00"/>
    <s v="Cameron"/>
    <n v="190"/>
  </r>
  <r>
    <d v="2023-05-28T00:00:00"/>
    <x v="2"/>
    <x v="5"/>
    <n v="2"/>
    <n v="294"/>
    <x v="2"/>
    <s v="Retail"/>
    <n v="0.1"/>
    <x v="4"/>
    <x v="1"/>
    <n v="0"/>
    <x v="714"/>
    <s v="Cust 9029"/>
    <n v="9.0500000000000007"/>
    <x v="424"/>
    <d v="2023-06-01T00:00:00"/>
    <s v="Ryan"/>
    <n v="529"/>
  </r>
  <r>
    <d v="2025-05-21T00:00:00"/>
    <x v="4"/>
    <x v="4"/>
    <n v="1"/>
    <n v="319"/>
    <x v="2"/>
    <s v="Wholesale"/>
    <n v="0.15"/>
    <x v="4"/>
    <x v="0"/>
    <n v="1"/>
    <x v="715"/>
    <s v="Cust 9555"/>
    <n v="18.100000000000001"/>
    <x v="83"/>
    <d v="2025-05-31T00:00:00"/>
    <s v="Wendy"/>
    <n v="271"/>
  </r>
  <r>
    <d v="2023-09-30T00:00:00"/>
    <x v="0"/>
    <x v="0"/>
    <n v="14"/>
    <n v="244"/>
    <x v="3"/>
    <s v="Wholesale"/>
    <n v="0.05"/>
    <x v="4"/>
    <x v="0"/>
    <n v="1"/>
    <x v="716"/>
    <s v="Cust 2484"/>
    <n v="13.24"/>
    <x v="508"/>
    <d v="2023-10-04T00:00:00"/>
    <s v="Eric"/>
    <n v="3245"/>
  </r>
  <r>
    <d v="2024-10-08T00:00:00"/>
    <x v="1"/>
    <x v="0"/>
    <n v="6"/>
    <n v="48"/>
    <x v="3"/>
    <s v="Retail"/>
    <n v="0.1"/>
    <x v="4"/>
    <x v="0"/>
    <n v="0"/>
    <x v="717"/>
    <s v="Cust 4763"/>
    <n v="6.11"/>
    <x v="485"/>
    <d v="2024-10-13T00:00:00"/>
    <s v="Sophie"/>
    <n v="259"/>
  </r>
  <r>
    <d v="2023-04-14T00:00:00"/>
    <x v="0"/>
    <x v="0"/>
    <n v="20"/>
    <n v="87"/>
    <x v="0"/>
    <s v="Retail"/>
    <n v="0"/>
    <x v="3"/>
    <x v="0"/>
    <n v="0"/>
    <x v="718"/>
    <s v="Cust 5016"/>
    <n v="48.48"/>
    <x v="271"/>
    <d v="2023-04-23T00:00:00"/>
    <s v="Eric"/>
    <n v="1740"/>
  </r>
  <r>
    <d v="2023-03-05T00:00:00"/>
    <x v="1"/>
    <x v="4"/>
    <n v="17"/>
    <n v="466"/>
    <x v="2"/>
    <s v="Retail"/>
    <n v="0.1"/>
    <x v="5"/>
    <x v="3"/>
    <n v="0"/>
    <x v="719"/>
    <s v="Cust 5528"/>
    <n v="7.76"/>
    <x v="509"/>
    <d v="2023-03-10T00:00:00"/>
    <s v="Sophie"/>
    <n v="7130"/>
  </r>
  <r>
    <d v="2024-07-17T00:00:00"/>
    <x v="2"/>
    <x v="2"/>
    <n v="17"/>
    <n v="279"/>
    <x v="0"/>
    <s v="Wholesale"/>
    <n v="0.05"/>
    <x v="2"/>
    <x v="2"/>
    <n v="0"/>
    <x v="720"/>
    <s v="Cust 6922"/>
    <n v="30.3"/>
    <x v="414"/>
    <d v="2024-07-20T00:00:00"/>
    <s v="Ryan"/>
    <n v="4506"/>
  </r>
  <r>
    <d v="2024-05-20T00:00:00"/>
    <x v="2"/>
    <x v="5"/>
    <n v="16"/>
    <n v="428"/>
    <x v="1"/>
    <s v="Retail"/>
    <n v="0.1"/>
    <x v="3"/>
    <x v="3"/>
    <n v="0"/>
    <x v="721"/>
    <s v="Cust 4807"/>
    <n v="18.72"/>
    <x v="510"/>
    <d v="2024-05-29T00:00:00"/>
    <s v="Ryan"/>
    <n v="6163"/>
  </r>
  <r>
    <d v="2025-05-06T00:00:00"/>
    <x v="2"/>
    <x v="0"/>
    <n v="15"/>
    <n v="282"/>
    <x v="0"/>
    <s v="Wholesale"/>
    <n v="0.1"/>
    <x v="5"/>
    <x v="2"/>
    <n v="0"/>
    <x v="722"/>
    <s v="Cust 3368"/>
    <n v="36.869999999999997"/>
    <x v="276"/>
    <d v="2025-05-10T00:00:00"/>
    <s v="Ryan"/>
    <n v="3807"/>
  </r>
  <r>
    <d v="2023-01-15T00:00:00"/>
    <x v="2"/>
    <x v="2"/>
    <n v="15"/>
    <n v="185"/>
    <x v="0"/>
    <s v="Wholesale"/>
    <n v="0"/>
    <x v="1"/>
    <x v="4"/>
    <n v="0"/>
    <x v="723"/>
    <s v="Cust 2871"/>
    <n v="29.31"/>
    <x v="511"/>
    <d v="2023-01-17T00:00:00"/>
    <s v="Ryan"/>
    <n v="2775"/>
  </r>
  <r>
    <d v="2024-01-09T00:00:00"/>
    <x v="3"/>
    <x v="4"/>
    <n v="19"/>
    <n v="381"/>
    <x v="3"/>
    <s v="Wholesale"/>
    <n v="0.1"/>
    <x v="4"/>
    <x v="2"/>
    <n v="0"/>
    <x v="724"/>
    <s v="Cust 6229"/>
    <n v="48.73"/>
    <x v="46"/>
    <d v="2024-01-12T00:00:00"/>
    <s v="Cameron"/>
    <n v="6515"/>
  </r>
  <r>
    <d v="2023-07-12T00:00:00"/>
    <x v="1"/>
    <x v="3"/>
    <n v="4"/>
    <n v="445"/>
    <x v="0"/>
    <s v="Retail"/>
    <n v="0.15"/>
    <x v="3"/>
    <x v="0"/>
    <n v="0"/>
    <x v="725"/>
    <s v="Cust 4560"/>
    <n v="47.14"/>
    <x v="512"/>
    <d v="2023-07-21T00:00:00"/>
    <s v="Sophie"/>
    <n v="1513"/>
  </r>
  <r>
    <d v="2025-06-21T00:00:00"/>
    <x v="0"/>
    <x v="3"/>
    <n v="7"/>
    <n v="591"/>
    <x v="0"/>
    <s v="Retail"/>
    <n v="0.05"/>
    <x v="0"/>
    <x v="4"/>
    <n v="1"/>
    <x v="726"/>
    <s v="Cust 7099"/>
    <n v="41.39"/>
    <x v="513"/>
    <d v="2025-06-26T00:00:00"/>
    <s v="Eric"/>
    <n v="3930"/>
  </r>
  <r>
    <d v="2024-12-29T00:00:00"/>
    <x v="2"/>
    <x v="6"/>
    <n v="5"/>
    <n v="35"/>
    <x v="1"/>
    <s v="Retail"/>
    <n v="0.1"/>
    <x v="2"/>
    <x v="1"/>
    <n v="0"/>
    <x v="727"/>
    <s v="Cust 6333"/>
    <n v="27.1"/>
    <x v="514"/>
    <d v="2025-01-02T00:00:00"/>
    <s v="Ryan"/>
    <n v="158"/>
  </r>
  <r>
    <d v="2023-05-23T00:00:00"/>
    <x v="4"/>
    <x v="5"/>
    <n v="9"/>
    <n v="438"/>
    <x v="3"/>
    <s v="Retail"/>
    <n v="0.05"/>
    <x v="5"/>
    <x v="4"/>
    <n v="0"/>
    <x v="728"/>
    <s v="Cust 4678"/>
    <n v="22.73"/>
    <x v="515"/>
    <d v="2023-05-29T00:00:00"/>
    <s v="Wendy"/>
    <n v="3745"/>
  </r>
  <r>
    <d v="2024-04-03T00:00:00"/>
    <x v="3"/>
    <x v="2"/>
    <n v="5"/>
    <n v="85"/>
    <x v="1"/>
    <s v="Retail"/>
    <n v="0.1"/>
    <x v="3"/>
    <x v="4"/>
    <n v="1"/>
    <x v="729"/>
    <s v="Cust 6657"/>
    <n v="29.06"/>
    <x v="516"/>
    <d v="2024-04-09T00:00:00"/>
    <s v="Cameron"/>
    <n v="382"/>
  </r>
  <r>
    <d v="2024-01-17T00:00:00"/>
    <x v="0"/>
    <x v="0"/>
    <n v="7"/>
    <n v="322"/>
    <x v="2"/>
    <s v="Wholesale"/>
    <n v="0.1"/>
    <x v="4"/>
    <x v="3"/>
    <n v="0"/>
    <x v="730"/>
    <s v="Cust 1267"/>
    <n v="19.91"/>
    <x v="517"/>
    <d v="2024-01-27T00:00:00"/>
    <s v="Eric"/>
    <n v="2029"/>
  </r>
  <r>
    <d v="2025-04-05T00:00:00"/>
    <x v="3"/>
    <x v="4"/>
    <n v="2"/>
    <n v="232"/>
    <x v="0"/>
    <s v="Retail"/>
    <n v="0.1"/>
    <x v="1"/>
    <x v="3"/>
    <n v="1"/>
    <x v="731"/>
    <s v="Cust 8150"/>
    <n v="32.659999999999997"/>
    <x v="518"/>
    <d v="2025-04-14T00:00:00"/>
    <s v="Cameron"/>
    <n v="418"/>
  </r>
  <r>
    <d v="2025-04-17T00:00:00"/>
    <x v="3"/>
    <x v="3"/>
    <n v="15"/>
    <n v="242"/>
    <x v="1"/>
    <s v="Wholesale"/>
    <n v="0.15"/>
    <x v="5"/>
    <x v="2"/>
    <n v="0"/>
    <x v="732"/>
    <s v="Cust 3668"/>
    <n v="19.18"/>
    <x v="313"/>
    <d v="2025-04-23T00:00:00"/>
    <s v="Cameron"/>
    <n v="3086"/>
  </r>
  <r>
    <d v="2024-10-12T00:00:00"/>
    <x v="3"/>
    <x v="0"/>
    <n v="2"/>
    <n v="48"/>
    <x v="2"/>
    <s v="Retail"/>
    <n v="0.05"/>
    <x v="3"/>
    <x v="3"/>
    <n v="1"/>
    <x v="733"/>
    <s v="Cust 4803"/>
    <n v="25.81"/>
    <x v="519"/>
    <d v="2024-10-15T00:00:00"/>
    <s v="Cameron"/>
    <n v="91"/>
  </r>
  <r>
    <d v="2024-07-27T00:00:00"/>
    <x v="3"/>
    <x v="3"/>
    <n v="1"/>
    <n v="534"/>
    <x v="3"/>
    <s v="Wholesale"/>
    <n v="0.1"/>
    <x v="0"/>
    <x v="0"/>
    <n v="0"/>
    <x v="734"/>
    <s v="Cust 8633"/>
    <n v="31.3"/>
    <x v="480"/>
    <d v="2024-08-01T00:00:00"/>
    <s v="Cameron"/>
    <n v="481"/>
  </r>
  <r>
    <d v="2025-01-10T00:00:00"/>
    <x v="4"/>
    <x v="5"/>
    <n v="3"/>
    <n v="98"/>
    <x v="3"/>
    <s v="Wholesale"/>
    <n v="0.15"/>
    <x v="4"/>
    <x v="3"/>
    <n v="0"/>
    <x v="735"/>
    <s v="Cust 7235"/>
    <n v="46.37"/>
    <x v="520"/>
    <d v="2025-01-18T00:00:00"/>
    <s v="Wendy"/>
    <n v="250"/>
  </r>
  <r>
    <d v="2024-07-25T00:00:00"/>
    <x v="1"/>
    <x v="3"/>
    <n v="12"/>
    <n v="62"/>
    <x v="3"/>
    <s v="Wholesale"/>
    <n v="0.05"/>
    <x v="1"/>
    <x v="2"/>
    <n v="1"/>
    <x v="736"/>
    <s v="Cust 8992"/>
    <n v="24.34"/>
    <x v="245"/>
    <d v="2024-07-31T00:00:00"/>
    <s v="Sophie"/>
    <n v="707"/>
  </r>
  <r>
    <d v="2024-05-22T00:00:00"/>
    <x v="4"/>
    <x v="5"/>
    <n v="6"/>
    <n v="268"/>
    <x v="1"/>
    <s v="Wholesale"/>
    <n v="0.1"/>
    <x v="4"/>
    <x v="3"/>
    <n v="1"/>
    <x v="737"/>
    <s v="Cust 1889"/>
    <n v="35.69"/>
    <x v="521"/>
    <d v="2024-05-25T00:00:00"/>
    <s v="Wendy"/>
    <n v="1447"/>
  </r>
  <r>
    <d v="2024-08-10T00:00:00"/>
    <x v="3"/>
    <x v="2"/>
    <n v="4"/>
    <n v="529"/>
    <x v="0"/>
    <s v="Wholesale"/>
    <n v="0.05"/>
    <x v="3"/>
    <x v="0"/>
    <n v="0"/>
    <x v="738"/>
    <s v="Cust 5411"/>
    <n v="25.96"/>
    <x v="218"/>
    <d v="2024-08-20T00:00:00"/>
    <s v="Cameron"/>
    <n v="2010"/>
  </r>
  <r>
    <d v="2023-04-27T00:00:00"/>
    <x v="4"/>
    <x v="5"/>
    <n v="2"/>
    <n v="107"/>
    <x v="0"/>
    <s v="Retail"/>
    <n v="0.05"/>
    <x v="1"/>
    <x v="2"/>
    <n v="0"/>
    <x v="739"/>
    <s v="Cust 3411"/>
    <n v="47.33"/>
    <x v="178"/>
    <d v="2023-04-29T00:00:00"/>
    <s v="Wendy"/>
    <n v="203"/>
  </r>
  <r>
    <d v="2023-06-21T00:00:00"/>
    <x v="1"/>
    <x v="5"/>
    <n v="1"/>
    <n v="501"/>
    <x v="2"/>
    <s v="Wholesale"/>
    <n v="0.05"/>
    <x v="2"/>
    <x v="0"/>
    <n v="0"/>
    <x v="740"/>
    <s v="Cust 7449"/>
    <n v="42.1"/>
    <x v="522"/>
    <d v="2023-06-25T00:00:00"/>
    <s v="Sophie"/>
    <n v="476"/>
  </r>
  <r>
    <d v="2024-10-11T00:00:00"/>
    <x v="4"/>
    <x v="6"/>
    <n v="17"/>
    <n v="550"/>
    <x v="0"/>
    <s v="Wholesale"/>
    <n v="0.05"/>
    <x v="1"/>
    <x v="2"/>
    <n v="1"/>
    <x v="741"/>
    <s v="Cust 4788"/>
    <n v="44.42"/>
    <x v="395"/>
    <d v="2024-10-14T00:00:00"/>
    <s v="Wendy"/>
    <n v="8882"/>
  </r>
  <r>
    <d v="2025-01-26T00:00:00"/>
    <x v="2"/>
    <x v="0"/>
    <n v="3"/>
    <n v="59"/>
    <x v="1"/>
    <s v="Retail"/>
    <n v="0.05"/>
    <x v="3"/>
    <x v="4"/>
    <n v="0"/>
    <x v="742"/>
    <s v="Cust 3564"/>
    <n v="23.57"/>
    <x v="523"/>
    <d v="2025-01-30T00:00:00"/>
    <s v="Ryan"/>
    <n v="168"/>
  </r>
  <r>
    <d v="2024-06-18T00:00:00"/>
    <x v="1"/>
    <x v="3"/>
    <n v="17"/>
    <n v="504"/>
    <x v="1"/>
    <s v="Wholesale"/>
    <n v="0.1"/>
    <x v="4"/>
    <x v="0"/>
    <n v="0"/>
    <x v="743"/>
    <s v="Cust 8018"/>
    <n v="26.47"/>
    <x v="524"/>
    <d v="2024-06-26T00:00:00"/>
    <s v="Sophie"/>
    <n v="7711"/>
  </r>
  <r>
    <d v="2025-06-18T00:00:00"/>
    <x v="0"/>
    <x v="4"/>
    <n v="17"/>
    <n v="420"/>
    <x v="3"/>
    <s v="Wholesale"/>
    <n v="0"/>
    <x v="1"/>
    <x v="4"/>
    <n v="0"/>
    <x v="744"/>
    <s v="Cust 3045"/>
    <n v="17.399999999999999"/>
    <x v="324"/>
    <d v="2025-06-24T00:00:00"/>
    <s v="Eric"/>
    <n v="7140"/>
  </r>
  <r>
    <d v="2024-10-29T00:00:00"/>
    <x v="1"/>
    <x v="0"/>
    <n v="2"/>
    <n v="267"/>
    <x v="0"/>
    <s v="Wholesale"/>
    <n v="0.05"/>
    <x v="2"/>
    <x v="0"/>
    <n v="0"/>
    <x v="745"/>
    <s v="Cust 7020"/>
    <n v="21.36"/>
    <x v="525"/>
    <d v="2024-11-07T00:00:00"/>
    <s v="Sophie"/>
    <n v="507"/>
  </r>
  <r>
    <d v="2025-04-08T00:00:00"/>
    <x v="3"/>
    <x v="1"/>
    <n v="2"/>
    <n v="298"/>
    <x v="0"/>
    <s v="Wholesale"/>
    <n v="0"/>
    <x v="1"/>
    <x v="3"/>
    <n v="1"/>
    <x v="746"/>
    <s v="Cust 1905"/>
    <n v="35.369999999999997"/>
    <x v="409"/>
    <d v="2025-04-14T00:00:00"/>
    <s v="Cameron"/>
    <n v="596"/>
  </r>
  <r>
    <d v="2023-01-31T00:00:00"/>
    <x v="3"/>
    <x v="5"/>
    <n v="13"/>
    <n v="133"/>
    <x v="0"/>
    <s v="Wholesale"/>
    <n v="0.05"/>
    <x v="2"/>
    <x v="3"/>
    <n v="0"/>
    <x v="747"/>
    <s v="Cust 4592"/>
    <n v="42.87"/>
    <x v="526"/>
    <d v="2023-02-05T00:00:00"/>
    <s v="Cameron"/>
    <n v="1643"/>
  </r>
  <r>
    <d v="2024-03-15T00:00:00"/>
    <x v="4"/>
    <x v="3"/>
    <n v="14"/>
    <n v="476"/>
    <x v="1"/>
    <s v="Wholesale"/>
    <n v="0.1"/>
    <x v="0"/>
    <x v="2"/>
    <n v="0"/>
    <x v="748"/>
    <s v="Cust 5482"/>
    <n v="22.11"/>
    <x v="107"/>
    <d v="2024-03-20T00:00:00"/>
    <s v="Wendy"/>
    <n v="5998"/>
  </r>
  <r>
    <d v="2023-06-23T00:00:00"/>
    <x v="2"/>
    <x v="5"/>
    <n v="16"/>
    <n v="295"/>
    <x v="0"/>
    <s v="Retail"/>
    <n v="0.05"/>
    <x v="2"/>
    <x v="4"/>
    <n v="1"/>
    <x v="749"/>
    <s v="Cust 1947"/>
    <n v="17.190000000000001"/>
    <x v="366"/>
    <d v="2023-06-27T00:00:00"/>
    <s v="Ryan"/>
    <n v="4484"/>
  </r>
  <r>
    <d v="2024-06-14T00:00:00"/>
    <x v="2"/>
    <x v="4"/>
    <n v="19"/>
    <n v="596"/>
    <x v="2"/>
    <s v="Retail"/>
    <n v="0.15"/>
    <x v="0"/>
    <x v="3"/>
    <n v="0"/>
    <x v="750"/>
    <s v="Cust 2801"/>
    <n v="31.95"/>
    <x v="392"/>
    <d v="2024-06-23T00:00:00"/>
    <s v="Ryan"/>
    <n v="9625"/>
  </r>
  <r>
    <d v="2023-11-30T00:00:00"/>
    <x v="4"/>
    <x v="2"/>
    <n v="6"/>
    <n v="182"/>
    <x v="0"/>
    <s v="Wholesale"/>
    <n v="0"/>
    <x v="1"/>
    <x v="0"/>
    <n v="1"/>
    <x v="751"/>
    <s v="Cust 8206"/>
    <n v="49.49"/>
    <x v="18"/>
    <d v="2023-12-09T00:00:00"/>
    <s v="Wendy"/>
    <n v="1092"/>
  </r>
  <r>
    <d v="2024-04-21T00:00:00"/>
    <x v="2"/>
    <x v="0"/>
    <n v="10"/>
    <n v="401"/>
    <x v="2"/>
    <s v="Retail"/>
    <n v="0.05"/>
    <x v="3"/>
    <x v="0"/>
    <n v="0"/>
    <x v="752"/>
    <s v="Cust 5277"/>
    <n v="17.46"/>
    <x v="93"/>
    <d v="2024-04-30T00:00:00"/>
    <s v="Ryan"/>
    <n v="3810"/>
  </r>
  <r>
    <d v="2023-08-06T00:00:00"/>
    <x v="0"/>
    <x v="2"/>
    <n v="7"/>
    <n v="374"/>
    <x v="0"/>
    <s v="Retail"/>
    <n v="0.05"/>
    <x v="1"/>
    <x v="1"/>
    <n v="0"/>
    <x v="753"/>
    <s v="Cust 8900"/>
    <n v="46.33"/>
    <x v="23"/>
    <d v="2023-08-12T00:00:00"/>
    <s v="Eric"/>
    <n v="2487"/>
  </r>
  <r>
    <d v="2024-06-21T00:00:00"/>
    <x v="4"/>
    <x v="2"/>
    <n v="7"/>
    <n v="356"/>
    <x v="2"/>
    <s v="Retail"/>
    <n v="0.15"/>
    <x v="3"/>
    <x v="1"/>
    <n v="1"/>
    <x v="754"/>
    <s v="Cust 9387"/>
    <n v="28.77"/>
    <x v="378"/>
    <d v="2024-06-27T00:00:00"/>
    <s v="Wendy"/>
    <n v="2118"/>
  </r>
  <r>
    <d v="2025-03-16T00:00:00"/>
    <x v="2"/>
    <x v="5"/>
    <n v="12"/>
    <n v="260"/>
    <x v="2"/>
    <s v="Retail"/>
    <n v="0.1"/>
    <x v="5"/>
    <x v="4"/>
    <n v="0"/>
    <x v="755"/>
    <s v="Cust 7013"/>
    <n v="14.58"/>
    <x v="527"/>
    <d v="2025-03-24T00:00:00"/>
    <s v="Ryan"/>
    <n v="2808"/>
  </r>
  <r>
    <d v="2024-04-20T00:00:00"/>
    <x v="4"/>
    <x v="5"/>
    <n v="10"/>
    <n v="371"/>
    <x v="0"/>
    <s v="Retail"/>
    <n v="0.15"/>
    <x v="2"/>
    <x v="0"/>
    <n v="1"/>
    <x v="756"/>
    <s v="Cust 4868"/>
    <n v="11.16"/>
    <x v="528"/>
    <d v="2024-04-25T00:00:00"/>
    <s v="Wendy"/>
    <n v="3154"/>
  </r>
  <r>
    <d v="2024-12-20T00:00:00"/>
    <x v="0"/>
    <x v="0"/>
    <n v="2"/>
    <n v="549"/>
    <x v="1"/>
    <s v="Wholesale"/>
    <n v="0.1"/>
    <x v="2"/>
    <x v="2"/>
    <n v="1"/>
    <x v="757"/>
    <s v="Cust 5239"/>
    <n v="26.35"/>
    <x v="529"/>
    <d v="2024-12-29T00:00:00"/>
    <s v="Eric"/>
    <n v="988"/>
  </r>
  <r>
    <d v="2023-08-22T00:00:00"/>
    <x v="2"/>
    <x v="6"/>
    <n v="8"/>
    <n v="344"/>
    <x v="1"/>
    <s v="Wholesale"/>
    <n v="0"/>
    <x v="2"/>
    <x v="4"/>
    <n v="0"/>
    <x v="758"/>
    <s v="Cust 4703"/>
    <n v="16.100000000000001"/>
    <x v="530"/>
    <d v="2023-09-01T00:00:00"/>
    <s v="Ryan"/>
    <n v="2752"/>
  </r>
  <r>
    <d v="2023-03-04T00:00:00"/>
    <x v="2"/>
    <x v="5"/>
    <n v="13"/>
    <n v="495"/>
    <x v="1"/>
    <s v="Wholesale"/>
    <n v="0.15"/>
    <x v="4"/>
    <x v="4"/>
    <n v="0"/>
    <x v="759"/>
    <s v="Cust 7224"/>
    <n v="5.85"/>
    <x v="332"/>
    <d v="2023-03-13T00:00:00"/>
    <s v="Ryan"/>
    <n v="5470"/>
  </r>
  <r>
    <d v="2024-06-24T00:00:00"/>
    <x v="2"/>
    <x v="0"/>
    <n v="9"/>
    <n v="37"/>
    <x v="0"/>
    <s v="Wholesale"/>
    <n v="0.1"/>
    <x v="0"/>
    <x v="3"/>
    <n v="1"/>
    <x v="760"/>
    <s v="Cust 4751"/>
    <n v="29.9"/>
    <x v="503"/>
    <d v="2024-07-01T00:00:00"/>
    <s v="Ryan"/>
    <n v="300"/>
  </r>
  <r>
    <d v="2024-12-09T00:00:00"/>
    <x v="0"/>
    <x v="5"/>
    <n v="14"/>
    <n v="216"/>
    <x v="2"/>
    <s v="Wholesale"/>
    <n v="0"/>
    <x v="4"/>
    <x v="0"/>
    <n v="0"/>
    <x v="761"/>
    <s v="Cust 1201"/>
    <n v="14.39"/>
    <x v="531"/>
    <d v="2024-12-13T00:00:00"/>
    <s v="Eric"/>
    <n v="3024"/>
  </r>
  <r>
    <d v="2024-07-04T00:00:00"/>
    <x v="4"/>
    <x v="0"/>
    <n v="11"/>
    <n v="129"/>
    <x v="1"/>
    <s v="Retail"/>
    <n v="0.05"/>
    <x v="4"/>
    <x v="3"/>
    <n v="0"/>
    <x v="762"/>
    <s v="Cust 9584"/>
    <n v="38.58"/>
    <x v="532"/>
    <d v="2024-07-07T00:00:00"/>
    <s v="Wendy"/>
    <n v="1348"/>
  </r>
  <r>
    <d v="2025-03-04T00:00:00"/>
    <x v="0"/>
    <x v="1"/>
    <n v="11"/>
    <n v="183"/>
    <x v="0"/>
    <s v="Retail"/>
    <n v="0.15"/>
    <x v="2"/>
    <x v="1"/>
    <n v="0"/>
    <x v="763"/>
    <s v="Cust 6980"/>
    <n v="41.83"/>
    <x v="155"/>
    <d v="2025-03-06T00:00:00"/>
    <s v="Eric"/>
    <n v="1711"/>
  </r>
  <r>
    <d v="2024-01-22T00:00:00"/>
    <x v="0"/>
    <x v="6"/>
    <n v="11"/>
    <n v="278"/>
    <x v="1"/>
    <s v="Retail"/>
    <n v="0.05"/>
    <x v="2"/>
    <x v="1"/>
    <n v="0"/>
    <x v="764"/>
    <s v="Cust 2835"/>
    <n v="44.04"/>
    <x v="115"/>
    <d v="2024-01-29T00:00:00"/>
    <s v="Eric"/>
    <n v="2905"/>
  </r>
  <r>
    <d v="2025-03-12T00:00:00"/>
    <x v="0"/>
    <x v="2"/>
    <n v="14"/>
    <n v="554"/>
    <x v="1"/>
    <s v="Retail"/>
    <n v="0.05"/>
    <x v="4"/>
    <x v="4"/>
    <n v="0"/>
    <x v="765"/>
    <s v="Cust 4286"/>
    <n v="36.72"/>
    <x v="533"/>
    <d v="2025-03-21T00:00:00"/>
    <s v="Eric"/>
    <n v="7368"/>
  </r>
  <r>
    <d v="2025-02-28T00:00:00"/>
    <x v="3"/>
    <x v="1"/>
    <n v="15"/>
    <n v="23"/>
    <x v="1"/>
    <s v="Retail"/>
    <n v="0.05"/>
    <x v="3"/>
    <x v="3"/>
    <n v="0"/>
    <x v="766"/>
    <s v="Cust 7876"/>
    <n v="25.27"/>
    <x v="376"/>
    <d v="2025-03-03T00:00:00"/>
    <s v="Cameron"/>
    <n v="328"/>
  </r>
  <r>
    <d v="2024-05-23T00:00:00"/>
    <x v="0"/>
    <x v="2"/>
    <n v="4"/>
    <n v="21"/>
    <x v="3"/>
    <s v="Wholesale"/>
    <n v="0.05"/>
    <x v="5"/>
    <x v="0"/>
    <n v="1"/>
    <x v="767"/>
    <s v="Cust 5926"/>
    <n v="33.67"/>
    <x v="24"/>
    <d v="2024-05-31T00:00:00"/>
    <s v="Eric"/>
    <n v="80"/>
  </r>
  <r>
    <d v="2023-09-17T00:00:00"/>
    <x v="2"/>
    <x v="2"/>
    <n v="18"/>
    <n v="132"/>
    <x v="1"/>
    <s v="Wholesale"/>
    <n v="0.05"/>
    <x v="4"/>
    <x v="2"/>
    <n v="1"/>
    <x v="768"/>
    <s v="Cust 4478"/>
    <n v="24.3"/>
    <x v="121"/>
    <d v="2023-09-20T00:00:00"/>
    <s v="Ryan"/>
    <n v="2257"/>
  </r>
  <r>
    <d v="2023-06-13T00:00:00"/>
    <x v="0"/>
    <x v="1"/>
    <n v="19"/>
    <n v="200"/>
    <x v="1"/>
    <s v="Retail"/>
    <n v="0.1"/>
    <x v="3"/>
    <x v="4"/>
    <n v="1"/>
    <x v="769"/>
    <s v="Cust 4711"/>
    <n v="35.119999999999997"/>
    <x v="343"/>
    <d v="2023-06-18T00:00:00"/>
    <s v="Eric"/>
    <n v="3420"/>
  </r>
  <r>
    <d v="2025-05-31T00:00:00"/>
    <x v="4"/>
    <x v="1"/>
    <n v="16"/>
    <n v="307"/>
    <x v="1"/>
    <s v="Wholesale"/>
    <n v="0"/>
    <x v="5"/>
    <x v="3"/>
    <n v="0"/>
    <x v="770"/>
    <s v="Cust 9227"/>
    <n v="11.99"/>
    <x v="534"/>
    <d v="2025-06-02T00:00:00"/>
    <s v="Wendy"/>
    <n v="4912"/>
  </r>
  <r>
    <d v="2023-10-11T00:00:00"/>
    <x v="0"/>
    <x v="5"/>
    <n v="1"/>
    <n v="316"/>
    <x v="2"/>
    <s v="Retail"/>
    <n v="0.15"/>
    <x v="1"/>
    <x v="2"/>
    <n v="0"/>
    <x v="771"/>
    <s v="Cust 2830"/>
    <n v="43.2"/>
    <x v="535"/>
    <d v="2023-10-14T00:00:00"/>
    <s v="Eric"/>
    <n v="269"/>
  </r>
  <r>
    <d v="2023-08-07T00:00:00"/>
    <x v="4"/>
    <x v="6"/>
    <n v="5"/>
    <n v="597"/>
    <x v="1"/>
    <s v="Retail"/>
    <n v="0"/>
    <x v="0"/>
    <x v="4"/>
    <n v="0"/>
    <x v="772"/>
    <s v="Cust 3767"/>
    <n v="14.43"/>
    <x v="536"/>
    <d v="2023-08-14T00:00:00"/>
    <s v="Wendy"/>
    <n v="2985"/>
  </r>
  <r>
    <d v="2023-12-03T00:00:00"/>
    <x v="2"/>
    <x v="0"/>
    <n v="17"/>
    <n v="377"/>
    <x v="1"/>
    <s v="Retail"/>
    <n v="0.05"/>
    <x v="3"/>
    <x v="3"/>
    <n v="1"/>
    <x v="773"/>
    <s v="Cust 1561"/>
    <n v="38.479999999999997"/>
    <x v="388"/>
    <d v="2023-12-05T00:00:00"/>
    <s v="Ryan"/>
    <n v="6089"/>
  </r>
  <r>
    <d v="2024-08-01T00:00:00"/>
    <x v="3"/>
    <x v="6"/>
    <n v="6"/>
    <n v="209"/>
    <x v="3"/>
    <s v="Retail"/>
    <n v="0.1"/>
    <x v="2"/>
    <x v="2"/>
    <n v="0"/>
    <x v="774"/>
    <s v="Cust 8569"/>
    <n v="49.93"/>
    <x v="537"/>
    <d v="2024-08-04T00:00:00"/>
    <s v="Cameron"/>
    <n v="1129"/>
  </r>
  <r>
    <d v="2023-03-20T00:00:00"/>
    <x v="0"/>
    <x v="3"/>
    <n v="7"/>
    <n v="308"/>
    <x v="0"/>
    <s v="Wholesale"/>
    <n v="0"/>
    <x v="0"/>
    <x v="3"/>
    <n v="1"/>
    <x v="775"/>
    <s v="Cust 1254"/>
    <n v="14"/>
    <x v="538"/>
    <d v="2023-03-27T00:00:00"/>
    <s v="Eric"/>
    <n v="2156"/>
  </r>
  <r>
    <d v="2025-06-30T00:00:00"/>
    <x v="3"/>
    <x v="5"/>
    <n v="13"/>
    <n v="382"/>
    <x v="3"/>
    <s v="Retail"/>
    <n v="0.05"/>
    <x v="0"/>
    <x v="2"/>
    <n v="0"/>
    <x v="776"/>
    <s v="Cust 8556"/>
    <n v="7.59"/>
    <x v="148"/>
    <d v="2025-07-04T00:00:00"/>
    <s v="Cameron"/>
    <n v="4718"/>
  </r>
  <r>
    <d v="2025-02-05T00:00:00"/>
    <x v="1"/>
    <x v="2"/>
    <n v="9"/>
    <n v="188"/>
    <x v="0"/>
    <s v="Retail"/>
    <n v="0"/>
    <x v="2"/>
    <x v="4"/>
    <n v="0"/>
    <x v="777"/>
    <s v="Cust 7204"/>
    <n v="11.44"/>
    <x v="317"/>
    <d v="2025-02-07T00:00:00"/>
    <s v="Sophie"/>
    <n v="1692"/>
  </r>
  <r>
    <d v="2024-05-19T00:00:00"/>
    <x v="0"/>
    <x v="2"/>
    <n v="17"/>
    <n v="238"/>
    <x v="3"/>
    <s v="Wholesale"/>
    <n v="0.15"/>
    <x v="2"/>
    <x v="4"/>
    <n v="0"/>
    <x v="778"/>
    <s v="Cust 7725"/>
    <n v="21.64"/>
    <x v="539"/>
    <d v="2024-05-29T00:00:00"/>
    <s v="Eric"/>
    <n v="3439"/>
  </r>
  <r>
    <d v="2023-03-04T00:00:00"/>
    <x v="2"/>
    <x v="6"/>
    <n v="10"/>
    <n v="451"/>
    <x v="0"/>
    <s v="Retail"/>
    <n v="0.1"/>
    <x v="5"/>
    <x v="1"/>
    <n v="0"/>
    <x v="779"/>
    <s v="Cust 9210"/>
    <n v="21.31"/>
    <x v="332"/>
    <d v="2023-03-12T00:00:00"/>
    <s v="Ryan"/>
    <n v="4059"/>
  </r>
  <r>
    <d v="2023-01-22T00:00:00"/>
    <x v="3"/>
    <x v="4"/>
    <n v="2"/>
    <n v="413"/>
    <x v="3"/>
    <s v="Retail"/>
    <n v="0.1"/>
    <x v="1"/>
    <x v="0"/>
    <n v="1"/>
    <x v="780"/>
    <s v="Cust 9085"/>
    <n v="41.69"/>
    <x v="229"/>
    <d v="2023-01-24T00:00:00"/>
    <s v="Cameron"/>
    <n v="743"/>
  </r>
  <r>
    <d v="2023-03-20T00:00:00"/>
    <x v="1"/>
    <x v="1"/>
    <n v="20"/>
    <n v="537"/>
    <x v="0"/>
    <s v="Retail"/>
    <n v="0.15"/>
    <x v="3"/>
    <x v="3"/>
    <n v="0"/>
    <x v="781"/>
    <s v="Cust 4937"/>
    <n v="41.42"/>
    <x v="538"/>
    <d v="2023-03-25T00:00:00"/>
    <s v="Sophie"/>
    <n v="9129"/>
  </r>
  <r>
    <d v="2024-06-05T00:00:00"/>
    <x v="4"/>
    <x v="1"/>
    <n v="5"/>
    <n v="206"/>
    <x v="3"/>
    <s v="Retail"/>
    <n v="0.05"/>
    <x v="1"/>
    <x v="3"/>
    <n v="0"/>
    <x v="782"/>
    <s v="Cust 3606"/>
    <n v="35.51"/>
    <x v="410"/>
    <d v="2024-06-13T00:00:00"/>
    <s v="Wendy"/>
    <n v="978"/>
  </r>
  <r>
    <d v="2024-07-09T00:00:00"/>
    <x v="0"/>
    <x v="6"/>
    <n v="4"/>
    <n v="257"/>
    <x v="1"/>
    <s v="Wholesale"/>
    <n v="0.15"/>
    <x v="3"/>
    <x v="4"/>
    <n v="1"/>
    <x v="783"/>
    <s v="Cust 5865"/>
    <n v="44.72"/>
    <x v="540"/>
    <d v="2024-07-17T00:00:00"/>
    <s v="Eric"/>
    <n v="874"/>
  </r>
  <r>
    <d v="2025-03-08T00:00:00"/>
    <x v="1"/>
    <x v="4"/>
    <n v="1"/>
    <n v="247"/>
    <x v="2"/>
    <s v="Wholesale"/>
    <n v="0"/>
    <x v="5"/>
    <x v="2"/>
    <n v="0"/>
    <x v="784"/>
    <s v="Cust 7195"/>
    <n v="26.86"/>
    <x v="251"/>
    <d v="2025-03-13T00:00:00"/>
    <s v="Sophie"/>
    <n v="247"/>
  </r>
  <r>
    <d v="2025-06-21T00:00:00"/>
    <x v="1"/>
    <x v="5"/>
    <n v="3"/>
    <n v="583"/>
    <x v="0"/>
    <s v="Retail"/>
    <n v="0.15"/>
    <x v="4"/>
    <x v="4"/>
    <n v="1"/>
    <x v="785"/>
    <s v="Cust 6113"/>
    <n v="30.12"/>
    <x v="513"/>
    <d v="2025-06-30T00:00:00"/>
    <s v="Sophie"/>
    <n v="1487"/>
  </r>
  <r>
    <d v="2025-06-28T00:00:00"/>
    <x v="2"/>
    <x v="5"/>
    <n v="13"/>
    <n v="341"/>
    <x v="2"/>
    <s v="Retail"/>
    <n v="0.15"/>
    <x v="1"/>
    <x v="4"/>
    <n v="0"/>
    <x v="786"/>
    <s v="Cust 9878"/>
    <n v="18.2"/>
    <x v="541"/>
    <d v="2025-07-01T00:00:00"/>
    <s v="Ryan"/>
    <n v="3768"/>
  </r>
  <r>
    <d v="2025-04-05T00:00:00"/>
    <x v="4"/>
    <x v="3"/>
    <n v="19"/>
    <n v="267"/>
    <x v="3"/>
    <s v="Wholesale"/>
    <n v="0.15"/>
    <x v="5"/>
    <x v="0"/>
    <n v="1"/>
    <x v="787"/>
    <s v="Cust 3936"/>
    <n v="35.82"/>
    <x v="518"/>
    <d v="2025-04-13T00:00:00"/>
    <s v="Wendy"/>
    <n v="4312"/>
  </r>
  <r>
    <d v="2024-03-05T00:00:00"/>
    <x v="1"/>
    <x v="6"/>
    <n v="7"/>
    <n v="78"/>
    <x v="3"/>
    <s v="Wholesale"/>
    <n v="0"/>
    <x v="3"/>
    <x v="2"/>
    <n v="0"/>
    <x v="788"/>
    <s v="Cust 3937"/>
    <n v="41.89"/>
    <x v="337"/>
    <d v="2024-03-12T00:00:00"/>
    <s v="Sophie"/>
    <n v="546"/>
  </r>
  <r>
    <d v="2024-03-09T00:00:00"/>
    <x v="0"/>
    <x v="1"/>
    <n v="20"/>
    <n v="312"/>
    <x v="2"/>
    <s v="Retail"/>
    <n v="0"/>
    <x v="3"/>
    <x v="2"/>
    <n v="0"/>
    <x v="789"/>
    <s v="Cust 5262"/>
    <n v="28.11"/>
    <x v="542"/>
    <d v="2024-03-11T00:00:00"/>
    <s v="Eric"/>
    <n v="6240"/>
  </r>
  <r>
    <d v="2025-02-25T00:00:00"/>
    <x v="3"/>
    <x v="4"/>
    <n v="19"/>
    <n v="14"/>
    <x v="2"/>
    <s v="Wholesale"/>
    <n v="0.05"/>
    <x v="3"/>
    <x v="4"/>
    <n v="0"/>
    <x v="790"/>
    <s v="Cust 3892"/>
    <n v="37.840000000000003"/>
    <x v="296"/>
    <d v="2025-02-28T00:00:00"/>
    <s v="Cameron"/>
    <n v="253"/>
  </r>
  <r>
    <d v="2024-11-16T00:00:00"/>
    <x v="4"/>
    <x v="5"/>
    <n v="17"/>
    <n v="267"/>
    <x v="3"/>
    <s v="Retail"/>
    <n v="0.05"/>
    <x v="2"/>
    <x v="2"/>
    <n v="0"/>
    <x v="791"/>
    <s v="Cust 8826"/>
    <n v="32.520000000000003"/>
    <x v="85"/>
    <d v="2024-11-23T00:00:00"/>
    <s v="Wendy"/>
    <n v="4312"/>
  </r>
  <r>
    <d v="2024-08-01T00:00:00"/>
    <x v="1"/>
    <x v="6"/>
    <n v="20"/>
    <n v="248"/>
    <x v="3"/>
    <s v="Wholesale"/>
    <n v="0.05"/>
    <x v="3"/>
    <x v="0"/>
    <n v="0"/>
    <x v="792"/>
    <s v="Cust 1119"/>
    <n v="22.96"/>
    <x v="537"/>
    <d v="2024-08-06T00:00:00"/>
    <s v="Sophie"/>
    <n v="4712"/>
  </r>
  <r>
    <d v="2024-04-20T00:00:00"/>
    <x v="4"/>
    <x v="3"/>
    <n v="5"/>
    <n v="317"/>
    <x v="0"/>
    <s v="Retail"/>
    <n v="0.05"/>
    <x v="1"/>
    <x v="1"/>
    <n v="1"/>
    <x v="793"/>
    <s v="Cust 2685"/>
    <n v="12.7"/>
    <x v="528"/>
    <d v="2024-04-30T00:00:00"/>
    <s v="Wendy"/>
    <n v="1506"/>
  </r>
  <r>
    <d v="2024-04-20T00:00:00"/>
    <x v="1"/>
    <x v="0"/>
    <n v="2"/>
    <n v="170"/>
    <x v="2"/>
    <s v="Retail"/>
    <n v="0.1"/>
    <x v="1"/>
    <x v="3"/>
    <n v="0"/>
    <x v="794"/>
    <s v="Cust 5939"/>
    <n v="45.41"/>
    <x v="528"/>
    <d v="2024-04-25T00:00:00"/>
    <s v="Sophie"/>
    <n v="306"/>
  </r>
  <r>
    <d v="2023-09-22T00:00:00"/>
    <x v="2"/>
    <x v="0"/>
    <n v="19"/>
    <n v="35"/>
    <x v="1"/>
    <s v="Retail"/>
    <n v="0.15"/>
    <x v="4"/>
    <x v="0"/>
    <n v="0"/>
    <x v="795"/>
    <s v="Cust 1791"/>
    <n v="7.06"/>
    <x v="466"/>
    <d v="2023-09-28T00:00:00"/>
    <s v="Ryan"/>
    <n v="565"/>
  </r>
  <r>
    <d v="2025-02-21T00:00:00"/>
    <x v="4"/>
    <x v="3"/>
    <n v="3"/>
    <n v="264"/>
    <x v="1"/>
    <s v="Retail"/>
    <n v="0.1"/>
    <x v="4"/>
    <x v="0"/>
    <n v="0"/>
    <x v="796"/>
    <s v="Cust 8530"/>
    <n v="25.39"/>
    <x v="383"/>
    <d v="2025-03-02T00:00:00"/>
    <s v="Wendy"/>
    <n v="713"/>
  </r>
  <r>
    <d v="2025-06-24T00:00:00"/>
    <x v="0"/>
    <x v="5"/>
    <n v="5"/>
    <n v="138"/>
    <x v="2"/>
    <s v="Wholesale"/>
    <n v="0.15"/>
    <x v="4"/>
    <x v="3"/>
    <n v="0"/>
    <x v="797"/>
    <s v="Cust 4522"/>
    <n v="6.45"/>
    <x v="543"/>
    <d v="2025-07-01T00:00:00"/>
    <s v="Eric"/>
    <n v="586"/>
  </r>
  <r>
    <d v="2023-11-28T00:00:00"/>
    <x v="3"/>
    <x v="0"/>
    <n v="8"/>
    <n v="158"/>
    <x v="0"/>
    <s v="Retail"/>
    <n v="0.15"/>
    <x v="4"/>
    <x v="0"/>
    <n v="0"/>
    <x v="798"/>
    <s v="Cust 9619"/>
    <n v="6.31"/>
    <x v="206"/>
    <d v="2023-12-05T00:00:00"/>
    <s v="Cameron"/>
    <n v="1074"/>
  </r>
  <r>
    <d v="2024-04-08T00:00:00"/>
    <x v="2"/>
    <x v="2"/>
    <n v="6"/>
    <n v="127"/>
    <x v="2"/>
    <s v="Wholesale"/>
    <n v="0.05"/>
    <x v="0"/>
    <x v="3"/>
    <n v="0"/>
    <x v="799"/>
    <s v="Cust 1637"/>
    <n v="35.49"/>
    <x v="413"/>
    <d v="2024-04-17T00:00:00"/>
    <s v="Ryan"/>
    <n v="724"/>
  </r>
  <r>
    <d v="2025-01-07T00:00:00"/>
    <x v="2"/>
    <x v="3"/>
    <n v="15"/>
    <n v="240"/>
    <x v="2"/>
    <s v="Retail"/>
    <n v="0.05"/>
    <x v="3"/>
    <x v="2"/>
    <n v="0"/>
    <x v="800"/>
    <s v="Cust 6914"/>
    <n v="14.31"/>
    <x v="316"/>
    <d v="2025-01-14T00:00:00"/>
    <s v="Ryan"/>
    <n v="3420"/>
  </r>
  <r>
    <d v="2023-02-24T00:00:00"/>
    <x v="1"/>
    <x v="5"/>
    <n v="3"/>
    <n v="38"/>
    <x v="1"/>
    <s v="Wholesale"/>
    <n v="0.1"/>
    <x v="3"/>
    <x v="3"/>
    <n v="0"/>
    <x v="801"/>
    <s v="Cust 5737"/>
    <n v="43.7"/>
    <x v="349"/>
    <d v="2023-03-03T00:00:00"/>
    <s v="Sophie"/>
    <n v="103"/>
  </r>
  <r>
    <d v="2023-10-19T00:00:00"/>
    <x v="0"/>
    <x v="3"/>
    <n v="13"/>
    <n v="393"/>
    <x v="0"/>
    <s v="Wholesale"/>
    <n v="0.1"/>
    <x v="1"/>
    <x v="0"/>
    <n v="0"/>
    <x v="802"/>
    <s v="Cust 5301"/>
    <n v="12.64"/>
    <x v="544"/>
    <d v="2023-10-26T00:00:00"/>
    <s v="Eric"/>
    <n v="4598"/>
  </r>
  <r>
    <d v="2024-06-17T00:00:00"/>
    <x v="2"/>
    <x v="3"/>
    <n v="10"/>
    <n v="84"/>
    <x v="1"/>
    <s v="Wholesale"/>
    <n v="0.15"/>
    <x v="1"/>
    <x v="2"/>
    <n v="0"/>
    <x v="803"/>
    <s v="Cust 2524"/>
    <n v="41.11"/>
    <x v="545"/>
    <d v="2024-06-21T00:00:00"/>
    <s v="Ryan"/>
    <n v="714"/>
  </r>
  <r>
    <d v="2023-06-21T00:00:00"/>
    <x v="3"/>
    <x v="2"/>
    <n v="10"/>
    <n v="110"/>
    <x v="0"/>
    <s v="Wholesale"/>
    <n v="0"/>
    <x v="2"/>
    <x v="2"/>
    <n v="0"/>
    <x v="804"/>
    <s v="Cust 8480"/>
    <n v="18.47"/>
    <x v="522"/>
    <d v="2023-06-29T00:00:00"/>
    <s v="Cameron"/>
    <n v="1100"/>
  </r>
  <r>
    <d v="2024-08-30T00:00:00"/>
    <x v="0"/>
    <x v="1"/>
    <n v="6"/>
    <n v="289"/>
    <x v="2"/>
    <s v="Wholesale"/>
    <n v="0.15"/>
    <x v="4"/>
    <x v="1"/>
    <n v="0"/>
    <x v="805"/>
    <s v="Cust 2595"/>
    <n v="38.630000000000003"/>
    <x v="315"/>
    <d v="2024-09-02T00:00:00"/>
    <s v="Eric"/>
    <n v="1474"/>
  </r>
  <r>
    <d v="2025-01-03T00:00:00"/>
    <x v="3"/>
    <x v="2"/>
    <n v="10"/>
    <n v="451"/>
    <x v="1"/>
    <s v="Retail"/>
    <n v="0"/>
    <x v="5"/>
    <x v="1"/>
    <n v="0"/>
    <x v="806"/>
    <s v="Cust 7132"/>
    <n v="29.96"/>
    <x v="546"/>
    <d v="2025-01-13T00:00:00"/>
    <s v="Cameron"/>
    <n v="4510"/>
  </r>
  <r>
    <d v="2023-02-23T00:00:00"/>
    <x v="4"/>
    <x v="6"/>
    <n v="16"/>
    <n v="509"/>
    <x v="2"/>
    <s v="Wholesale"/>
    <n v="0"/>
    <x v="3"/>
    <x v="0"/>
    <n v="0"/>
    <x v="807"/>
    <s v="Cust 4240"/>
    <n v="37.53"/>
    <x v="0"/>
    <d v="2023-03-02T00:00:00"/>
    <s v="Wendy"/>
    <n v="8144"/>
  </r>
  <r>
    <d v="2025-04-26T00:00:00"/>
    <x v="3"/>
    <x v="6"/>
    <n v="4"/>
    <n v="583"/>
    <x v="3"/>
    <s v="Wholesale"/>
    <n v="0.05"/>
    <x v="3"/>
    <x v="4"/>
    <n v="0"/>
    <x v="808"/>
    <s v="Cust 4644"/>
    <n v="44.26"/>
    <x v="547"/>
    <d v="2025-04-29T00:00:00"/>
    <s v="Cameron"/>
    <n v="2215"/>
  </r>
  <r>
    <d v="2023-06-08T00:00:00"/>
    <x v="1"/>
    <x v="1"/>
    <n v="9"/>
    <n v="115"/>
    <x v="0"/>
    <s v="Wholesale"/>
    <n v="0"/>
    <x v="1"/>
    <x v="2"/>
    <n v="0"/>
    <x v="809"/>
    <s v="Cust 5133"/>
    <n v="8.2799999999999994"/>
    <x v="548"/>
    <d v="2023-06-14T00:00:00"/>
    <s v="Sophie"/>
    <n v="1035"/>
  </r>
  <r>
    <d v="2023-03-16T00:00:00"/>
    <x v="2"/>
    <x v="4"/>
    <n v="14"/>
    <n v="565"/>
    <x v="3"/>
    <s v="Wholesale"/>
    <n v="0.1"/>
    <x v="0"/>
    <x v="0"/>
    <n v="0"/>
    <x v="810"/>
    <s v="Cust 1731"/>
    <n v="24.4"/>
    <x v="399"/>
    <d v="2023-03-25T00:00:00"/>
    <s v="Ryan"/>
    <n v="7119"/>
  </r>
  <r>
    <d v="2024-10-23T00:00:00"/>
    <x v="2"/>
    <x v="1"/>
    <n v="11"/>
    <n v="122"/>
    <x v="3"/>
    <s v="Wholesale"/>
    <n v="0"/>
    <x v="3"/>
    <x v="2"/>
    <n v="0"/>
    <x v="811"/>
    <s v="Cust 3739"/>
    <n v="16.62"/>
    <x v="75"/>
    <d v="2024-10-28T00:00:00"/>
    <s v="Ryan"/>
    <n v="1342"/>
  </r>
  <r>
    <d v="2025-05-23T00:00:00"/>
    <x v="0"/>
    <x v="6"/>
    <n v="9"/>
    <n v="160"/>
    <x v="3"/>
    <s v="Retail"/>
    <n v="0.1"/>
    <x v="1"/>
    <x v="3"/>
    <n v="1"/>
    <x v="812"/>
    <s v="Cust 3853"/>
    <n v="29.64"/>
    <x v="549"/>
    <d v="2025-05-28T00:00:00"/>
    <s v="Eric"/>
    <n v="1296"/>
  </r>
  <r>
    <d v="2023-05-06T00:00:00"/>
    <x v="0"/>
    <x v="2"/>
    <n v="14"/>
    <n v="176"/>
    <x v="0"/>
    <s v="Wholesale"/>
    <n v="0.05"/>
    <x v="5"/>
    <x v="4"/>
    <n v="0"/>
    <x v="813"/>
    <s v="Cust 6830"/>
    <n v="26.12"/>
    <x v="400"/>
    <d v="2023-05-14T00:00:00"/>
    <s v="Eric"/>
    <n v="2341"/>
  </r>
  <r>
    <d v="2024-08-15T00:00:00"/>
    <x v="1"/>
    <x v="5"/>
    <n v="3"/>
    <n v="438"/>
    <x v="2"/>
    <s v="Wholesale"/>
    <n v="0.05"/>
    <x v="0"/>
    <x v="4"/>
    <n v="1"/>
    <x v="814"/>
    <s v="Cust 5351"/>
    <n v="23.29"/>
    <x v="255"/>
    <d v="2024-08-22T00:00:00"/>
    <s v="Sophie"/>
    <n v="1248"/>
  </r>
  <r>
    <d v="2023-08-23T00:00:00"/>
    <x v="1"/>
    <x v="6"/>
    <n v="12"/>
    <n v="412"/>
    <x v="0"/>
    <s v="Wholesale"/>
    <n v="0.15"/>
    <x v="4"/>
    <x v="4"/>
    <n v="0"/>
    <x v="815"/>
    <s v="Cust 5845"/>
    <n v="19.170000000000002"/>
    <x v="200"/>
    <d v="2023-08-31T00:00:00"/>
    <s v="Sophie"/>
    <n v="4202"/>
  </r>
  <r>
    <d v="2025-04-13T00:00:00"/>
    <x v="1"/>
    <x v="0"/>
    <n v="1"/>
    <n v="163"/>
    <x v="0"/>
    <s v="Retail"/>
    <n v="0"/>
    <x v="4"/>
    <x v="2"/>
    <n v="0"/>
    <x v="816"/>
    <s v="Cust 7004"/>
    <n v="21.15"/>
    <x v="91"/>
    <d v="2025-04-22T00:00:00"/>
    <s v="Sophie"/>
    <n v="163"/>
  </r>
  <r>
    <d v="2024-06-11T00:00:00"/>
    <x v="3"/>
    <x v="2"/>
    <n v="5"/>
    <n v="539"/>
    <x v="0"/>
    <s v="Wholesale"/>
    <n v="0.05"/>
    <x v="1"/>
    <x v="1"/>
    <n v="0"/>
    <x v="817"/>
    <s v="Cust 4095"/>
    <n v="45.81"/>
    <x v="550"/>
    <d v="2024-06-17T00:00:00"/>
    <s v="Cameron"/>
    <n v="2560"/>
  </r>
  <r>
    <d v="2024-04-29T00:00:00"/>
    <x v="1"/>
    <x v="1"/>
    <n v="11"/>
    <n v="256"/>
    <x v="2"/>
    <s v="Wholesale"/>
    <n v="0.1"/>
    <x v="1"/>
    <x v="0"/>
    <n v="0"/>
    <x v="818"/>
    <s v="Cust 7833"/>
    <n v="21.99"/>
    <x v="131"/>
    <d v="2024-05-04T00:00:00"/>
    <s v="Sophie"/>
    <n v="2534"/>
  </r>
  <r>
    <d v="2023-03-27T00:00:00"/>
    <x v="1"/>
    <x v="2"/>
    <n v="7"/>
    <n v="290"/>
    <x v="1"/>
    <s v="Retail"/>
    <n v="0.1"/>
    <x v="1"/>
    <x v="4"/>
    <n v="0"/>
    <x v="819"/>
    <s v="Cust 5826"/>
    <n v="33.15"/>
    <x v="340"/>
    <d v="2023-04-04T00:00:00"/>
    <s v="Sophie"/>
    <n v="1827"/>
  </r>
  <r>
    <d v="2024-10-23T00:00:00"/>
    <x v="2"/>
    <x v="3"/>
    <n v="20"/>
    <n v="199"/>
    <x v="0"/>
    <s v="Retail"/>
    <n v="0.1"/>
    <x v="4"/>
    <x v="2"/>
    <n v="1"/>
    <x v="820"/>
    <s v="Cust 9410"/>
    <n v="5.16"/>
    <x v="75"/>
    <d v="2024-10-25T00:00:00"/>
    <s v="Ryan"/>
    <n v="3582"/>
  </r>
  <r>
    <d v="2023-06-21T00:00:00"/>
    <x v="2"/>
    <x v="6"/>
    <n v="11"/>
    <n v="577"/>
    <x v="2"/>
    <s v="Retail"/>
    <n v="0.15"/>
    <x v="2"/>
    <x v="4"/>
    <n v="0"/>
    <x v="821"/>
    <s v="Cust 9397"/>
    <n v="13.16"/>
    <x v="522"/>
    <d v="2023-06-28T00:00:00"/>
    <s v="Ryan"/>
    <n v="5395"/>
  </r>
  <r>
    <d v="2023-05-12T00:00:00"/>
    <x v="3"/>
    <x v="6"/>
    <n v="10"/>
    <n v="50"/>
    <x v="1"/>
    <s v="Wholesale"/>
    <n v="0.1"/>
    <x v="5"/>
    <x v="4"/>
    <n v="1"/>
    <x v="822"/>
    <s v="Cust 6665"/>
    <n v="23.43"/>
    <x v="551"/>
    <d v="2023-05-19T00:00:00"/>
    <s v="Cameron"/>
    <n v="450"/>
  </r>
  <r>
    <d v="2024-10-20T00:00:00"/>
    <x v="3"/>
    <x v="6"/>
    <n v="19"/>
    <n v="554"/>
    <x v="0"/>
    <s v="Retail"/>
    <n v="0.15"/>
    <x v="3"/>
    <x v="0"/>
    <n v="1"/>
    <x v="823"/>
    <s v="Cust 2590"/>
    <n v="47.16"/>
    <x v="552"/>
    <d v="2024-10-24T00:00:00"/>
    <s v="Cameron"/>
    <n v="8947"/>
  </r>
  <r>
    <d v="2024-04-04T00:00:00"/>
    <x v="2"/>
    <x v="0"/>
    <n v="14"/>
    <n v="117"/>
    <x v="1"/>
    <s v="Wholesale"/>
    <n v="0"/>
    <x v="4"/>
    <x v="0"/>
    <n v="0"/>
    <x v="824"/>
    <s v="Cust 4599"/>
    <n v="41.24"/>
    <x v="553"/>
    <d v="2024-04-07T00:00:00"/>
    <s v="Ryan"/>
    <n v="1638"/>
  </r>
  <r>
    <d v="2025-01-12T00:00:00"/>
    <x v="3"/>
    <x v="5"/>
    <n v="3"/>
    <n v="194"/>
    <x v="1"/>
    <s v="Retail"/>
    <n v="0"/>
    <x v="5"/>
    <x v="2"/>
    <n v="0"/>
    <x v="825"/>
    <s v="Cust 7166"/>
    <n v="27.53"/>
    <x v="87"/>
    <d v="2025-01-16T00:00:00"/>
    <s v="Cameron"/>
    <n v="582"/>
  </r>
  <r>
    <d v="2023-07-24T00:00:00"/>
    <x v="1"/>
    <x v="1"/>
    <n v="20"/>
    <n v="387"/>
    <x v="1"/>
    <s v="Wholesale"/>
    <n v="0.05"/>
    <x v="3"/>
    <x v="0"/>
    <n v="0"/>
    <x v="826"/>
    <s v="Cust 6177"/>
    <n v="41.56"/>
    <x v="554"/>
    <d v="2023-07-29T00:00:00"/>
    <s v="Sophie"/>
    <n v="7353"/>
  </r>
  <r>
    <d v="2023-09-09T00:00:00"/>
    <x v="2"/>
    <x v="3"/>
    <n v="12"/>
    <n v="81"/>
    <x v="3"/>
    <s v="Wholesale"/>
    <n v="0"/>
    <x v="3"/>
    <x v="4"/>
    <n v="1"/>
    <x v="827"/>
    <s v="Cust 6229"/>
    <n v="30.73"/>
    <x v="507"/>
    <d v="2023-09-13T00:00:00"/>
    <s v="Ryan"/>
    <n v="972"/>
  </r>
  <r>
    <d v="2024-04-20T00:00:00"/>
    <x v="0"/>
    <x v="6"/>
    <n v="5"/>
    <n v="551"/>
    <x v="1"/>
    <s v="Retail"/>
    <n v="0.15"/>
    <x v="5"/>
    <x v="1"/>
    <n v="0"/>
    <x v="828"/>
    <s v="Cust 2899"/>
    <n v="16.82"/>
    <x v="528"/>
    <d v="2024-04-27T00:00:00"/>
    <s v="Eric"/>
    <n v="2342"/>
  </r>
  <r>
    <d v="2025-02-06T00:00:00"/>
    <x v="4"/>
    <x v="6"/>
    <n v="4"/>
    <n v="474"/>
    <x v="1"/>
    <s v="Retail"/>
    <n v="0.05"/>
    <x v="0"/>
    <x v="2"/>
    <n v="0"/>
    <x v="829"/>
    <s v="Cust 5322"/>
    <n v="29.22"/>
    <x v="323"/>
    <d v="2025-02-14T00:00:00"/>
    <s v="Wendy"/>
    <n v="1801"/>
  </r>
  <r>
    <d v="2023-06-18T00:00:00"/>
    <x v="4"/>
    <x v="5"/>
    <n v="19"/>
    <n v="25"/>
    <x v="2"/>
    <s v="Wholesale"/>
    <n v="0"/>
    <x v="5"/>
    <x v="2"/>
    <n v="0"/>
    <x v="830"/>
    <s v="Cust 7063"/>
    <n v="31.31"/>
    <x v="391"/>
    <d v="2023-06-22T00:00:00"/>
    <s v="Wendy"/>
    <n v="475"/>
  </r>
  <r>
    <d v="2024-11-01T00:00:00"/>
    <x v="2"/>
    <x v="1"/>
    <n v="2"/>
    <n v="437"/>
    <x v="2"/>
    <s v="Wholesale"/>
    <n v="0"/>
    <x v="2"/>
    <x v="2"/>
    <n v="1"/>
    <x v="831"/>
    <s v="Cust 7487"/>
    <n v="37.369999999999997"/>
    <x v="501"/>
    <d v="2024-11-08T00:00:00"/>
    <s v="Ryan"/>
    <n v="874"/>
  </r>
  <r>
    <d v="2024-08-12T00:00:00"/>
    <x v="4"/>
    <x v="2"/>
    <n v="5"/>
    <n v="449"/>
    <x v="2"/>
    <s v="Wholesale"/>
    <n v="0.15"/>
    <x v="2"/>
    <x v="2"/>
    <n v="1"/>
    <x v="832"/>
    <s v="Cust 5481"/>
    <n v="21.22"/>
    <x v="305"/>
    <d v="2024-08-21T00:00:00"/>
    <s v="Wendy"/>
    <n v="1908"/>
  </r>
  <r>
    <d v="2025-04-08T00:00:00"/>
    <x v="3"/>
    <x v="1"/>
    <n v="14"/>
    <n v="300"/>
    <x v="3"/>
    <s v="Retail"/>
    <n v="0"/>
    <x v="3"/>
    <x v="1"/>
    <n v="0"/>
    <x v="833"/>
    <s v="Cust 3150"/>
    <n v="21.04"/>
    <x v="409"/>
    <d v="2025-04-17T00:00:00"/>
    <s v="Cameron"/>
    <n v="4200"/>
  </r>
  <r>
    <d v="2024-07-20T00:00:00"/>
    <x v="3"/>
    <x v="0"/>
    <n v="8"/>
    <n v="224"/>
    <x v="0"/>
    <s v="Retail"/>
    <n v="0.15"/>
    <x v="5"/>
    <x v="3"/>
    <n v="0"/>
    <x v="834"/>
    <s v="Cust 5099"/>
    <n v="36.9"/>
    <x v="555"/>
    <d v="2024-07-26T00:00:00"/>
    <s v="Cameron"/>
    <n v="1523"/>
  </r>
  <r>
    <d v="2023-02-17T00:00:00"/>
    <x v="4"/>
    <x v="2"/>
    <n v="6"/>
    <n v="328"/>
    <x v="3"/>
    <s v="Wholesale"/>
    <n v="0.05"/>
    <x v="4"/>
    <x v="4"/>
    <n v="0"/>
    <x v="835"/>
    <s v="Cust 6615"/>
    <n v="22.34"/>
    <x v="556"/>
    <d v="2023-02-21T00:00:00"/>
    <s v="Wendy"/>
    <n v="1870"/>
  </r>
  <r>
    <d v="2024-07-02T00:00:00"/>
    <x v="0"/>
    <x v="1"/>
    <n v="8"/>
    <n v="432"/>
    <x v="3"/>
    <s v="Retail"/>
    <n v="0.05"/>
    <x v="0"/>
    <x v="4"/>
    <n v="1"/>
    <x v="836"/>
    <s v="Cust 6924"/>
    <n v="20.64"/>
    <x v="557"/>
    <d v="2024-07-04T00:00:00"/>
    <s v="Eric"/>
    <n v="3283"/>
  </r>
  <r>
    <d v="2025-04-01T00:00:00"/>
    <x v="2"/>
    <x v="4"/>
    <n v="4"/>
    <n v="250"/>
    <x v="2"/>
    <s v="Retail"/>
    <n v="0.15"/>
    <x v="0"/>
    <x v="3"/>
    <n v="0"/>
    <x v="837"/>
    <s v="Cust 2411"/>
    <n v="49.08"/>
    <x v="159"/>
    <d v="2025-04-04T00:00:00"/>
    <s v="Ryan"/>
    <n v="850"/>
  </r>
  <r>
    <d v="2025-06-02T00:00:00"/>
    <x v="1"/>
    <x v="6"/>
    <n v="14"/>
    <n v="194"/>
    <x v="2"/>
    <s v="Wholesale"/>
    <n v="0.15"/>
    <x v="2"/>
    <x v="3"/>
    <n v="0"/>
    <x v="838"/>
    <s v="Cust 9648"/>
    <n v="15.3"/>
    <x v="558"/>
    <d v="2025-06-09T00:00:00"/>
    <s v="Sophie"/>
    <n v="2309"/>
  </r>
  <r>
    <d v="2024-11-21T00:00:00"/>
    <x v="4"/>
    <x v="1"/>
    <n v="5"/>
    <n v="69"/>
    <x v="2"/>
    <s v="Wholesale"/>
    <n v="0"/>
    <x v="3"/>
    <x v="2"/>
    <n v="0"/>
    <x v="839"/>
    <s v="Cust 1974"/>
    <n v="20.83"/>
    <x v="559"/>
    <d v="2024-11-29T00:00:00"/>
    <s v="Wendy"/>
    <n v="345"/>
  </r>
  <r>
    <d v="2024-01-10T00:00:00"/>
    <x v="1"/>
    <x v="6"/>
    <n v="15"/>
    <n v="307"/>
    <x v="1"/>
    <s v="Retail"/>
    <n v="0"/>
    <x v="3"/>
    <x v="4"/>
    <n v="1"/>
    <x v="840"/>
    <s v="Cust 9452"/>
    <n v="19.38"/>
    <x v="560"/>
    <d v="2024-01-14T00:00:00"/>
    <s v="Sophie"/>
    <n v="4605"/>
  </r>
  <r>
    <d v="2023-10-21T00:00:00"/>
    <x v="2"/>
    <x v="2"/>
    <n v="4"/>
    <n v="390"/>
    <x v="1"/>
    <s v="Retail"/>
    <n v="0.15"/>
    <x v="4"/>
    <x v="3"/>
    <n v="0"/>
    <x v="841"/>
    <s v="Cust 4558"/>
    <n v="43.56"/>
    <x v="72"/>
    <d v="2023-10-26T00:00:00"/>
    <s v="Ryan"/>
    <n v="1326"/>
  </r>
  <r>
    <d v="2025-01-20T00:00:00"/>
    <x v="2"/>
    <x v="1"/>
    <n v="7"/>
    <n v="62"/>
    <x v="0"/>
    <s v="Retail"/>
    <n v="0"/>
    <x v="4"/>
    <x v="0"/>
    <n v="0"/>
    <x v="842"/>
    <s v="Cust 8811"/>
    <n v="25.49"/>
    <x v="135"/>
    <d v="2025-01-22T00:00:00"/>
    <s v="Ryan"/>
    <n v="434"/>
  </r>
  <r>
    <d v="2024-11-09T00:00:00"/>
    <x v="4"/>
    <x v="4"/>
    <n v="7"/>
    <n v="83"/>
    <x v="3"/>
    <s v="Wholesale"/>
    <n v="0.05"/>
    <x v="3"/>
    <x v="4"/>
    <n v="0"/>
    <x v="843"/>
    <s v="Cust 7788"/>
    <n v="23.4"/>
    <x v="325"/>
    <d v="2024-11-17T00:00:00"/>
    <s v="Wendy"/>
    <n v="552"/>
  </r>
  <r>
    <d v="2024-04-03T00:00:00"/>
    <x v="4"/>
    <x v="4"/>
    <n v="4"/>
    <n v="563"/>
    <x v="3"/>
    <s v="Retail"/>
    <n v="0.05"/>
    <x v="5"/>
    <x v="4"/>
    <n v="0"/>
    <x v="844"/>
    <s v="Cust 2788"/>
    <n v="19.5"/>
    <x v="516"/>
    <d v="2024-04-07T00:00:00"/>
    <s v="Wendy"/>
    <n v="2139"/>
  </r>
  <r>
    <d v="2024-01-06T00:00:00"/>
    <x v="2"/>
    <x v="1"/>
    <n v="13"/>
    <n v="256"/>
    <x v="3"/>
    <s v="Wholesale"/>
    <n v="0.15"/>
    <x v="1"/>
    <x v="4"/>
    <n v="0"/>
    <x v="845"/>
    <s v="Cust 6621"/>
    <n v="26.04"/>
    <x v="561"/>
    <d v="2024-01-08T00:00:00"/>
    <s v="Ryan"/>
    <n v="2829"/>
  </r>
  <r>
    <d v="2023-08-02T00:00:00"/>
    <x v="3"/>
    <x v="6"/>
    <n v="9"/>
    <n v="303"/>
    <x v="1"/>
    <s v="Wholesale"/>
    <n v="0.05"/>
    <x v="4"/>
    <x v="3"/>
    <n v="0"/>
    <x v="846"/>
    <s v="Cust 8575"/>
    <n v="17.010000000000002"/>
    <x v="562"/>
    <d v="2023-08-05T00:00:00"/>
    <s v="Cameron"/>
    <n v="2591"/>
  </r>
  <r>
    <d v="2023-11-26T00:00:00"/>
    <x v="2"/>
    <x v="3"/>
    <n v="9"/>
    <n v="440"/>
    <x v="1"/>
    <s v="Retail"/>
    <n v="0.15"/>
    <x v="4"/>
    <x v="1"/>
    <n v="0"/>
    <x v="847"/>
    <s v="Cust 8799"/>
    <n v="32.94"/>
    <x v="168"/>
    <d v="2023-12-01T00:00:00"/>
    <s v="Ryan"/>
    <n v="3366"/>
  </r>
  <r>
    <d v="2025-04-20T00:00:00"/>
    <x v="0"/>
    <x v="2"/>
    <n v="17"/>
    <n v="469"/>
    <x v="0"/>
    <s v="Wholesale"/>
    <n v="0.05"/>
    <x v="5"/>
    <x v="2"/>
    <n v="0"/>
    <x v="848"/>
    <s v="Cust 1699"/>
    <n v="45.76"/>
    <x v="248"/>
    <d v="2025-04-26T00:00:00"/>
    <s v="Eric"/>
    <n v="7574"/>
  </r>
  <r>
    <d v="2023-12-29T00:00:00"/>
    <x v="1"/>
    <x v="3"/>
    <n v="18"/>
    <n v="492"/>
    <x v="1"/>
    <s v="Wholesale"/>
    <n v="0.15"/>
    <x v="0"/>
    <x v="2"/>
    <n v="0"/>
    <x v="849"/>
    <s v="Cust 5606"/>
    <n v="37.49"/>
    <x v="183"/>
    <d v="2024-01-05T00:00:00"/>
    <s v="Sophie"/>
    <n v="7528"/>
  </r>
  <r>
    <d v="2025-01-08T00:00:00"/>
    <x v="3"/>
    <x v="3"/>
    <n v="19"/>
    <n v="465"/>
    <x v="2"/>
    <s v="Retail"/>
    <n v="0.05"/>
    <x v="4"/>
    <x v="2"/>
    <n v="0"/>
    <x v="850"/>
    <s v="Cust 4933"/>
    <n v="44.95"/>
    <x v="304"/>
    <d v="2025-01-10T00:00:00"/>
    <s v="Cameron"/>
    <n v="8393"/>
  </r>
  <r>
    <d v="2024-05-06T00:00:00"/>
    <x v="0"/>
    <x v="3"/>
    <n v="18"/>
    <n v="344"/>
    <x v="0"/>
    <s v="Retail"/>
    <n v="0"/>
    <x v="0"/>
    <x v="1"/>
    <n v="0"/>
    <x v="851"/>
    <s v="Cust 9517"/>
    <n v="20.37"/>
    <x v="563"/>
    <d v="2024-05-14T00:00:00"/>
    <s v="Eric"/>
    <n v="6192"/>
  </r>
  <r>
    <d v="2024-09-15T00:00:00"/>
    <x v="2"/>
    <x v="2"/>
    <n v="14"/>
    <n v="473"/>
    <x v="3"/>
    <s v="Wholesale"/>
    <n v="0.05"/>
    <x v="5"/>
    <x v="1"/>
    <n v="0"/>
    <x v="852"/>
    <s v="Cust 6740"/>
    <n v="13.54"/>
    <x v="564"/>
    <d v="2024-09-20T00:00:00"/>
    <s v="Ryan"/>
    <n v="6291"/>
  </r>
  <r>
    <d v="2023-02-07T00:00:00"/>
    <x v="4"/>
    <x v="0"/>
    <n v="20"/>
    <n v="143"/>
    <x v="1"/>
    <s v="Retail"/>
    <n v="0.1"/>
    <x v="0"/>
    <x v="4"/>
    <n v="0"/>
    <x v="853"/>
    <s v="Cust 1301"/>
    <n v="30.67"/>
    <x v="230"/>
    <d v="2023-02-12T00:00:00"/>
    <s v="Wendy"/>
    <n v="2574"/>
  </r>
  <r>
    <d v="2023-03-01T00:00:00"/>
    <x v="0"/>
    <x v="1"/>
    <n v="1"/>
    <n v="31"/>
    <x v="0"/>
    <s v="Retail"/>
    <n v="0.05"/>
    <x v="5"/>
    <x v="2"/>
    <n v="0"/>
    <x v="854"/>
    <s v="Cust 1736"/>
    <n v="11.35"/>
    <x v="565"/>
    <d v="2023-03-09T00:00:00"/>
    <s v="Eric"/>
    <n v="29"/>
  </r>
  <r>
    <d v="2024-05-08T00:00:00"/>
    <x v="2"/>
    <x v="5"/>
    <n v="17"/>
    <n v="572"/>
    <x v="3"/>
    <s v="Retail"/>
    <n v="0.15"/>
    <x v="0"/>
    <x v="0"/>
    <n v="1"/>
    <x v="855"/>
    <s v="Cust 6864"/>
    <n v="44.99"/>
    <x v="336"/>
    <d v="2024-05-12T00:00:00"/>
    <s v="Ryan"/>
    <n v="8265"/>
  </r>
  <r>
    <d v="2024-06-06T00:00:00"/>
    <x v="0"/>
    <x v="2"/>
    <n v="18"/>
    <n v="334"/>
    <x v="1"/>
    <s v="Retail"/>
    <n v="0.1"/>
    <x v="3"/>
    <x v="3"/>
    <n v="1"/>
    <x v="856"/>
    <s v="Cust 5207"/>
    <n v="33.79"/>
    <x v="566"/>
    <d v="2024-06-08T00:00:00"/>
    <s v="Eric"/>
    <n v="5411"/>
  </r>
  <r>
    <d v="2023-04-29T00:00:00"/>
    <x v="2"/>
    <x v="3"/>
    <n v="9"/>
    <n v="91"/>
    <x v="3"/>
    <s v="Retail"/>
    <n v="0.15"/>
    <x v="3"/>
    <x v="3"/>
    <n v="0"/>
    <x v="857"/>
    <s v="Cust 6525"/>
    <n v="26.56"/>
    <x v="431"/>
    <d v="2023-05-08T00:00:00"/>
    <s v="Ryan"/>
    <n v="696"/>
  </r>
  <r>
    <d v="2023-09-20T00:00:00"/>
    <x v="3"/>
    <x v="5"/>
    <n v="9"/>
    <n v="589"/>
    <x v="3"/>
    <s v="Wholesale"/>
    <n v="0.05"/>
    <x v="4"/>
    <x v="0"/>
    <n v="0"/>
    <x v="858"/>
    <s v="Cust 8298"/>
    <n v="42.3"/>
    <x v="567"/>
    <d v="2023-09-22T00:00:00"/>
    <s v="Cameron"/>
    <n v="5036"/>
  </r>
  <r>
    <d v="2024-11-08T00:00:00"/>
    <x v="1"/>
    <x v="3"/>
    <n v="18"/>
    <n v="153"/>
    <x v="0"/>
    <s v="Retail"/>
    <n v="0.05"/>
    <x v="2"/>
    <x v="0"/>
    <n v="1"/>
    <x v="859"/>
    <s v="Cust 8204"/>
    <n v="33.71"/>
    <x v="137"/>
    <d v="2024-11-13T00:00:00"/>
    <s v="Sophie"/>
    <n v="2616"/>
  </r>
  <r>
    <d v="2023-03-22T00:00:00"/>
    <x v="2"/>
    <x v="6"/>
    <n v="17"/>
    <n v="195"/>
    <x v="1"/>
    <s v="Retail"/>
    <n v="0.15"/>
    <x v="3"/>
    <x v="1"/>
    <n v="1"/>
    <x v="860"/>
    <s v="Cust 4035"/>
    <n v="5.59"/>
    <x v="568"/>
    <d v="2023-03-30T00:00:00"/>
    <s v="Ryan"/>
    <n v="2818"/>
  </r>
  <r>
    <d v="2023-09-05T00:00:00"/>
    <x v="0"/>
    <x v="4"/>
    <n v="5"/>
    <n v="368"/>
    <x v="2"/>
    <s v="Retail"/>
    <n v="0"/>
    <x v="1"/>
    <x v="2"/>
    <n v="0"/>
    <x v="861"/>
    <s v="Cust 1654"/>
    <n v="19.55"/>
    <x v="569"/>
    <d v="2023-09-13T00:00:00"/>
    <s v="Eric"/>
    <n v="1840"/>
  </r>
  <r>
    <d v="2023-02-26T00:00:00"/>
    <x v="0"/>
    <x v="0"/>
    <n v="17"/>
    <n v="576"/>
    <x v="3"/>
    <s v="Retail"/>
    <n v="0.05"/>
    <x v="1"/>
    <x v="3"/>
    <n v="0"/>
    <x v="862"/>
    <s v="Cust 1823"/>
    <n v="13.42"/>
    <x v="16"/>
    <d v="2023-03-05T00:00:00"/>
    <s v="Eric"/>
    <n v="9302"/>
  </r>
  <r>
    <d v="2024-11-26T00:00:00"/>
    <x v="4"/>
    <x v="3"/>
    <n v="3"/>
    <n v="229"/>
    <x v="3"/>
    <s v="Retail"/>
    <n v="0.15"/>
    <x v="5"/>
    <x v="3"/>
    <n v="1"/>
    <x v="863"/>
    <s v="Cust 1423"/>
    <n v="19.809999999999999"/>
    <x v="570"/>
    <d v="2024-11-29T00:00:00"/>
    <s v="Wendy"/>
    <n v="584"/>
  </r>
  <r>
    <d v="2024-10-14T00:00:00"/>
    <x v="3"/>
    <x v="3"/>
    <n v="3"/>
    <n v="392"/>
    <x v="2"/>
    <s v="Retail"/>
    <n v="0"/>
    <x v="2"/>
    <x v="3"/>
    <n v="1"/>
    <x v="864"/>
    <s v="Cust 7282"/>
    <n v="25.36"/>
    <x v="571"/>
    <d v="2024-10-17T00:00:00"/>
    <s v="Cameron"/>
    <n v="1176"/>
  </r>
  <r>
    <d v="2023-05-29T00:00:00"/>
    <x v="3"/>
    <x v="0"/>
    <n v="15"/>
    <n v="67"/>
    <x v="3"/>
    <s v="Wholesale"/>
    <n v="0.1"/>
    <x v="4"/>
    <x v="0"/>
    <n v="0"/>
    <x v="865"/>
    <s v="Cust 8437"/>
    <n v="24.85"/>
    <x v="572"/>
    <d v="2023-06-03T00:00:00"/>
    <s v="Cameron"/>
    <n v="904"/>
  </r>
  <r>
    <d v="2024-03-22T00:00:00"/>
    <x v="3"/>
    <x v="0"/>
    <n v="6"/>
    <n v="454"/>
    <x v="0"/>
    <s v="Retail"/>
    <n v="0.15"/>
    <x v="1"/>
    <x v="2"/>
    <n v="0"/>
    <x v="866"/>
    <s v="Cust 9508"/>
    <n v="45.32"/>
    <x v="124"/>
    <d v="2024-03-31T00:00:00"/>
    <s v="Cameron"/>
    <n v="2315"/>
  </r>
  <r>
    <d v="2023-04-22T00:00:00"/>
    <x v="1"/>
    <x v="5"/>
    <n v="19"/>
    <n v="538"/>
    <x v="3"/>
    <s v="Wholesale"/>
    <n v="0"/>
    <x v="5"/>
    <x v="0"/>
    <n v="0"/>
    <x v="867"/>
    <s v="Cust 1186"/>
    <n v="45.83"/>
    <x v="573"/>
    <d v="2023-05-02T00:00:00"/>
    <s v="Sophie"/>
    <n v="10222"/>
  </r>
  <r>
    <d v="2025-06-06T00:00:00"/>
    <x v="2"/>
    <x v="1"/>
    <n v="5"/>
    <n v="33"/>
    <x v="2"/>
    <s v="Retail"/>
    <n v="0.05"/>
    <x v="4"/>
    <x v="4"/>
    <n v="0"/>
    <x v="868"/>
    <s v="Cust 4362"/>
    <n v="46.73"/>
    <x v="472"/>
    <d v="2025-06-12T00:00:00"/>
    <s v="Ryan"/>
    <n v="157"/>
  </r>
  <r>
    <d v="2023-01-25T00:00:00"/>
    <x v="3"/>
    <x v="0"/>
    <n v="2"/>
    <n v="197"/>
    <x v="1"/>
    <s v="Retail"/>
    <n v="0"/>
    <x v="2"/>
    <x v="0"/>
    <n v="0"/>
    <x v="869"/>
    <s v="Cust 9388"/>
    <n v="35.840000000000003"/>
    <x v="232"/>
    <d v="2023-01-29T00:00:00"/>
    <s v="Cameron"/>
    <n v="394"/>
  </r>
  <r>
    <d v="2023-09-08T00:00:00"/>
    <x v="1"/>
    <x v="1"/>
    <n v="12"/>
    <n v="369"/>
    <x v="3"/>
    <s v="Wholesale"/>
    <n v="0.1"/>
    <x v="2"/>
    <x v="2"/>
    <n v="1"/>
    <x v="870"/>
    <s v="Cust 4015"/>
    <n v="44.76"/>
    <x v="247"/>
    <d v="2023-09-10T00:00:00"/>
    <s v="Sophie"/>
    <n v="3985"/>
  </r>
  <r>
    <d v="2024-10-04T00:00:00"/>
    <x v="0"/>
    <x v="5"/>
    <n v="12"/>
    <n v="182"/>
    <x v="3"/>
    <s v="Retail"/>
    <n v="0.15"/>
    <x v="0"/>
    <x v="1"/>
    <n v="0"/>
    <x v="871"/>
    <s v="Cust 6428"/>
    <n v="25.06"/>
    <x v="574"/>
    <d v="2024-10-11T00:00:00"/>
    <s v="Eric"/>
    <n v="1856"/>
  </r>
  <r>
    <d v="2025-04-06T00:00:00"/>
    <x v="0"/>
    <x v="2"/>
    <n v="3"/>
    <n v="32"/>
    <x v="3"/>
    <s v="Retail"/>
    <n v="0.15"/>
    <x v="1"/>
    <x v="0"/>
    <n v="1"/>
    <x v="872"/>
    <s v="Cust 2570"/>
    <n v="43.18"/>
    <x v="575"/>
    <d v="2025-04-08T00:00:00"/>
    <s v="Eric"/>
    <n v="82"/>
  </r>
  <r>
    <d v="2024-08-25T00:00:00"/>
    <x v="0"/>
    <x v="0"/>
    <n v="15"/>
    <n v="40"/>
    <x v="1"/>
    <s v="Retail"/>
    <n v="0.15"/>
    <x v="4"/>
    <x v="3"/>
    <n v="0"/>
    <x v="873"/>
    <s v="Cust 5132"/>
    <n v="33.44"/>
    <x v="225"/>
    <d v="2024-08-29T00:00:00"/>
    <s v="Eric"/>
    <n v="510"/>
  </r>
  <r>
    <d v="2024-03-06T00:00:00"/>
    <x v="2"/>
    <x v="1"/>
    <n v="7"/>
    <n v="374"/>
    <x v="1"/>
    <s v="Retail"/>
    <n v="0.15"/>
    <x v="3"/>
    <x v="4"/>
    <n v="0"/>
    <x v="874"/>
    <s v="Cust 4929"/>
    <n v="28.97"/>
    <x v="491"/>
    <d v="2024-03-12T00:00:00"/>
    <s v="Ryan"/>
    <n v="2225"/>
  </r>
  <r>
    <d v="2023-03-23T00:00:00"/>
    <x v="0"/>
    <x v="6"/>
    <n v="2"/>
    <n v="102"/>
    <x v="2"/>
    <s v="Wholesale"/>
    <n v="0"/>
    <x v="4"/>
    <x v="4"/>
    <n v="0"/>
    <x v="875"/>
    <s v="Cust 4018"/>
    <n v="28.63"/>
    <x v="433"/>
    <d v="2023-03-26T00:00:00"/>
    <s v="Eric"/>
    <n v="204"/>
  </r>
  <r>
    <d v="2024-01-13T00:00:00"/>
    <x v="3"/>
    <x v="5"/>
    <n v="13"/>
    <n v="343"/>
    <x v="3"/>
    <s v="Wholesale"/>
    <n v="0.05"/>
    <x v="1"/>
    <x v="1"/>
    <n v="0"/>
    <x v="876"/>
    <s v="Cust 8069"/>
    <n v="27.26"/>
    <x v="576"/>
    <d v="2024-01-17T00:00:00"/>
    <s v="Cameron"/>
    <n v="4236"/>
  </r>
  <r>
    <d v="2023-07-18T00:00:00"/>
    <x v="3"/>
    <x v="6"/>
    <n v="15"/>
    <n v="144"/>
    <x v="2"/>
    <s v="Retail"/>
    <n v="0"/>
    <x v="2"/>
    <x v="1"/>
    <n v="0"/>
    <x v="877"/>
    <s v="Cust 6741"/>
    <n v="28.51"/>
    <x v="338"/>
    <d v="2023-07-24T00:00:00"/>
    <s v="Cameron"/>
    <n v="2160"/>
  </r>
  <r>
    <d v="2025-02-23T00:00:00"/>
    <x v="4"/>
    <x v="3"/>
    <n v="18"/>
    <n v="404"/>
    <x v="1"/>
    <s v="Retail"/>
    <n v="0.15"/>
    <x v="3"/>
    <x v="4"/>
    <n v="0"/>
    <x v="878"/>
    <s v="Cust 8050"/>
    <n v="13.09"/>
    <x v="577"/>
    <d v="2025-03-04T00:00:00"/>
    <s v="Wendy"/>
    <n v="6181"/>
  </r>
  <r>
    <d v="2023-02-22T00:00:00"/>
    <x v="0"/>
    <x v="6"/>
    <n v="14"/>
    <n v="347"/>
    <x v="0"/>
    <s v="Retail"/>
    <n v="0.1"/>
    <x v="3"/>
    <x v="3"/>
    <n v="0"/>
    <x v="879"/>
    <s v="Cust 2434"/>
    <n v="36.83"/>
    <x v="429"/>
    <d v="2023-03-02T00:00:00"/>
    <s v="Eric"/>
    <n v="4372"/>
  </r>
  <r>
    <d v="2024-10-18T00:00:00"/>
    <x v="2"/>
    <x v="6"/>
    <n v="7"/>
    <n v="393"/>
    <x v="2"/>
    <s v="Wholesale"/>
    <n v="0"/>
    <x v="0"/>
    <x v="1"/>
    <n v="0"/>
    <x v="880"/>
    <s v="Cust 9089"/>
    <n v="45.85"/>
    <x v="578"/>
    <d v="2024-10-28T00:00:00"/>
    <s v="Ryan"/>
    <n v="2751"/>
  </r>
  <r>
    <d v="2023-10-26T00:00:00"/>
    <x v="4"/>
    <x v="6"/>
    <n v="16"/>
    <n v="71"/>
    <x v="0"/>
    <s v="Wholesale"/>
    <n v="0.05"/>
    <x v="3"/>
    <x v="1"/>
    <n v="0"/>
    <x v="881"/>
    <s v="Cust 1091"/>
    <n v="5.05"/>
    <x v="71"/>
    <d v="2023-10-31T00:00:00"/>
    <s v="Wendy"/>
    <n v="1079"/>
  </r>
  <r>
    <d v="2023-01-10T00:00:00"/>
    <x v="3"/>
    <x v="4"/>
    <n v="20"/>
    <n v="274"/>
    <x v="0"/>
    <s v="Retail"/>
    <n v="0.1"/>
    <x v="0"/>
    <x v="1"/>
    <n v="0"/>
    <x v="882"/>
    <s v="Cust 6138"/>
    <n v="12.28"/>
    <x v="579"/>
    <d v="2023-01-14T00:00:00"/>
    <s v="Cameron"/>
    <n v="4932"/>
  </r>
  <r>
    <d v="2024-03-19T00:00:00"/>
    <x v="3"/>
    <x v="2"/>
    <n v="10"/>
    <n v="20"/>
    <x v="3"/>
    <s v="Retail"/>
    <n v="0.1"/>
    <x v="3"/>
    <x v="3"/>
    <n v="0"/>
    <x v="883"/>
    <s v="Cust 6326"/>
    <n v="16.059999999999999"/>
    <x v="422"/>
    <d v="2024-03-22T00:00:00"/>
    <s v="Cameron"/>
    <n v="180"/>
  </r>
  <r>
    <d v="2023-12-20T00:00:00"/>
    <x v="3"/>
    <x v="6"/>
    <n v="10"/>
    <n v="466"/>
    <x v="0"/>
    <s v="Wholesale"/>
    <n v="0.05"/>
    <x v="1"/>
    <x v="0"/>
    <n v="0"/>
    <x v="884"/>
    <s v="Cust 1327"/>
    <n v="28.14"/>
    <x v="580"/>
    <d v="2023-12-26T00:00:00"/>
    <s v="Cameron"/>
    <n v="4427"/>
  </r>
  <r>
    <d v="2024-12-09T00:00:00"/>
    <x v="3"/>
    <x v="4"/>
    <n v="19"/>
    <n v="62"/>
    <x v="3"/>
    <s v="Retail"/>
    <n v="0.1"/>
    <x v="4"/>
    <x v="3"/>
    <n v="0"/>
    <x v="885"/>
    <s v="Cust 8602"/>
    <n v="14.85"/>
    <x v="531"/>
    <d v="2024-12-19T00:00:00"/>
    <s v="Cameron"/>
    <n v="1060"/>
  </r>
  <r>
    <d v="2023-05-10T00:00:00"/>
    <x v="3"/>
    <x v="5"/>
    <n v="11"/>
    <n v="529"/>
    <x v="1"/>
    <s v="Wholesale"/>
    <n v="0.05"/>
    <x v="5"/>
    <x v="2"/>
    <n v="1"/>
    <x v="886"/>
    <s v="Cust 9131"/>
    <n v="16.78"/>
    <x v="2"/>
    <d v="2023-05-20T00:00:00"/>
    <s v="Cameron"/>
    <n v="5528"/>
  </r>
  <r>
    <d v="2023-10-18T00:00:00"/>
    <x v="1"/>
    <x v="4"/>
    <n v="7"/>
    <n v="387"/>
    <x v="1"/>
    <s v="Retail"/>
    <n v="0.1"/>
    <x v="5"/>
    <x v="4"/>
    <n v="0"/>
    <x v="887"/>
    <s v="Cust 6716"/>
    <n v="14.76"/>
    <x v="90"/>
    <d v="2023-10-21T00:00:00"/>
    <s v="Sophie"/>
    <n v="2438"/>
  </r>
  <r>
    <d v="2024-12-03T00:00:00"/>
    <x v="1"/>
    <x v="1"/>
    <n v="1"/>
    <n v="153"/>
    <x v="1"/>
    <s v="Wholesale"/>
    <n v="0"/>
    <x v="5"/>
    <x v="2"/>
    <n v="1"/>
    <x v="888"/>
    <s v="Cust 2071"/>
    <n v="9.61"/>
    <x v="581"/>
    <d v="2024-12-06T00:00:00"/>
    <s v="Sophie"/>
    <n v="153"/>
  </r>
  <r>
    <d v="2024-10-10T00:00:00"/>
    <x v="1"/>
    <x v="3"/>
    <n v="8"/>
    <n v="72"/>
    <x v="1"/>
    <s v="Wholesale"/>
    <n v="0.1"/>
    <x v="3"/>
    <x v="3"/>
    <n v="1"/>
    <x v="889"/>
    <s v="Cust 4472"/>
    <n v="26.92"/>
    <x v="268"/>
    <d v="2024-10-17T00:00:00"/>
    <s v="Sophie"/>
    <n v="518"/>
  </r>
  <r>
    <d v="2024-06-03T00:00:00"/>
    <x v="0"/>
    <x v="1"/>
    <n v="4"/>
    <n v="194"/>
    <x v="3"/>
    <s v="Wholesale"/>
    <n v="0.1"/>
    <x v="0"/>
    <x v="2"/>
    <n v="0"/>
    <x v="890"/>
    <s v="Cust 3899"/>
    <n v="26.35"/>
    <x v="189"/>
    <d v="2024-06-07T00:00:00"/>
    <s v="Eric"/>
    <n v="698"/>
  </r>
  <r>
    <d v="2025-03-26T00:00:00"/>
    <x v="1"/>
    <x v="1"/>
    <n v="3"/>
    <n v="159"/>
    <x v="0"/>
    <s v="Wholesale"/>
    <n v="0.05"/>
    <x v="0"/>
    <x v="2"/>
    <n v="1"/>
    <x v="891"/>
    <s v="Cust 9467"/>
    <n v="45.34"/>
    <x v="582"/>
    <d v="2025-03-29T00:00:00"/>
    <s v="Sophie"/>
    <n v="453"/>
  </r>
  <r>
    <d v="2024-04-26T00:00:00"/>
    <x v="2"/>
    <x v="4"/>
    <n v="4"/>
    <n v="303"/>
    <x v="1"/>
    <s v="Retail"/>
    <n v="0.1"/>
    <x v="3"/>
    <x v="1"/>
    <n v="0"/>
    <x v="892"/>
    <s v="Cust 3824"/>
    <n v="30.19"/>
    <x v="478"/>
    <d v="2024-05-01T00:00:00"/>
    <s v="Ryan"/>
    <n v="1091"/>
  </r>
  <r>
    <d v="2023-05-05T00:00:00"/>
    <x v="4"/>
    <x v="3"/>
    <n v="16"/>
    <n v="542"/>
    <x v="2"/>
    <s v="Retail"/>
    <n v="0.1"/>
    <x v="0"/>
    <x v="4"/>
    <n v="1"/>
    <x v="893"/>
    <s v="Cust 3511"/>
    <n v="9.93"/>
    <x v="583"/>
    <d v="2023-05-13T00:00:00"/>
    <s v="Wendy"/>
    <n v="7805"/>
  </r>
  <r>
    <d v="2023-09-23T00:00:00"/>
    <x v="4"/>
    <x v="2"/>
    <n v="7"/>
    <n v="42"/>
    <x v="3"/>
    <s v="Retail"/>
    <n v="0"/>
    <x v="3"/>
    <x v="0"/>
    <n v="0"/>
    <x v="894"/>
    <s v="Cust 3356"/>
    <n v="16.59"/>
    <x v="584"/>
    <d v="2023-09-29T00:00:00"/>
    <s v="Wendy"/>
    <n v="294"/>
  </r>
  <r>
    <d v="2025-03-08T00:00:00"/>
    <x v="1"/>
    <x v="4"/>
    <n v="16"/>
    <n v="218"/>
    <x v="1"/>
    <s v="Wholesale"/>
    <n v="0.15"/>
    <x v="2"/>
    <x v="4"/>
    <n v="1"/>
    <x v="895"/>
    <s v="Cust 2840"/>
    <n v="25.11"/>
    <x v="251"/>
    <d v="2025-03-15T00:00:00"/>
    <s v="Sophie"/>
    <n v="2965"/>
  </r>
  <r>
    <d v="2023-01-17T00:00:00"/>
    <x v="2"/>
    <x v="6"/>
    <n v="15"/>
    <n v="19"/>
    <x v="1"/>
    <s v="Wholesale"/>
    <n v="0"/>
    <x v="3"/>
    <x v="1"/>
    <n v="1"/>
    <x v="896"/>
    <s v="Cust 3811"/>
    <n v="48.93"/>
    <x v="585"/>
    <d v="2023-01-27T00:00:00"/>
    <s v="Ryan"/>
    <n v="285"/>
  </r>
  <r>
    <d v="2023-04-29T00:00:00"/>
    <x v="3"/>
    <x v="4"/>
    <n v="15"/>
    <n v="293"/>
    <x v="3"/>
    <s v="Retail"/>
    <n v="0.1"/>
    <x v="0"/>
    <x v="2"/>
    <n v="0"/>
    <x v="897"/>
    <s v="Cust 9960"/>
    <n v="21.03"/>
    <x v="431"/>
    <d v="2023-05-01T00:00:00"/>
    <s v="Cameron"/>
    <n v="3956"/>
  </r>
  <r>
    <d v="2025-02-16T00:00:00"/>
    <x v="1"/>
    <x v="6"/>
    <n v="18"/>
    <n v="205"/>
    <x v="2"/>
    <s v="Retail"/>
    <n v="0.1"/>
    <x v="4"/>
    <x v="4"/>
    <n v="0"/>
    <x v="898"/>
    <s v="Cust 5906"/>
    <n v="16.04"/>
    <x v="586"/>
    <d v="2025-02-22T00:00:00"/>
    <s v="Sophie"/>
    <n v="3321"/>
  </r>
  <r>
    <d v="2023-06-05T00:00:00"/>
    <x v="0"/>
    <x v="6"/>
    <n v="15"/>
    <n v="325"/>
    <x v="1"/>
    <s v="Retail"/>
    <n v="0.15"/>
    <x v="4"/>
    <x v="3"/>
    <n v="0"/>
    <x v="899"/>
    <s v="Cust 6579"/>
    <n v="24.57"/>
    <x v="587"/>
    <d v="2023-06-09T00:00:00"/>
    <s v="Eric"/>
    <n v="4144"/>
  </r>
  <r>
    <d v="2023-08-28T00:00:00"/>
    <x v="1"/>
    <x v="1"/>
    <n v="11"/>
    <n v="394"/>
    <x v="3"/>
    <s v="Wholesale"/>
    <n v="0.05"/>
    <x v="2"/>
    <x v="3"/>
    <n v="0"/>
    <x v="900"/>
    <s v="Cust 1756"/>
    <n v="32.57"/>
    <x v="228"/>
    <d v="2023-09-06T00:00:00"/>
    <s v="Sophie"/>
    <n v="4117"/>
  </r>
  <r>
    <d v="2023-08-01T00:00:00"/>
    <x v="2"/>
    <x v="6"/>
    <n v="8"/>
    <n v="141"/>
    <x v="3"/>
    <s v="Wholesale"/>
    <n v="0.05"/>
    <x v="2"/>
    <x v="0"/>
    <n v="0"/>
    <x v="901"/>
    <s v="Cust 8150"/>
    <n v="28.69"/>
    <x v="588"/>
    <d v="2023-08-10T00:00:00"/>
    <s v="Ryan"/>
    <n v="1072"/>
  </r>
  <r>
    <d v="2025-02-12T00:00:00"/>
    <x v="4"/>
    <x v="1"/>
    <n v="13"/>
    <n v="228"/>
    <x v="2"/>
    <s v="Retail"/>
    <n v="0.15"/>
    <x v="2"/>
    <x v="4"/>
    <n v="1"/>
    <x v="902"/>
    <s v="Cust 8999"/>
    <n v="46.67"/>
    <x v="149"/>
    <d v="2025-02-20T00:00:00"/>
    <s v="Wendy"/>
    <n v="2519"/>
  </r>
  <r>
    <d v="2023-07-03T00:00:00"/>
    <x v="3"/>
    <x v="0"/>
    <n v="19"/>
    <n v="341"/>
    <x v="2"/>
    <s v="Retail"/>
    <n v="0.1"/>
    <x v="3"/>
    <x v="4"/>
    <n v="0"/>
    <x v="903"/>
    <s v="Cust 4277"/>
    <n v="47.75"/>
    <x v="318"/>
    <d v="2023-07-06T00:00:00"/>
    <s v="Cameron"/>
    <n v="5831"/>
  </r>
  <r>
    <d v="2025-05-09T00:00:00"/>
    <x v="3"/>
    <x v="1"/>
    <n v="20"/>
    <n v="325"/>
    <x v="0"/>
    <s v="Wholesale"/>
    <n v="0.05"/>
    <x v="0"/>
    <x v="2"/>
    <n v="1"/>
    <x v="904"/>
    <s v="Cust 8751"/>
    <n v="21.21"/>
    <x v="589"/>
    <d v="2025-05-13T00:00:00"/>
    <s v="Cameron"/>
    <n v="6175"/>
  </r>
  <r>
    <d v="2024-05-05T00:00:00"/>
    <x v="4"/>
    <x v="2"/>
    <n v="16"/>
    <n v="301"/>
    <x v="0"/>
    <s v="Retail"/>
    <n v="0.1"/>
    <x v="3"/>
    <x v="1"/>
    <n v="0"/>
    <x v="905"/>
    <s v="Cust 2482"/>
    <n v="5.58"/>
    <x v="458"/>
    <d v="2024-05-14T00:00:00"/>
    <s v="Wendy"/>
    <n v="4334"/>
  </r>
  <r>
    <d v="2024-01-08T00:00:00"/>
    <x v="1"/>
    <x v="4"/>
    <n v="13"/>
    <n v="285"/>
    <x v="3"/>
    <s v="Retail"/>
    <n v="0"/>
    <x v="0"/>
    <x v="1"/>
    <n v="0"/>
    <x v="906"/>
    <s v="Cust 4078"/>
    <n v="31.2"/>
    <x v="590"/>
    <d v="2024-01-15T00:00:00"/>
    <s v="Sophie"/>
    <n v="3705"/>
  </r>
  <r>
    <d v="2025-01-13T00:00:00"/>
    <x v="1"/>
    <x v="1"/>
    <n v="15"/>
    <n v="18"/>
    <x v="2"/>
    <s v="Wholesale"/>
    <n v="0"/>
    <x v="0"/>
    <x v="2"/>
    <n v="1"/>
    <x v="907"/>
    <s v="Cust 9091"/>
    <n v="14.35"/>
    <x v="427"/>
    <d v="2025-01-17T00:00:00"/>
    <s v="Sophie"/>
    <n v="270"/>
  </r>
  <r>
    <d v="2025-06-12T00:00:00"/>
    <x v="0"/>
    <x v="6"/>
    <n v="11"/>
    <n v="495"/>
    <x v="1"/>
    <s v="Wholesale"/>
    <n v="0"/>
    <x v="5"/>
    <x v="1"/>
    <n v="0"/>
    <x v="908"/>
    <s v="Cust 8706"/>
    <n v="44.77"/>
    <x v="103"/>
    <d v="2025-06-18T00:00:00"/>
    <s v="Eric"/>
    <n v="5445"/>
  </r>
  <r>
    <d v="2025-04-03T00:00:00"/>
    <x v="2"/>
    <x v="0"/>
    <n v="12"/>
    <n v="276"/>
    <x v="2"/>
    <s v="Retail"/>
    <n v="0.15"/>
    <x v="3"/>
    <x v="0"/>
    <n v="0"/>
    <x v="909"/>
    <s v="Cust 5042"/>
    <n v="30.57"/>
    <x v="591"/>
    <d v="2025-04-12T00:00:00"/>
    <s v="Ryan"/>
    <n v="2815"/>
  </r>
  <r>
    <d v="2023-01-26T00:00:00"/>
    <x v="3"/>
    <x v="2"/>
    <n v="7"/>
    <n v="228"/>
    <x v="2"/>
    <s v="Wholesale"/>
    <n v="0.15"/>
    <x v="0"/>
    <x v="3"/>
    <n v="0"/>
    <x v="910"/>
    <s v="Cust 3319"/>
    <n v="22.16"/>
    <x v="592"/>
    <d v="2023-01-30T00:00:00"/>
    <s v="Cameron"/>
    <n v="1357"/>
  </r>
  <r>
    <d v="2023-01-07T00:00:00"/>
    <x v="3"/>
    <x v="4"/>
    <n v="1"/>
    <n v="498"/>
    <x v="1"/>
    <s v="Wholesale"/>
    <n v="0.1"/>
    <x v="5"/>
    <x v="1"/>
    <n v="0"/>
    <x v="911"/>
    <s v="Cust 4139"/>
    <n v="25.55"/>
    <x v="455"/>
    <d v="2023-01-11T00:00:00"/>
    <s v="Cameron"/>
    <n v="448"/>
  </r>
  <r>
    <d v="2025-01-15T00:00:00"/>
    <x v="2"/>
    <x v="2"/>
    <n v="18"/>
    <n v="376"/>
    <x v="2"/>
    <s v="Retail"/>
    <n v="0.1"/>
    <x v="3"/>
    <x v="1"/>
    <n v="0"/>
    <x v="912"/>
    <s v="Cust 6993"/>
    <n v="15.13"/>
    <x v="593"/>
    <d v="2025-01-23T00:00:00"/>
    <s v="Ryan"/>
    <n v="6091"/>
  </r>
  <r>
    <d v="2024-11-30T00:00:00"/>
    <x v="0"/>
    <x v="3"/>
    <n v="18"/>
    <n v="130"/>
    <x v="0"/>
    <s v="Wholesale"/>
    <n v="0"/>
    <x v="4"/>
    <x v="3"/>
    <n v="0"/>
    <x v="913"/>
    <s v="Cust 8397"/>
    <n v="34.6"/>
    <x v="594"/>
    <d v="2024-12-05T00:00:00"/>
    <s v="Eric"/>
    <n v="2340"/>
  </r>
  <r>
    <d v="2024-02-26T00:00:00"/>
    <x v="0"/>
    <x v="4"/>
    <n v="13"/>
    <n v="586"/>
    <x v="0"/>
    <s v="Retail"/>
    <n v="0.15"/>
    <x v="3"/>
    <x v="2"/>
    <n v="0"/>
    <x v="914"/>
    <s v="Cust 3082"/>
    <n v="42.18"/>
    <x v="361"/>
    <d v="2024-03-07T00:00:00"/>
    <s v="Eric"/>
    <n v="6475"/>
  </r>
  <r>
    <d v="2025-06-11T00:00:00"/>
    <x v="2"/>
    <x v="2"/>
    <n v="19"/>
    <n v="278"/>
    <x v="0"/>
    <s v="Retail"/>
    <n v="0.05"/>
    <x v="5"/>
    <x v="2"/>
    <n v="0"/>
    <x v="915"/>
    <s v="Cust 1156"/>
    <n v="16.399999999999999"/>
    <x v="54"/>
    <d v="2025-06-15T00:00:00"/>
    <s v="Ryan"/>
    <n v="5018"/>
  </r>
  <r>
    <d v="2023-11-29T00:00:00"/>
    <x v="3"/>
    <x v="1"/>
    <n v="11"/>
    <n v="268"/>
    <x v="0"/>
    <s v="Retail"/>
    <n v="0"/>
    <x v="0"/>
    <x v="3"/>
    <n v="0"/>
    <x v="916"/>
    <s v="Cust 4720"/>
    <n v="12.05"/>
    <x v="348"/>
    <d v="2023-12-04T00:00:00"/>
    <s v="Cameron"/>
    <n v="2948"/>
  </r>
  <r>
    <d v="2024-06-27T00:00:00"/>
    <x v="1"/>
    <x v="3"/>
    <n v="12"/>
    <n v="370"/>
    <x v="0"/>
    <s v="Retail"/>
    <n v="0.05"/>
    <x v="4"/>
    <x v="3"/>
    <n v="1"/>
    <x v="917"/>
    <s v="Cust 7034"/>
    <n v="39.159999999999997"/>
    <x v="595"/>
    <d v="2024-07-05T00:00:00"/>
    <s v="Sophie"/>
    <n v="4218"/>
  </r>
  <r>
    <d v="2024-05-20T00:00:00"/>
    <x v="1"/>
    <x v="4"/>
    <n v="13"/>
    <n v="284"/>
    <x v="1"/>
    <s v="Wholesale"/>
    <n v="0.05"/>
    <x v="5"/>
    <x v="0"/>
    <n v="0"/>
    <x v="918"/>
    <s v="Cust 7218"/>
    <n v="48.73"/>
    <x v="510"/>
    <d v="2024-05-27T00:00:00"/>
    <s v="Sophie"/>
    <n v="3507"/>
  </r>
  <r>
    <d v="2023-06-17T00:00:00"/>
    <x v="4"/>
    <x v="3"/>
    <n v="12"/>
    <n v="427"/>
    <x v="2"/>
    <s v="Retail"/>
    <n v="0"/>
    <x v="3"/>
    <x v="1"/>
    <n v="1"/>
    <x v="919"/>
    <s v="Cust 2651"/>
    <n v="8.11"/>
    <x v="357"/>
    <d v="2023-06-22T00:00:00"/>
    <s v="Wendy"/>
    <n v="5124"/>
  </r>
  <r>
    <d v="2024-11-06T00:00:00"/>
    <x v="0"/>
    <x v="4"/>
    <n v="11"/>
    <n v="200"/>
    <x v="3"/>
    <s v="Retail"/>
    <n v="0.1"/>
    <x v="0"/>
    <x v="3"/>
    <n v="1"/>
    <x v="920"/>
    <s v="Cust 1252"/>
    <n v="48.27"/>
    <x v="158"/>
    <d v="2024-11-13T00:00:00"/>
    <s v="Eric"/>
    <n v="1980"/>
  </r>
  <r>
    <d v="2025-02-12T00:00:00"/>
    <x v="2"/>
    <x v="6"/>
    <n v="4"/>
    <n v="76"/>
    <x v="2"/>
    <s v="Retail"/>
    <n v="0.15"/>
    <x v="3"/>
    <x v="2"/>
    <n v="0"/>
    <x v="921"/>
    <s v="Cust 6679"/>
    <n v="12.22"/>
    <x v="149"/>
    <d v="2025-02-20T00:00:00"/>
    <s v="Ryan"/>
    <n v="258"/>
  </r>
  <r>
    <d v="2025-04-09T00:00:00"/>
    <x v="2"/>
    <x v="4"/>
    <n v="4"/>
    <n v="518"/>
    <x v="1"/>
    <s v="Wholesale"/>
    <n v="0"/>
    <x v="1"/>
    <x v="0"/>
    <n v="0"/>
    <x v="922"/>
    <s v="Cust 1656"/>
    <n v="30.86"/>
    <x v="320"/>
    <d v="2025-04-14T00:00:00"/>
    <s v="Ryan"/>
    <n v="2072"/>
  </r>
  <r>
    <d v="2024-08-18T00:00:00"/>
    <x v="2"/>
    <x v="5"/>
    <n v="19"/>
    <n v="181"/>
    <x v="1"/>
    <s v="Wholesale"/>
    <n v="0.05"/>
    <x v="3"/>
    <x v="2"/>
    <n v="0"/>
    <x v="923"/>
    <s v="Cust 9361"/>
    <n v="12.04"/>
    <x v="596"/>
    <d v="2024-08-26T00:00:00"/>
    <s v="Ryan"/>
    <n v="3267"/>
  </r>
  <r>
    <d v="2023-02-20T00:00:00"/>
    <x v="3"/>
    <x v="0"/>
    <n v="3"/>
    <n v="197"/>
    <x v="1"/>
    <s v="Wholesale"/>
    <n v="0.05"/>
    <x v="2"/>
    <x v="1"/>
    <n v="1"/>
    <x v="924"/>
    <s v="Cust 4270"/>
    <n v="30.29"/>
    <x v="597"/>
    <d v="2023-02-23T00:00:00"/>
    <s v="Cameron"/>
    <n v="561"/>
  </r>
  <r>
    <d v="2025-04-28T00:00:00"/>
    <x v="2"/>
    <x v="0"/>
    <n v="6"/>
    <n v="82"/>
    <x v="3"/>
    <s v="Wholesale"/>
    <n v="0.05"/>
    <x v="4"/>
    <x v="2"/>
    <n v="0"/>
    <x v="925"/>
    <s v="Cust 3049"/>
    <n v="26.43"/>
    <x v="598"/>
    <d v="2025-05-08T00:00:00"/>
    <s v="Ryan"/>
    <n v="467"/>
  </r>
  <r>
    <d v="2023-08-10T00:00:00"/>
    <x v="3"/>
    <x v="6"/>
    <n v="3"/>
    <n v="60"/>
    <x v="2"/>
    <s v="Retail"/>
    <n v="0"/>
    <x v="0"/>
    <x v="0"/>
    <n v="0"/>
    <x v="926"/>
    <s v="Cust 6415"/>
    <n v="46.98"/>
    <x v="39"/>
    <d v="2023-08-13T00:00:00"/>
    <s v="Cameron"/>
    <n v="180"/>
  </r>
  <r>
    <d v="2024-06-24T00:00:00"/>
    <x v="2"/>
    <x v="5"/>
    <n v="12"/>
    <n v="212"/>
    <x v="1"/>
    <s v="Wholesale"/>
    <n v="0.1"/>
    <x v="3"/>
    <x v="2"/>
    <n v="0"/>
    <x v="927"/>
    <s v="Cust 9856"/>
    <n v="10.36"/>
    <x v="503"/>
    <d v="2024-06-29T00:00:00"/>
    <s v="Ryan"/>
    <n v="2290"/>
  </r>
  <r>
    <d v="2023-08-06T00:00:00"/>
    <x v="3"/>
    <x v="6"/>
    <n v="13"/>
    <n v="70"/>
    <x v="1"/>
    <s v="Wholesale"/>
    <n v="0.05"/>
    <x v="1"/>
    <x v="3"/>
    <n v="0"/>
    <x v="928"/>
    <s v="Cust 3106"/>
    <n v="27.66"/>
    <x v="23"/>
    <d v="2023-08-12T00:00:00"/>
    <s v="Cameron"/>
    <n v="864"/>
  </r>
  <r>
    <d v="2024-11-26T00:00:00"/>
    <x v="0"/>
    <x v="5"/>
    <n v="7"/>
    <n v="438"/>
    <x v="2"/>
    <s v="Retail"/>
    <n v="0.1"/>
    <x v="2"/>
    <x v="4"/>
    <n v="1"/>
    <x v="929"/>
    <s v="Cust 3259"/>
    <n v="11.57"/>
    <x v="570"/>
    <d v="2024-11-30T00:00:00"/>
    <s v="Eric"/>
    <n v="2759"/>
  </r>
  <r>
    <d v="2025-02-06T00:00:00"/>
    <x v="0"/>
    <x v="0"/>
    <n v="7"/>
    <n v="242"/>
    <x v="2"/>
    <s v="Wholesale"/>
    <n v="0.1"/>
    <x v="1"/>
    <x v="3"/>
    <n v="0"/>
    <x v="930"/>
    <s v="Cust 7107"/>
    <n v="32.94"/>
    <x v="323"/>
    <d v="2025-02-10T00:00:00"/>
    <s v="Eric"/>
    <n v="1525"/>
  </r>
  <r>
    <d v="2025-03-20T00:00:00"/>
    <x v="0"/>
    <x v="2"/>
    <n v="3"/>
    <n v="467"/>
    <x v="1"/>
    <s v="Retail"/>
    <n v="0.15"/>
    <x v="5"/>
    <x v="0"/>
    <n v="0"/>
    <x v="931"/>
    <s v="Cust 7542"/>
    <n v="30.33"/>
    <x v="192"/>
    <d v="2025-03-26T00:00:00"/>
    <s v="Eric"/>
    <n v="1191"/>
  </r>
  <r>
    <d v="2024-09-10T00:00:00"/>
    <x v="1"/>
    <x v="4"/>
    <n v="9"/>
    <n v="473"/>
    <x v="3"/>
    <s v="Retail"/>
    <n v="0.05"/>
    <x v="1"/>
    <x v="2"/>
    <n v="0"/>
    <x v="932"/>
    <s v="Cust 6330"/>
    <n v="48.13"/>
    <x v="328"/>
    <d v="2024-09-12T00:00:00"/>
    <s v="Sophie"/>
    <n v="4044"/>
  </r>
  <r>
    <d v="2025-02-20T00:00:00"/>
    <x v="1"/>
    <x v="3"/>
    <n v="19"/>
    <n v="586"/>
    <x v="1"/>
    <s v="Wholesale"/>
    <n v="0.1"/>
    <x v="0"/>
    <x v="4"/>
    <n v="0"/>
    <x v="933"/>
    <s v="Cust 1469"/>
    <n v="19.850000000000001"/>
    <x v="241"/>
    <d v="2025-03-02T00:00:00"/>
    <s v="Sophie"/>
    <n v="10021"/>
  </r>
  <r>
    <d v="2023-01-20T00:00:00"/>
    <x v="0"/>
    <x v="3"/>
    <n v="15"/>
    <n v="463"/>
    <x v="1"/>
    <s v="Retail"/>
    <n v="0.15"/>
    <x v="4"/>
    <x v="2"/>
    <n v="0"/>
    <x v="934"/>
    <s v="Cust 3698"/>
    <n v="46.12"/>
    <x v="411"/>
    <d v="2023-01-26T00:00:00"/>
    <s v="Eric"/>
    <n v="5903"/>
  </r>
  <r>
    <d v="2024-03-03T00:00:00"/>
    <x v="0"/>
    <x v="0"/>
    <n v="1"/>
    <n v="176"/>
    <x v="2"/>
    <s v="Retail"/>
    <n v="0.05"/>
    <x v="1"/>
    <x v="3"/>
    <n v="1"/>
    <x v="935"/>
    <s v="Cust 9833"/>
    <n v="35.770000000000003"/>
    <x v="69"/>
    <d v="2024-03-06T00:00:00"/>
    <s v="Eric"/>
    <n v="167"/>
  </r>
  <r>
    <d v="2023-11-27T00:00:00"/>
    <x v="4"/>
    <x v="6"/>
    <n v="1"/>
    <n v="71"/>
    <x v="1"/>
    <s v="Retail"/>
    <n v="0.1"/>
    <x v="3"/>
    <x v="3"/>
    <n v="1"/>
    <x v="936"/>
    <s v="Cust 1074"/>
    <n v="43.69"/>
    <x v="165"/>
    <d v="2023-12-03T00:00:00"/>
    <s v="Wendy"/>
    <n v="64"/>
  </r>
  <r>
    <d v="2024-11-10T00:00:00"/>
    <x v="0"/>
    <x v="0"/>
    <n v="6"/>
    <n v="62"/>
    <x v="1"/>
    <s v="Wholesale"/>
    <n v="0"/>
    <x v="4"/>
    <x v="1"/>
    <n v="0"/>
    <x v="937"/>
    <s v="Cust 7891"/>
    <n v="17.850000000000001"/>
    <x v="329"/>
    <d v="2024-11-18T00:00:00"/>
    <s v="Eric"/>
    <n v="372"/>
  </r>
  <r>
    <d v="2025-02-04T00:00:00"/>
    <x v="3"/>
    <x v="5"/>
    <n v="7"/>
    <n v="570"/>
    <x v="3"/>
    <s v="Wholesale"/>
    <n v="0.1"/>
    <x v="1"/>
    <x v="4"/>
    <n v="0"/>
    <x v="938"/>
    <s v="Cust 3373"/>
    <n v="26.81"/>
    <x v="599"/>
    <d v="2025-02-08T00:00:00"/>
    <s v="Cameron"/>
    <n v="3591"/>
  </r>
  <r>
    <d v="2024-02-21T00:00:00"/>
    <x v="0"/>
    <x v="2"/>
    <n v="5"/>
    <n v="34"/>
    <x v="3"/>
    <s v="Wholesale"/>
    <n v="0.05"/>
    <x v="4"/>
    <x v="1"/>
    <n v="0"/>
    <x v="939"/>
    <s v="Cust 9045"/>
    <n v="19.72"/>
    <x v="600"/>
    <d v="2024-03-02T00:00:00"/>
    <s v="Eric"/>
    <n v="162"/>
  </r>
  <r>
    <d v="2023-03-24T00:00:00"/>
    <x v="0"/>
    <x v="2"/>
    <n v="17"/>
    <n v="503"/>
    <x v="1"/>
    <s v="Wholesale"/>
    <n v="0.1"/>
    <x v="2"/>
    <x v="4"/>
    <n v="0"/>
    <x v="940"/>
    <s v="Cust 9197"/>
    <n v="15.38"/>
    <x v="601"/>
    <d v="2023-03-29T00:00:00"/>
    <s v="Eric"/>
    <n v="7696"/>
  </r>
  <r>
    <d v="2024-05-05T00:00:00"/>
    <x v="1"/>
    <x v="6"/>
    <n v="3"/>
    <n v="90"/>
    <x v="3"/>
    <s v="Wholesale"/>
    <n v="0.1"/>
    <x v="1"/>
    <x v="1"/>
    <n v="0"/>
    <x v="941"/>
    <s v="Cust 6920"/>
    <n v="32.67"/>
    <x v="458"/>
    <d v="2024-05-13T00:00:00"/>
    <s v="Sophie"/>
    <n v="243"/>
  </r>
  <r>
    <d v="2024-10-04T00:00:00"/>
    <x v="1"/>
    <x v="0"/>
    <n v="18"/>
    <n v="404"/>
    <x v="3"/>
    <s v="Wholesale"/>
    <n v="0.1"/>
    <x v="1"/>
    <x v="0"/>
    <n v="0"/>
    <x v="942"/>
    <s v="Cust 9652"/>
    <n v="35.729999999999997"/>
    <x v="574"/>
    <d v="2024-10-07T00:00:00"/>
    <s v="Sophie"/>
    <n v="6545"/>
  </r>
  <r>
    <d v="2025-01-04T00:00:00"/>
    <x v="1"/>
    <x v="3"/>
    <n v="2"/>
    <n v="195"/>
    <x v="1"/>
    <s v="Retail"/>
    <n v="0"/>
    <x v="4"/>
    <x v="2"/>
    <n v="0"/>
    <x v="943"/>
    <s v="Cust 4189"/>
    <n v="9.89"/>
    <x v="602"/>
    <d v="2025-01-14T00:00:00"/>
    <s v="Sophie"/>
    <n v="390"/>
  </r>
  <r>
    <d v="2024-12-23T00:00:00"/>
    <x v="3"/>
    <x v="6"/>
    <n v="12"/>
    <n v="172"/>
    <x v="0"/>
    <s v="Retail"/>
    <n v="0.05"/>
    <x v="0"/>
    <x v="2"/>
    <n v="0"/>
    <x v="944"/>
    <s v="Cust 6267"/>
    <n v="34.36"/>
    <x v="473"/>
    <d v="2025-01-02T00:00:00"/>
    <s v="Cameron"/>
    <n v="1961"/>
  </r>
  <r>
    <d v="2023-01-29T00:00:00"/>
    <x v="3"/>
    <x v="0"/>
    <n v="17"/>
    <n v="536"/>
    <x v="1"/>
    <s v="Wholesale"/>
    <n v="0.05"/>
    <x v="5"/>
    <x v="1"/>
    <n v="0"/>
    <x v="945"/>
    <s v="Cust 7753"/>
    <n v="26.12"/>
    <x v="603"/>
    <d v="2023-02-08T00:00:00"/>
    <s v="Cameron"/>
    <n v="8656"/>
  </r>
  <r>
    <d v="2024-08-11T00:00:00"/>
    <x v="4"/>
    <x v="3"/>
    <n v="12"/>
    <n v="248"/>
    <x v="1"/>
    <s v="Retail"/>
    <n v="0.05"/>
    <x v="1"/>
    <x v="4"/>
    <n v="0"/>
    <x v="946"/>
    <s v="Cust 2789"/>
    <n v="26.03"/>
    <x v="111"/>
    <d v="2024-08-17T00:00:00"/>
    <s v="Wendy"/>
    <n v="2827"/>
  </r>
  <r>
    <d v="2023-11-25T00:00:00"/>
    <x v="2"/>
    <x v="1"/>
    <n v="2"/>
    <n v="482"/>
    <x v="2"/>
    <s v="Retail"/>
    <n v="0"/>
    <x v="3"/>
    <x v="0"/>
    <n v="0"/>
    <x v="947"/>
    <s v="Cust 3527"/>
    <n v="45.35"/>
    <x v="425"/>
    <d v="2023-11-30T00:00:00"/>
    <s v="Ryan"/>
    <n v="964"/>
  </r>
  <r>
    <d v="2025-03-04T00:00:00"/>
    <x v="2"/>
    <x v="4"/>
    <n v="18"/>
    <n v="382"/>
    <x v="3"/>
    <s v="Wholesale"/>
    <n v="0.1"/>
    <x v="1"/>
    <x v="0"/>
    <n v="0"/>
    <x v="948"/>
    <s v="Cust 9538"/>
    <n v="36.549999999999997"/>
    <x v="155"/>
    <d v="2025-03-08T00:00:00"/>
    <s v="Ryan"/>
    <n v="6188"/>
  </r>
  <r>
    <d v="2025-02-21T00:00:00"/>
    <x v="2"/>
    <x v="1"/>
    <n v="13"/>
    <n v="136"/>
    <x v="2"/>
    <s v="Wholesale"/>
    <n v="0"/>
    <x v="2"/>
    <x v="0"/>
    <n v="0"/>
    <x v="949"/>
    <s v="Cust 7195"/>
    <n v="28.35"/>
    <x v="383"/>
    <d v="2025-03-01T00:00:00"/>
    <s v="Ryan"/>
    <n v="1768"/>
  </r>
  <r>
    <d v="2025-02-26T00:00:00"/>
    <x v="0"/>
    <x v="2"/>
    <n v="9"/>
    <n v="563"/>
    <x v="1"/>
    <s v="Wholesale"/>
    <n v="0"/>
    <x v="1"/>
    <x v="2"/>
    <n v="0"/>
    <x v="950"/>
    <s v="Cust 8929"/>
    <n v="30.27"/>
    <x v="3"/>
    <d v="2025-02-28T00:00:00"/>
    <s v="Eric"/>
    <n v="5067"/>
  </r>
  <r>
    <d v="2024-03-29T00:00:00"/>
    <x v="0"/>
    <x v="4"/>
    <n v="6"/>
    <n v="509"/>
    <x v="0"/>
    <s v="Wholesale"/>
    <n v="0"/>
    <x v="1"/>
    <x v="3"/>
    <n v="0"/>
    <x v="951"/>
    <s v="Cust 8931"/>
    <n v="35.92"/>
    <x v="604"/>
    <d v="2024-04-06T00:00:00"/>
    <s v="Eric"/>
    <n v="3054"/>
  </r>
  <r>
    <d v="2025-05-28T00:00:00"/>
    <x v="4"/>
    <x v="2"/>
    <n v="3"/>
    <n v="470"/>
    <x v="0"/>
    <s v="Wholesale"/>
    <n v="0"/>
    <x v="0"/>
    <x v="1"/>
    <n v="0"/>
    <x v="952"/>
    <s v="Cust 1424"/>
    <n v="38.29"/>
    <x v="605"/>
    <d v="2025-06-01T00:00:00"/>
    <s v="Wendy"/>
    <n v="1410"/>
  </r>
  <r>
    <d v="2024-05-24T00:00:00"/>
    <x v="4"/>
    <x v="6"/>
    <n v="10"/>
    <n v="281"/>
    <x v="2"/>
    <s v="Retail"/>
    <n v="0"/>
    <x v="1"/>
    <x v="2"/>
    <n v="0"/>
    <x v="953"/>
    <s v="Cust 6723"/>
    <n v="49.98"/>
    <x v="606"/>
    <d v="2024-05-30T00:00:00"/>
    <s v="Wendy"/>
    <n v="2810"/>
  </r>
  <r>
    <d v="2023-05-12T00:00:00"/>
    <x v="1"/>
    <x v="3"/>
    <n v="9"/>
    <n v="251"/>
    <x v="2"/>
    <s v="Retail"/>
    <n v="0.1"/>
    <x v="2"/>
    <x v="2"/>
    <n v="0"/>
    <x v="954"/>
    <s v="Cust 8850"/>
    <n v="22.57"/>
    <x v="551"/>
    <d v="2023-05-17T00:00:00"/>
    <s v="Sophie"/>
    <n v="2033"/>
  </r>
  <r>
    <d v="2023-10-11T00:00:00"/>
    <x v="1"/>
    <x v="1"/>
    <n v="4"/>
    <n v="408"/>
    <x v="1"/>
    <s v="Retail"/>
    <n v="0.15"/>
    <x v="1"/>
    <x v="4"/>
    <n v="0"/>
    <x v="955"/>
    <s v="Cust 1722"/>
    <n v="5.38"/>
    <x v="535"/>
    <d v="2023-10-15T00:00:00"/>
    <s v="Sophie"/>
    <n v="1387"/>
  </r>
  <r>
    <d v="2024-01-25T00:00:00"/>
    <x v="2"/>
    <x v="6"/>
    <n v="2"/>
    <n v="27"/>
    <x v="0"/>
    <s v="Retail"/>
    <n v="0.15"/>
    <x v="2"/>
    <x v="0"/>
    <n v="0"/>
    <x v="956"/>
    <s v="Cust 1211"/>
    <n v="6.15"/>
    <x v="109"/>
    <d v="2024-02-01T00:00:00"/>
    <s v="Ryan"/>
    <n v="46"/>
  </r>
  <r>
    <d v="2023-02-03T00:00:00"/>
    <x v="0"/>
    <x v="1"/>
    <n v="11"/>
    <n v="322"/>
    <x v="1"/>
    <s v="Retail"/>
    <n v="0.1"/>
    <x v="3"/>
    <x v="0"/>
    <n v="1"/>
    <x v="957"/>
    <s v="Cust 9384"/>
    <n v="17.940000000000001"/>
    <x v="151"/>
    <d v="2023-02-06T00:00:00"/>
    <s v="Eric"/>
    <n v="3188"/>
  </r>
  <r>
    <d v="2024-07-08T00:00:00"/>
    <x v="2"/>
    <x v="2"/>
    <n v="5"/>
    <n v="186"/>
    <x v="1"/>
    <s v="Wholesale"/>
    <n v="0.1"/>
    <x v="3"/>
    <x v="1"/>
    <n v="0"/>
    <x v="958"/>
    <s v="Cust 3809"/>
    <n v="17.09"/>
    <x v="172"/>
    <d v="2024-07-14T00:00:00"/>
    <s v="Ryan"/>
    <n v="837"/>
  </r>
  <r>
    <d v="2025-05-31T00:00:00"/>
    <x v="1"/>
    <x v="4"/>
    <n v="3"/>
    <n v="390"/>
    <x v="0"/>
    <s v="Retail"/>
    <n v="0"/>
    <x v="2"/>
    <x v="0"/>
    <n v="1"/>
    <x v="959"/>
    <s v="Cust 9338"/>
    <n v="45.22"/>
    <x v="534"/>
    <d v="2025-06-10T00:00:00"/>
    <s v="Sophie"/>
    <n v="1170"/>
  </r>
  <r>
    <d v="2023-11-09T00:00:00"/>
    <x v="1"/>
    <x v="4"/>
    <n v="13"/>
    <n v="175"/>
    <x v="1"/>
    <s v="Wholesale"/>
    <n v="0.15"/>
    <x v="3"/>
    <x v="0"/>
    <n v="0"/>
    <x v="960"/>
    <s v="Cust 1822"/>
    <n v="31.26"/>
    <x v="254"/>
    <d v="2023-11-12T00:00:00"/>
    <s v="Sophie"/>
    <n v="1934"/>
  </r>
  <r>
    <d v="2023-07-06T00:00:00"/>
    <x v="2"/>
    <x v="3"/>
    <n v="8"/>
    <n v="419"/>
    <x v="1"/>
    <s v="Retail"/>
    <n v="0.1"/>
    <x v="1"/>
    <x v="0"/>
    <n v="1"/>
    <x v="961"/>
    <s v="Cust 8260"/>
    <n v="11.02"/>
    <x v="607"/>
    <d v="2023-07-10T00:00:00"/>
    <s v="Ryan"/>
    <n v="3017"/>
  </r>
  <r>
    <d v="2023-07-14T00:00:00"/>
    <x v="2"/>
    <x v="3"/>
    <n v="12"/>
    <n v="117"/>
    <x v="3"/>
    <s v="Wholesale"/>
    <n v="0"/>
    <x v="1"/>
    <x v="1"/>
    <n v="0"/>
    <x v="962"/>
    <s v="Cust 7088"/>
    <n v="22.04"/>
    <x v="123"/>
    <d v="2023-07-22T00:00:00"/>
    <s v="Ryan"/>
    <n v="1404"/>
  </r>
  <r>
    <d v="2023-11-13T00:00:00"/>
    <x v="4"/>
    <x v="3"/>
    <n v="11"/>
    <n v="324"/>
    <x v="1"/>
    <s v="Wholesale"/>
    <n v="0.1"/>
    <x v="5"/>
    <x v="1"/>
    <n v="0"/>
    <x v="963"/>
    <s v="Cust 4969"/>
    <n v="7.52"/>
    <x v="327"/>
    <d v="2023-11-15T00:00:00"/>
    <s v="Wendy"/>
    <n v="3208"/>
  </r>
  <r>
    <d v="2025-02-02T00:00:00"/>
    <x v="4"/>
    <x v="5"/>
    <n v="11"/>
    <n v="155"/>
    <x v="3"/>
    <s v="Retail"/>
    <n v="0.05"/>
    <x v="2"/>
    <x v="4"/>
    <n v="0"/>
    <x v="964"/>
    <s v="Cust 9046"/>
    <n v="47.01"/>
    <x v="170"/>
    <d v="2025-02-12T00:00:00"/>
    <s v="Wendy"/>
    <n v="1620"/>
  </r>
  <r>
    <d v="2024-05-06T00:00:00"/>
    <x v="1"/>
    <x v="6"/>
    <n v="20"/>
    <n v="270"/>
    <x v="1"/>
    <s v="Wholesale"/>
    <n v="0"/>
    <x v="4"/>
    <x v="2"/>
    <n v="0"/>
    <x v="965"/>
    <s v="Cust 6859"/>
    <n v="6.8"/>
    <x v="563"/>
    <d v="2024-05-15T00:00:00"/>
    <s v="Sophie"/>
    <n v="5400"/>
  </r>
  <r>
    <d v="2024-10-17T00:00:00"/>
    <x v="1"/>
    <x v="6"/>
    <n v="15"/>
    <n v="482"/>
    <x v="3"/>
    <s v="Retail"/>
    <n v="0.1"/>
    <x v="0"/>
    <x v="3"/>
    <n v="1"/>
    <x v="966"/>
    <s v="Cust 2800"/>
    <n v="13.35"/>
    <x v="386"/>
    <d v="2024-10-19T00:00:00"/>
    <s v="Sophie"/>
    <n v="6507"/>
  </r>
  <r>
    <d v="2025-01-29T00:00:00"/>
    <x v="2"/>
    <x v="0"/>
    <n v="11"/>
    <n v="432"/>
    <x v="2"/>
    <s v="Wholesale"/>
    <n v="0.1"/>
    <x v="3"/>
    <x v="3"/>
    <n v="0"/>
    <x v="967"/>
    <s v="Cust 1146"/>
    <n v="22.83"/>
    <x v="608"/>
    <d v="2025-02-05T00:00:00"/>
    <s v="Ryan"/>
    <n v="4277"/>
  </r>
  <r>
    <d v="2025-03-23T00:00:00"/>
    <x v="3"/>
    <x v="3"/>
    <n v="5"/>
    <n v="303"/>
    <x v="3"/>
    <s v="Wholesale"/>
    <n v="0"/>
    <x v="3"/>
    <x v="1"/>
    <n v="1"/>
    <x v="968"/>
    <s v="Cust 6447"/>
    <n v="46.69"/>
    <x v="609"/>
    <d v="2025-03-29T00:00:00"/>
    <s v="Cameron"/>
    <n v="1515"/>
  </r>
  <r>
    <d v="2024-04-11T00:00:00"/>
    <x v="4"/>
    <x v="3"/>
    <n v="19"/>
    <n v="345"/>
    <x v="2"/>
    <s v="Wholesale"/>
    <n v="0"/>
    <x v="0"/>
    <x v="4"/>
    <n v="0"/>
    <x v="969"/>
    <s v="Cust 8519"/>
    <n v="6.91"/>
    <x v="610"/>
    <d v="2024-04-20T00:00:00"/>
    <s v="Wendy"/>
    <n v="6555"/>
  </r>
  <r>
    <d v="2024-05-03T00:00:00"/>
    <x v="3"/>
    <x v="3"/>
    <n v="7"/>
    <n v="511"/>
    <x v="2"/>
    <s v="Retail"/>
    <n v="0.1"/>
    <x v="0"/>
    <x v="4"/>
    <n v="0"/>
    <x v="970"/>
    <s v="Cust 3422"/>
    <n v="19.2"/>
    <x v="80"/>
    <d v="2024-05-12T00:00:00"/>
    <s v="Cameron"/>
    <n v="3219"/>
  </r>
  <r>
    <d v="2024-10-14T00:00:00"/>
    <x v="0"/>
    <x v="4"/>
    <n v="7"/>
    <n v="151"/>
    <x v="1"/>
    <s v="Wholesale"/>
    <n v="0.15"/>
    <x v="5"/>
    <x v="4"/>
    <n v="1"/>
    <x v="971"/>
    <s v="Cust 9638"/>
    <n v="15.52"/>
    <x v="571"/>
    <d v="2024-10-21T00:00:00"/>
    <s v="Eric"/>
    <n v="898"/>
  </r>
  <r>
    <d v="2024-02-08T00:00:00"/>
    <x v="4"/>
    <x v="1"/>
    <n v="8"/>
    <n v="158"/>
    <x v="2"/>
    <s v="Wholesale"/>
    <n v="0.15"/>
    <x v="4"/>
    <x v="2"/>
    <n v="0"/>
    <x v="972"/>
    <s v="Cust 6438"/>
    <n v="47.43"/>
    <x v="279"/>
    <d v="2024-02-13T00:00:00"/>
    <s v="Wendy"/>
    <n v="1074"/>
  </r>
  <r>
    <d v="2023-05-10T00:00:00"/>
    <x v="3"/>
    <x v="5"/>
    <n v="2"/>
    <n v="536"/>
    <x v="0"/>
    <s v="Retail"/>
    <n v="0.1"/>
    <x v="2"/>
    <x v="2"/>
    <n v="0"/>
    <x v="973"/>
    <s v="Cust 1724"/>
    <n v="34.75"/>
    <x v="2"/>
    <d v="2023-05-13T00:00:00"/>
    <s v="Cameron"/>
    <n v="965"/>
  </r>
  <r>
    <d v="2023-03-03T00:00:00"/>
    <x v="2"/>
    <x v="3"/>
    <n v="16"/>
    <n v="571"/>
    <x v="2"/>
    <s v="Wholesale"/>
    <n v="0.15"/>
    <x v="5"/>
    <x v="1"/>
    <n v="0"/>
    <x v="974"/>
    <s v="Cust 7808"/>
    <n v="6.13"/>
    <x v="21"/>
    <d v="2023-03-12T00:00:00"/>
    <s v="Ryan"/>
    <n v="7766"/>
  </r>
  <r>
    <d v="2025-05-21T00:00:00"/>
    <x v="3"/>
    <x v="5"/>
    <n v="12"/>
    <n v="134"/>
    <x v="3"/>
    <s v="Retail"/>
    <n v="0.1"/>
    <x v="4"/>
    <x v="1"/>
    <n v="0"/>
    <x v="975"/>
    <s v="Cust 3045"/>
    <n v="33.979999999999997"/>
    <x v="83"/>
    <d v="2025-05-27T00:00:00"/>
    <s v="Cameron"/>
    <n v="1447"/>
  </r>
  <r>
    <d v="2025-04-30T00:00:00"/>
    <x v="3"/>
    <x v="0"/>
    <n v="5"/>
    <n v="564"/>
    <x v="1"/>
    <s v="Retail"/>
    <n v="0"/>
    <x v="5"/>
    <x v="0"/>
    <n v="0"/>
    <x v="976"/>
    <s v="Cust 7348"/>
    <n v="29.28"/>
    <x v="611"/>
    <d v="2025-05-07T00:00:00"/>
    <s v="Cameron"/>
    <n v="2820"/>
  </r>
  <r>
    <d v="2023-04-02T00:00:00"/>
    <x v="2"/>
    <x v="1"/>
    <n v="11"/>
    <n v="547"/>
    <x v="3"/>
    <s v="Retail"/>
    <n v="0.15"/>
    <x v="5"/>
    <x v="2"/>
    <n v="1"/>
    <x v="977"/>
    <s v="Cust 5666"/>
    <n v="24.77"/>
    <x v="612"/>
    <d v="2023-04-04T00:00:00"/>
    <s v="Ryan"/>
    <n v="5114"/>
  </r>
  <r>
    <d v="2024-08-26T00:00:00"/>
    <x v="2"/>
    <x v="4"/>
    <n v="9"/>
    <n v="365"/>
    <x v="2"/>
    <s v="Wholesale"/>
    <n v="0.05"/>
    <x v="5"/>
    <x v="4"/>
    <n v="0"/>
    <x v="978"/>
    <s v="Cust 4002"/>
    <n v="40.26"/>
    <x v="98"/>
    <d v="2024-09-05T00:00:00"/>
    <s v="Ryan"/>
    <n v="3121"/>
  </r>
  <r>
    <d v="2023-11-10T00:00:00"/>
    <x v="1"/>
    <x v="4"/>
    <n v="7"/>
    <n v="368"/>
    <x v="2"/>
    <s v="Wholesale"/>
    <n v="0.15"/>
    <x v="3"/>
    <x v="0"/>
    <n v="0"/>
    <x v="979"/>
    <s v="Cust 6675"/>
    <n v="28.98"/>
    <x v="613"/>
    <d v="2023-11-20T00:00:00"/>
    <s v="Sophie"/>
    <n v="2190"/>
  </r>
  <r>
    <d v="2025-01-27T00:00:00"/>
    <x v="3"/>
    <x v="6"/>
    <n v="20"/>
    <n v="537"/>
    <x v="2"/>
    <s v="Wholesale"/>
    <n v="0"/>
    <x v="2"/>
    <x v="0"/>
    <n v="1"/>
    <x v="980"/>
    <s v="Cust 5462"/>
    <n v="15.6"/>
    <x v="614"/>
    <d v="2025-02-02T00:00:00"/>
    <s v="Cameron"/>
    <n v="10740"/>
  </r>
  <r>
    <d v="2024-04-26T00:00:00"/>
    <x v="1"/>
    <x v="1"/>
    <n v="3"/>
    <n v="103"/>
    <x v="3"/>
    <s v="Wholesale"/>
    <n v="0"/>
    <x v="3"/>
    <x v="1"/>
    <n v="1"/>
    <x v="981"/>
    <s v="Cust 3471"/>
    <n v="46.47"/>
    <x v="478"/>
    <d v="2024-04-30T00:00:00"/>
    <s v="Sophie"/>
    <n v="309"/>
  </r>
  <r>
    <d v="2023-11-27T00:00:00"/>
    <x v="0"/>
    <x v="5"/>
    <n v="9"/>
    <n v="98"/>
    <x v="1"/>
    <s v="Wholesale"/>
    <n v="0"/>
    <x v="1"/>
    <x v="0"/>
    <n v="0"/>
    <x v="982"/>
    <s v="Cust 1603"/>
    <n v="48.84"/>
    <x v="165"/>
    <d v="2023-12-01T00:00:00"/>
    <s v="Eric"/>
    <n v="882"/>
  </r>
  <r>
    <d v="2023-03-30T00:00:00"/>
    <x v="3"/>
    <x v="5"/>
    <n v="10"/>
    <n v="339"/>
    <x v="1"/>
    <s v="Wholesale"/>
    <n v="0.15"/>
    <x v="3"/>
    <x v="4"/>
    <n v="1"/>
    <x v="983"/>
    <s v="Cust 7758"/>
    <n v="36.56"/>
    <x v="306"/>
    <d v="2023-04-06T00:00:00"/>
    <s v="Cameron"/>
    <n v="2882"/>
  </r>
  <r>
    <d v="2024-03-04T00:00:00"/>
    <x v="2"/>
    <x v="2"/>
    <n v="2"/>
    <n v="239"/>
    <x v="1"/>
    <s v="Wholesale"/>
    <n v="0"/>
    <x v="5"/>
    <x v="3"/>
    <n v="1"/>
    <x v="984"/>
    <s v="Cust 3396"/>
    <n v="43.84"/>
    <x v="615"/>
    <d v="2024-03-11T00:00:00"/>
    <s v="Ryan"/>
    <n v="478"/>
  </r>
  <r>
    <d v="2023-07-11T00:00:00"/>
    <x v="1"/>
    <x v="0"/>
    <n v="14"/>
    <n v="362"/>
    <x v="2"/>
    <s v="Wholesale"/>
    <n v="0.1"/>
    <x v="5"/>
    <x v="4"/>
    <n v="0"/>
    <x v="985"/>
    <s v="Cust 4797"/>
    <n v="36.729999999999997"/>
    <x v="445"/>
    <d v="2023-07-15T00:00:00"/>
    <s v="Sophie"/>
    <n v="4561"/>
  </r>
  <r>
    <d v="2024-09-20T00:00:00"/>
    <x v="4"/>
    <x v="4"/>
    <n v="6"/>
    <n v="551"/>
    <x v="3"/>
    <s v="Retail"/>
    <n v="0"/>
    <x v="3"/>
    <x v="1"/>
    <n v="0"/>
    <x v="986"/>
    <s v="Cust 1113"/>
    <n v="14.67"/>
    <x v="246"/>
    <d v="2024-09-29T00:00:00"/>
    <s v="Wendy"/>
    <n v="3306"/>
  </r>
  <r>
    <d v="2025-02-18T00:00:00"/>
    <x v="4"/>
    <x v="0"/>
    <n v="1"/>
    <n v="82"/>
    <x v="3"/>
    <s v="Retail"/>
    <n v="0.1"/>
    <x v="0"/>
    <x v="2"/>
    <n v="0"/>
    <x v="987"/>
    <s v="Cust 8843"/>
    <n v="11.11"/>
    <x v="616"/>
    <d v="2025-02-24T00:00:00"/>
    <s v="Wendy"/>
    <n v="74"/>
  </r>
  <r>
    <d v="2024-07-16T00:00:00"/>
    <x v="0"/>
    <x v="5"/>
    <n v="7"/>
    <n v="498"/>
    <x v="2"/>
    <s v="Wholesale"/>
    <n v="0.15"/>
    <x v="3"/>
    <x v="1"/>
    <n v="0"/>
    <x v="988"/>
    <s v="Cust 7505"/>
    <n v="42.72"/>
    <x v="617"/>
    <d v="2024-07-20T00:00:00"/>
    <s v="Eric"/>
    <n v="2963"/>
  </r>
  <r>
    <d v="2023-11-23T00:00:00"/>
    <x v="0"/>
    <x v="3"/>
    <n v="2"/>
    <n v="253"/>
    <x v="3"/>
    <s v="Retail"/>
    <n v="0.1"/>
    <x v="2"/>
    <x v="4"/>
    <n v="0"/>
    <x v="989"/>
    <s v="Cust 9490"/>
    <n v="49.64"/>
    <x v="488"/>
    <d v="2023-11-25T00:00:00"/>
    <s v="Eric"/>
    <n v="455"/>
  </r>
  <r>
    <d v="2023-09-07T00:00:00"/>
    <x v="1"/>
    <x v="1"/>
    <n v="16"/>
    <n v="144"/>
    <x v="3"/>
    <s v="Wholesale"/>
    <n v="0.1"/>
    <x v="0"/>
    <x v="3"/>
    <n v="0"/>
    <x v="990"/>
    <s v="Cust 8631"/>
    <n v="7.33"/>
    <x v="288"/>
    <d v="2023-09-09T00:00:00"/>
    <s v="Sophie"/>
    <n v="2074"/>
  </r>
  <r>
    <d v="2024-02-01T00:00:00"/>
    <x v="4"/>
    <x v="4"/>
    <n v="11"/>
    <n v="201"/>
    <x v="2"/>
    <s v="Retail"/>
    <n v="0.15"/>
    <x v="3"/>
    <x v="4"/>
    <n v="1"/>
    <x v="991"/>
    <s v="Cust 6986"/>
    <n v="48.42"/>
    <x v="618"/>
    <d v="2024-02-04T00:00:00"/>
    <s v="Wendy"/>
    <n v="1879"/>
  </r>
  <r>
    <d v="2025-05-08T00:00:00"/>
    <x v="1"/>
    <x v="3"/>
    <n v="11"/>
    <n v="585"/>
    <x v="3"/>
    <s v="Wholesale"/>
    <n v="0.1"/>
    <x v="1"/>
    <x v="2"/>
    <n v="0"/>
    <x v="992"/>
    <s v="Cust 9636"/>
    <n v="36.590000000000003"/>
    <x v="33"/>
    <d v="2025-05-12T00:00:00"/>
    <s v="Sophie"/>
    <n v="5792"/>
  </r>
  <r>
    <d v="2025-01-17T00:00:00"/>
    <x v="2"/>
    <x v="0"/>
    <n v="3"/>
    <n v="449"/>
    <x v="1"/>
    <s v="Retail"/>
    <n v="0"/>
    <x v="1"/>
    <x v="0"/>
    <n v="0"/>
    <x v="993"/>
    <s v="Cust 7367"/>
    <n v="28.5"/>
    <x v="50"/>
    <d v="2025-01-24T00:00:00"/>
    <s v="Ryan"/>
    <n v="1347"/>
  </r>
  <r>
    <d v="2023-09-02T00:00:00"/>
    <x v="0"/>
    <x v="4"/>
    <n v="9"/>
    <n v="184"/>
    <x v="3"/>
    <s v="Wholesale"/>
    <n v="0"/>
    <x v="3"/>
    <x v="0"/>
    <n v="0"/>
    <x v="994"/>
    <s v="Cust 1943"/>
    <n v="30.78"/>
    <x v="447"/>
    <d v="2023-09-08T00:00:00"/>
    <s v="Eric"/>
    <n v="1656"/>
  </r>
  <r>
    <d v="2023-06-23T00:00:00"/>
    <x v="3"/>
    <x v="0"/>
    <n v="16"/>
    <n v="594"/>
    <x v="3"/>
    <s v="Retail"/>
    <n v="0"/>
    <x v="5"/>
    <x v="1"/>
    <n v="0"/>
    <x v="995"/>
    <s v="Cust 6368"/>
    <n v="18.2"/>
    <x v="366"/>
    <d v="2023-07-01T00:00:00"/>
    <s v="Cameron"/>
    <n v="9504"/>
  </r>
  <r>
    <d v="2024-01-20T00:00:00"/>
    <x v="0"/>
    <x v="0"/>
    <n v="19"/>
    <n v="482"/>
    <x v="0"/>
    <s v="Wholesale"/>
    <n v="0.1"/>
    <x v="5"/>
    <x v="2"/>
    <n v="0"/>
    <x v="996"/>
    <s v="Cust 9724"/>
    <n v="25.96"/>
    <x v="619"/>
    <d v="2024-01-26T00:00:00"/>
    <s v="Eric"/>
    <n v="8242"/>
  </r>
  <r>
    <d v="2024-06-26T00:00:00"/>
    <x v="0"/>
    <x v="3"/>
    <n v="20"/>
    <n v="75"/>
    <x v="0"/>
    <s v="Wholesale"/>
    <n v="0.05"/>
    <x v="0"/>
    <x v="2"/>
    <n v="0"/>
    <x v="997"/>
    <s v="Cust 1983"/>
    <n v="44.77"/>
    <x v="620"/>
    <d v="2024-07-06T00:00:00"/>
    <s v="Eric"/>
    <n v="1425"/>
  </r>
  <r>
    <d v="2024-12-12T00:00:00"/>
    <x v="3"/>
    <x v="4"/>
    <n v="2"/>
    <n v="494"/>
    <x v="2"/>
    <s v="Retail"/>
    <n v="0.1"/>
    <x v="3"/>
    <x v="1"/>
    <n v="0"/>
    <x v="998"/>
    <s v="Cust 8723"/>
    <n v="13.45"/>
    <x v="621"/>
    <d v="2024-12-17T00:00:00"/>
    <s v="Cameron"/>
    <n v="889"/>
  </r>
  <r>
    <d v="2024-02-21T00:00:00"/>
    <x v="0"/>
    <x v="0"/>
    <n v="15"/>
    <n v="113"/>
    <x v="0"/>
    <s v="Wholesale"/>
    <n v="0.05"/>
    <x v="2"/>
    <x v="2"/>
    <n v="0"/>
    <x v="999"/>
    <s v="Cust 1901"/>
    <n v="18.21"/>
    <x v="600"/>
    <d v="2024-03-01T00:00:00"/>
    <s v="Eric"/>
    <n v="1610"/>
  </r>
  <r>
    <d v="2023-07-18T00:00:00"/>
    <x v="0"/>
    <x v="2"/>
    <n v="3"/>
    <n v="122"/>
    <x v="3"/>
    <s v="Wholesale"/>
    <n v="0"/>
    <x v="0"/>
    <x v="3"/>
    <n v="0"/>
    <x v="1000"/>
    <s v="Cust 9682"/>
    <n v="29.06"/>
    <x v="338"/>
    <d v="2023-07-25T00:00:00"/>
    <s v="Eric"/>
    <n v="366"/>
  </r>
  <r>
    <d v="2024-10-02T00:00:00"/>
    <x v="2"/>
    <x v="2"/>
    <n v="12"/>
    <n v="466"/>
    <x v="3"/>
    <s v="Wholesale"/>
    <n v="0"/>
    <x v="1"/>
    <x v="2"/>
    <n v="0"/>
    <x v="1001"/>
    <s v="Cust 5413"/>
    <n v="34.159999999999997"/>
    <x v="352"/>
    <d v="2024-10-06T00:00:00"/>
    <s v="Ryan"/>
    <n v="5592"/>
  </r>
  <r>
    <d v="2024-12-01T00:00:00"/>
    <x v="4"/>
    <x v="1"/>
    <n v="12"/>
    <n v="188"/>
    <x v="3"/>
    <s v="Wholesale"/>
    <n v="0.15"/>
    <x v="4"/>
    <x v="0"/>
    <n v="0"/>
    <x v="1002"/>
    <s v="Cust 9590"/>
    <n v="17.739999999999998"/>
    <x v="622"/>
    <d v="2024-12-04T00:00:00"/>
    <s v="Wendy"/>
    <n v="1918"/>
  </r>
  <r>
    <d v="2024-09-03T00:00:00"/>
    <x v="0"/>
    <x v="2"/>
    <n v="1"/>
    <n v="561"/>
    <x v="3"/>
    <s v="Retail"/>
    <n v="0.15"/>
    <x v="2"/>
    <x v="1"/>
    <n v="0"/>
    <x v="1003"/>
    <s v="Cust 9379"/>
    <n v="5.19"/>
    <x v="623"/>
    <d v="2024-09-12T00:00:00"/>
    <s v="Eric"/>
    <n v="477"/>
  </r>
  <r>
    <d v="2025-02-22T00:00:00"/>
    <x v="4"/>
    <x v="6"/>
    <n v="7"/>
    <n v="178"/>
    <x v="2"/>
    <s v="Retail"/>
    <n v="0.15"/>
    <x v="5"/>
    <x v="0"/>
    <n v="0"/>
    <x v="1004"/>
    <s v="Cust 4722"/>
    <n v="44.91"/>
    <x v="624"/>
    <d v="2025-03-01T00:00:00"/>
    <s v="Wendy"/>
    <n v="1059"/>
  </r>
  <r>
    <d v="2025-05-11T00:00:00"/>
    <x v="4"/>
    <x v="4"/>
    <n v="20"/>
    <n v="553"/>
    <x v="3"/>
    <s v="Retail"/>
    <n v="0.15"/>
    <x v="0"/>
    <x v="0"/>
    <n v="1"/>
    <x v="1005"/>
    <s v="Cust 7152"/>
    <n v="20.5"/>
    <x v="15"/>
    <d v="2025-05-13T00:00:00"/>
    <s v="Wendy"/>
    <n v="9401"/>
  </r>
  <r>
    <d v="2024-12-20T00:00:00"/>
    <x v="3"/>
    <x v="5"/>
    <n v="2"/>
    <n v="458"/>
    <x v="0"/>
    <s v="Wholesale"/>
    <n v="0"/>
    <x v="0"/>
    <x v="1"/>
    <n v="0"/>
    <x v="1006"/>
    <s v="Cust 7255"/>
    <n v="25.94"/>
    <x v="529"/>
    <d v="2024-12-29T00:00:00"/>
    <s v="Cameron"/>
    <n v="916"/>
  </r>
  <r>
    <d v="2023-04-18T00:00:00"/>
    <x v="0"/>
    <x v="0"/>
    <n v="2"/>
    <n v="129"/>
    <x v="3"/>
    <s v="Retail"/>
    <n v="0.05"/>
    <x v="1"/>
    <x v="3"/>
    <n v="0"/>
    <x v="1007"/>
    <s v="Cust 9593"/>
    <n v="6.91"/>
    <x v="625"/>
    <d v="2023-04-21T00:00:00"/>
    <s v="Eric"/>
    <n v="245"/>
  </r>
  <r>
    <d v="2024-08-29T00:00:00"/>
    <x v="0"/>
    <x v="6"/>
    <n v="19"/>
    <n v="448"/>
    <x v="2"/>
    <s v="Wholesale"/>
    <n v="0.1"/>
    <x v="1"/>
    <x v="3"/>
    <n v="0"/>
    <x v="1008"/>
    <s v="Cust 3829"/>
    <n v="30.71"/>
    <x v="496"/>
    <d v="2024-09-03T00:00:00"/>
    <s v="Eric"/>
    <n v="7661"/>
  </r>
  <r>
    <d v="2023-09-03T00:00:00"/>
    <x v="2"/>
    <x v="2"/>
    <n v="16"/>
    <n v="440"/>
    <x v="0"/>
    <s v="Retail"/>
    <n v="0.05"/>
    <x v="2"/>
    <x v="4"/>
    <n v="1"/>
    <x v="1009"/>
    <s v="Cust 2561"/>
    <n v="26.87"/>
    <x v="34"/>
    <d v="2023-09-10T00:00:00"/>
    <s v="Ryan"/>
    <n v="6688"/>
  </r>
  <r>
    <d v="2025-05-19T00:00:00"/>
    <x v="0"/>
    <x v="0"/>
    <n v="8"/>
    <n v="263"/>
    <x v="2"/>
    <s v="Wholesale"/>
    <n v="0"/>
    <x v="1"/>
    <x v="4"/>
    <n v="1"/>
    <x v="1010"/>
    <s v="Cust 8387"/>
    <n v="36.729999999999997"/>
    <x v="460"/>
    <d v="2025-05-24T00:00:00"/>
    <s v="Eric"/>
    <n v="2104"/>
  </r>
  <r>
    <d v="2023-06-18T00:00:00"/>
    <x v="0"/>
    <x v="5"/>
    <n v="15"/>
    <n v="125"/>
    <x v="1"/>
    <s v="Wholesale"/>
    <n v="0.1"/>
    <x v="0"/>
    <x v="1"/>
    <n v="0"/>
    <x v="1011"/>
    <s v="Cust 2860"/>
    <n v="31.95"/>
    <x v="391"/>
    <d v="2023-06-26T00:00:00"/>
    <s v="Eric"/>
    <n v="1688"/>
  </r>
  <r>
    <d v="2025-06-18T00:00:00"/>
    <x v="4"/>
    <x v="4"/>
    <n v="9"/>
    <n v="391"/>
    <x v="3"/>
    <s v="Wholesale"/>
    <n v="0.1"/>
    <x v="0"/>
    <x v="3"/>
    <n v="0"/>
    <x v="1012"/>
    <s v="Cust 7794"/>
    <n v="46.76"/>
    <x v="324"/>
    <d v="2025-06-22T00:00:00"/>
    <s v="Wendy"/>
    <n v="3167"/>
  </r>
  <r>
    <d v="2024-09-29T00:00:00"/>
    <x v="1"/>
    <x v="0"/>
    <n v="12"/>
    <n v="204"/>
    <x v="2"/>
    <s v="Retail"/>
    <n v="0.05"/>
    <x v="1"/>
    <x v="3"/>
    <n v="1"/>
    <x v="1013"/>
    <s v="Cust 6075"/>
    <n v="26.4"/>
    <x v="385"/>
    <d v="2024-10-07T00:00:00"/>
    <s v="Sophie"/>
    <n v="2326"/>
  </r>
  <r>
    <d v="2024-02-25T00:00:00"/>
    <x v="0"/>
    <x v="0"/>
    <n v="20"/>
    <n v="14"/>
    <x v="2"/>
    <s v="Retail"/>
    <n v="0.15"/>
    <x v="2"/>
    <x v="2"/>
    <n v="0"/>
    <x v="1014"/>
    <s v="Cust 4337"/>
    <n v="33.6"/>
    <x v="626"/>
    <d v="2024-03-04T00:00:00"/>
    <s v="Eric"/>
    <n v="238"/>
  </r>
  <r>
    <d v="2024-03-21T00:00:00"/>
    <x v="2"/>
    <x v="6"/>
    <n v="14"/>
    <n v="525"/>
    <x v="2"/>
    <s v="Wholesale"/>
    <n v="0.05"/>
    <x v="1"/>
    <x v="4"/>
    <n v="1"/>
    <x v="1015"/>
    <s v="Cust 2540"/>
    <n v="20.23"/>
    <x v="58"/>
    <d v="2024-03-30T00:00:00"/>
    <s v="Ryan"/>
    <n v="6982"/>
  </r>
  <r>
    <d v="2024-02-03T00:00:00"/>
    <x v="2"/>
    <x v="0"/>
    <n v="8"/>
    <n v="144"/>
    <x v="0"/>
    <s v="Retail"/>
    <n v="0.1"/>
    <x v="4"/>
    <x v="4"/>
    <n v="0"/>
    <x v="1016"/>
    <s v="Cust 3944"/>
    <n v="28.09"/>
    <x v="490"/>
    <d v="2024-02-09T00:00:00"/>
    <s v="Ryan"/>
    <n v="1037"/>
  </r>
  <r>
    <d v="2023-11-21T00:00:00"/>
    <x v="1"/>
    <x v="0"/>
    <n v="2"/>
    <n v="577"/>
    <x v="3"/>
    <s v="Retail"/>
    <n v="0.1"/>
    <x v="2"/>
    <x v="2"/>
    <n v="0"/>
    <x v="1017"/>
    <s v="Cust 8876"/>
    <n v="43.32"/>
    <x v="283"/>
    <d v="2023-11-24T00:00:00"/>
    <s v="Sophie"/>
    <n v="1039"/>
  </r>
  <r>
    <d v="2023-01-10T00:00:00"/>
    <x v="4"/>
    <x v="3"/>
    <n v="14"/>
    <n v="251"/>
    <x v="2"/>
    <s v="Retail"/>
    <n v="0"/>
    <x v="0"/>
    <x v="3"/>
    <n v="0"/>
    <x v="1018"/>
    <s v="Cust 3286"/>
    <n v="14.94"/>
    <x v="579"/>
    <d v="2023-01-18T00:00:00"/>
    <s v="Wendy"/>
    <n v="3514"/>
  </r>
  <r>
    <d v="2023-02-06T00:00:00"/>
    <x v="3"/>
    <x v="1"/>
    <n v="7"/>
    <n v="335"/>
    <x v="2"/>
    <s v="Retail"/>
    <n v="0"/>
    <x v="5"/>
    <x v="0"/>
    <n v="0"/>
    <x v="1019"/>
    <s v="Cust 4990"/>
    <n v="18.91"/>
    <x v="235"/>
    <d v="2023-02-10T00:00:00"/>
    <s v="Cameron"/>
    <n v="2345"/>
  </r>
  <r>
    <d v="2025-04-10T00:00:00"/>
    <x v="2"/>
    <x v="6"/>
    <n v="11"/>
    <n v="204"/>
    <x v="1"/>
    <s v="Retail"/>
    <n v="0"/>
    <x v="0"/>
    <x v="3"/>
    <n v="0"/>
    <x v="1020"/>
    <s v="Cust 8706"/>
    <n v="13.82"/>
    <x v="627"/>
    <d v="2025-04-20T00:00:00"/>
    <s v="Ryan"/>
    <n v="2244"/>
  </r>
  <r>
    <d v="2024-02-14T00:00:00"/>
    <x v="0"/>
    <x v="5"/>
    <n v="1"/>
    <n v="543"/>
    <x v="1"/>
    <s v="Retail"/>
    <n v="0.05"/>
    <x v="3"/>
    <x v="2"/>
    <n v="0"/>
    <x v="1021"/>
    <s v="Cust 2608"/>
    <n v="33.200000000000003"/>
    <x v="628"/>
    <d v="2024-02-21T00:00:00"/>
    <s v="Eric"/>
    <n v="516"/>
  </r>
  <r>
    <d v="2025-05-26T00:00:00"/>
    <x v="0"/>
    <x v="1"/>
    <n v="1"/>
    <n v="205"/>
    <x v="3"/>
    <s v="Retail"/>
    <n v="0.1"/>
    <x v="3"/>
    <x v="0"/>
    <n v="1"/>
    <x v="1022"/>
    <s v="Cust 3290"/>
    <n v="17.760000000000002"/>
    <x v="499"/>
    <d v="2025-05-29T00:00:00"/>
    <s v="Eric"/>
    <n v="184"/>
  </r>
  <r>
    <d v="2023-09-12T00:00:00"/>
    <x v="4"/>
    <x v="3"/>
    <n v="10"/>
    <n v="420"/>
    <x v="1"/>
    <s v="Wholesale"/>
    <n v="0.15"/>
    <x v="0"/>
    <x v="3"/>
    <n v="0"/>
    <x v="1023"/>
    <s v="Cust 3892"/>
    <n v="13.09"/>
    <x v="629"/>
    <d v="2023-09-19T00:00:00"/>
    <s v="Wendy"/>
    <n v="3570"/>
  </r>
  <r>
    <d v="2023-05-17T00:00:00"/>
    <x v="0"/>
    <x v="2"/>
    <n v="7"/>
    <n v="88"/>
    <x v="2"/>
    <s v="Wholesale"/>
    <n v="0.15"/>
    <x v="1"/>
    <x v="0"/>
    <n v="1"/>
    <x v="1024"/>
    <s v="Cust 6979"/>
    <n v="22.2"/>
    <x v="497"/>
    <d v="2023-05-26T00:00:00"/>
    <s v="Eric"/>
    <n v="524"/>
  </r>
  <r>
    <d v="2024-01-29T00:00:00"/>
    <x v="4"/>
    <x v="6"/>
    <n v="7"/>
    <n v="387"/>
    <x v="0"/>
    <s v="Wholesale"/>
    <n v="0.05"/>
    <x v="3"/>
    <x v="4"/>
    <n v="0"/>
    <x v="1025"/>
    <s v="Cust 9375"/>
    <n v="38.46"/>
    <x v="282"/>
    <d v="2024-01-31T00:00:00"/>
    <s v="Wendy"/>
    <n v="2574"/>
  </r>
  <r>
    <d v="2025-05-09T00:00:00"/>
    <x v="2"/>
    <x v="2"/>
    <n v="4"/>
    <n v="243"/>
    <x v="3"/>
    <s v="Wholesale"/>
    <n v="0.05"/>
    <x v="4"/>
    <x v="3"/>
    <n v="0"/>
    <x v="1026"/>
    <s v="Cust 9311"/>
    <n v="30.03"/>
    <x v="589"/>
    <d v="2025-05-18T00:00:00"/>
    <s v="Ryan"/>
    <n v="923"/>
  </r>
  <r>
    <d v="2024-04-05T00:00:00"/>
    <x v="0"/>
    <x v="6"/>
    <n v="4"/>
    <n v="411"/>
    <x v="1"/>
    <s v="Retail"/>
    <n v="0"/>
    <x v="0"/>
    <x v="4"/>
    <n v="0"/>
    <x v="1027"/>
    <s v="Cust 4097"/>
    <n v="17.36"/>
    <x v="393"/>
    <d v="2024-04-09T00:00:00"/>
    <s v="Eric"/>
    <n v="1644"/>
  </r>
  <r>
    <d v="2024-08-01T00:00:00"/>
    <x v="1"/>
    <x v="3"/>
    <n v="3"/>
    <n v="11"/>
    <x v="3"/>
    <s v="Wholesale"/>
    <n v="0.15"/>
    <x v="0"/>
    <x v="4"/>
    <n v="0"/>
    <x v="1028"/>
    <s v="Cust 6145"/>
    <n v="19.010000000000002"/>
    <x v="537"/>
    <d v="2024-08-10T00:00:00"/>
    <s v="Sophie"/>
    <n v="28"/>
  </r>
  <r>
    <d v="2024-07-10T00:00:00"/>
    <x v="1"/>
    <x v="3"/>
    <n v="20"/>
    <n v="150"/>
    <x v="2"/>
    <s v="Wholesale"/>
    <n v="0"/>
    <x v="5"/>
    <x v="4"/>
    <n v="0"/>
    <x v="1029"/>
    <s v="Cust 8124"/>
    <n v="41.66"/>
    <x v="462"/>
    <d v="2024-07-12T00:00:00"/>
    <s v="Sophie"/>
    <n v="3000"/>
  </r>
  <r>
    <d v="2024-06-15T00:00:00"/>
    <x v="0"/>
    <x v="3"/>
    <n v="1"/>
    <n v="394"/>
    <x v="0"/>
    <s v="Retail"/>
    <n v="0.1"/>
    <x v="1"/>
    <x v="1"/>
    <n v="0"/>
    <x v="1030"/>
    <s v="Cust 7826"/>
    <n v="6.37"/>
    <x v="351"/>
    <d v="2024-06-20T00:00:00"/>
    <s v="Eric"/>
    <n v="355"/>
  </r>
  <r>
    <d v="2024-05-22T00:00:00"/>
    <x v="0"/>
    <x v="4"/>
    <n v="6"/>
    <n v="535"/>
    <x v="2"/>
    <s v="Wholesale"/>
    <n v="0.15"/>
    <x v="1"/>
    <x v="0"/>
    <n v="0"/>
    <x v="1031"/>
    <s v="Cust 3472"/>
    <n v="48.66"/>
    <x v="521"/>
    <d v="2024-05-29T00:00:00"/>
    <s v="Eric"/>
    <n v="2728"/>
  </r>
  <r>
    <d v="2024-01-14T00:00:00"/>
    <x v="0"/>
    <x v="4"/>
    <n v="19"/>
    <n v="408"/>
    <x v="3"/>
    <s v="Retail"/>
    <n v="0.05"/>
    <x v="4"/>
    <x v="1"/>
    <n v="0"/>
    <x v="1032"/>
    <s v="Cust 4266"/>
    <n v="38.979999999999997"/>
    <x v="73"/>
    <d v="2024-01-18T00:00:00"/>
    <s v="Eric"/>
    <n v="7364"/>
  </r>
  <r>
    <d v="2024-10-31T00:00:00"/>
    <x v="2"/>
    <x v="5"/>
    <n v="16"/>
    <n v="121"/>
    <x v="0"/>
    <s v="Retail"/>
    <n v="0.05"/>
    <x v="3"/>
    <x v="4"/>
    <n v="1"/>
    <x v="1033"/>
    <s v="Cust 8492"/>
    <n v="39.64"/>
    <x v="335"/>
    <d v="2024-11-02T00:00:00"/>
    <s v="Ryan"/>
    <n v="1839"/>
  </r>
  <r>
    <d v="2024-04-23T00:00:00"/>
    <x v="4"/>
    <x v="6"/>
    <n v="7"/>
    <n v="40"/>
    <x v="3"/>
    <s v="Retail"/>
    <n v="0.1"/>
    <x v="3"/>
    <x v="3"/>
    <n v="0"/>
    <x v="1034"/>
    <s v="Cust 7354"/>
    <n v="18.16"/>
    <x v="502"/>
    <d v="2024-04-29T00:00:00"/>
    <s v="Wendy"/>
    <n v="252"/>
  </r>
  <r>
    <d v="2023-06-14T00:00:00"/>
    <x v="1"/>
    <x v="5"/>
    <n v="2"/>
    <n v="224"/>
    <x v="1"/>
    <s v="Retail"/>
    <n v="0.05"/>
    <x v="2"/>
    <x v="2"/>
    <n v="0"/>
    <x v="1035"/>
    <s v="Cust 6672"/>
    <n v="47.35"/>
    <x v="116"/>
    <d v="2023-06-20T00:00:00"/>
    <s v="Sophie"/>
    <n v="426"/>
  </r>
  <r>
    <d v="2024-02-28T00:00:00"/>
    <x v="2"/>
    <x v="6"/>
    <n v="11"/>
    <n v="382"/>
    <x v="3"/>
    <s v="Wholesale"/>
    <n v="0.05"/>
    <x v="2"/>
    <x v="4"/>
    <n v="0"/>
    <x v="1036"/>
    <s v="Cust 5589"/>
    <n v="5.95"/>
    <x v="630"/>
    <d v="2024-03-02T00:00:00"/>
    <s v="Ryan"/>
    <n v="3992"/>
  </r>
  <r>
    <d v="2024-06-19T00:00:00"/>
    <x v="1"/>
    <x v="6"/>
    <n v="9"/>
    <n v="88"/>
    <x v="3"/>
    <s v="Wholesale"/>
    <n v="0.05"/>
    <x v="4"/>
    <x v="0"/>
    <n v="0"/>
    <x v="1037"/>
    <s v="Cust 2770"/>
    <n v="35.6"/>
    <x v="389"/>
    <d v="2024-06-26T00:00:00"/>
    <s v="Sophie"/>
    <n v="752"/>
  </r>
  <r>
    <d v="2023-03-18T00:00:00"/>
    <x v="3"/>
    <x v="5"/>
    <n v="20"/>
    <n v="139"/>
    <x v="2"/>
    <s v="Wholesale"/>
    <n v="0.05"/>
    <x v="3"/>
    <x v="0"/>
    <n v="0"/>
    <x v="1038"/>
    <s v="Cust 7206"/>
    <n v="30.22"/>
    <x v="132"/>
    <d v="2023-03-20T00:00:00"/>
    <s v="Cameron"/>
    <n v="2641"/>
  </r>
  <r>
    <d v="2023-03-21T00:00:00"/>
    <x v="4"/>
    <x v="2"/>
    <n v="19"/>
    <n v="322"/>
    <x v="3"/>
    <s v="Wholesale"/>
    <n v="0.1"/>
    <x v="1"/>
    <x v="3"/>
    <n v="0"/>
    <x v="1039"/>
    <s v="Cust 1580"/>
    <n v="30.06"/>
    <x v="256"/>
    <d v="2023-03-31T00:00:00"/>
    <s v="Wendy"/>
    <n v="5506"/>
  </r>
  <r>
    <d v="2024-05-28T00:00:00"/>
    <x v="0"/>
    <x v="6"/>
    <n v="16"/>
    <n v="335"/>
    <x v="0"/>
    <s v="Wholesale"/>
    <n v="0.1"/>
    <x v="0"/>
    <x v="2"/>
    <n v="0"/>
    <x v="1040"/>
    <s v="Cust 5313"/>
    <n v="37.42"/>
    <x v="17"/>
    <d v="2024-06-01T00:00:00"/>
    <s v="Eric"/>
    <n v="4824"/>
  </r>
  <r>
    <d v="2023-03-27T00:00:00"/>
    <x v="4"/>
    <x v="2"/>
    <n v="20"/>
    <n v="332"/>
    <x v="0"/>
    <s v="Wholesale"/>
    <n v="0"/>
    <x v="0"/>
    <x v="0"/>
    <n v="1"/>
    <x v="1041"/>
    <s v="Cust 4209"/>
    <n v="7.79"/>
    <x v="340"/>
    <d v="2023-03-30T00:00:00"/>
    <s v="Wendy"/>
    <n v="6640"/>
  </r>
  <r>
    <d v="2023-06-19T00:00:00"/>
    <x v="3"/>
    <x v="6"/>
    <n v="1"/>
    <n v="123"/>
    <x v="1"/>
    <s v="Retail"/>
    <n v="0"/>
    <x v="0"/>
    <x v="4"/>
    <n v="1"/>
    <x v="1042"/>
    <s v="Cust 5861"/>
    <n v="12.63"/>
    <x v="182"/>
    <d v="2023-06-25T00:00:00"/>
    <s v="Cameron"/>
    <n v="123"/>
  </r>
  <r>
    <d v="2023-10-31T00:00:00"/>
    <x v="1"/>
    <x v="0"/>
    <n v="3"/>
    <n v="88"/>
    <x v="3"/>
    <s v="Wholesale"/>
    <n v="0.05"/>
    <x v="5"/>
    <x v="3"/>
    <n v="0"/>
    <x v="1043"/>
    <s v="Cust 6348"/>
    <n v="46.45"/>
    <x v="372"/>
    <d v="2023-11-07T00:00:00"/>
    <s v="Sophie"/>
    <n v="251"/>
  </r>
  <r>
    <d v="2023-07-11T00:00:00"/>
    <x v="4"/>
    <x v="1"/>
    <n v="13"/>
    <n v="51"/>
    <x v="3"/>
    <s v="Wholesale"/>
    <n v="0.1"/>
    <x v="1"/>
    <x v="3"/>
    <n v="0"/>
    <x v="1044"/>
    <s v="Cust 5210"/>
    <n v="40.57"/>
    <x v="445"/>
    <d v="2023-07-18T00:00:00"/>
    <s v="Wendy"/>
    <n v="597"/>
  </r>
  <r>
    <d v="2023-05-19T00:00:00"/>
    <x v="1"/>
    <x v="4"/>
    <n v="11"/>
    <n v="238"/>
    <x v="3"/>
    <s v="Wholesale"/>
    <n v="0.05"/>
    <x v="5"/>
    <x v="3"/>
    <n v="0"/>
    <x v="1045"/>
    <s v="Cust 7325"/>
    <n v="44.7"/>
    <x v="631"/>
    <d v="2023-05-28T00:00:00"/>
    <s v="Sophie"/>
    <n v="2487"/>
  </r>
  <r>
    <d v="2023-08-05T00:00:00"/>
    <x v="2"/>
    <x v="3"/>
    <n v="7"/>
    <n v="295"/>
    <x v="3"/>
    <s v="Wholesale"/>
    <n v="0"/>
    <x v="2"/>
    <x v="0"/>
    <n v="0"/>
    <x v="1046"/>
    <s v="Cust 5818"/>
    <n v="15.78"/>
    <x v="285"/>
    <d v="2023-08-10T00:00:00"/>
    <s v="Ryan"/>
    <n v="2065"/>
  </r>
  <r>
    <d v="2023-03-24T00:00:00"/>
    <x v="4"/>
    <x v="2"/>
    <n v="8"/>
    <n v="384"/>
    <x v="2"/>
    <s v="Wholesale"/>
    <n v="0.1"/>
    <x v="2"/>
    <x v="1"/>
    <n v="0"/>
    <x v="1047"/>
    <s v="Cust 7773"/>
    <n v="48.83"/>
    <x v="601"/>
    <d v="2023-04-03T00:00:00"/>
    <s v="Wendy"/>
    <n v="2765"/>
  </r>
  <r>
    <d v="2025-02-14T00:00:00"/>
    <x v="4"/>
    <x v="4"/>
    <n v="1"/>
    <n v="378"/>
    <x v="2"/>
    <s v="Wholesale"/>
    <n v="0.05"/>
    <x v="4"/>
    <x v="4"/>
    <n v="0"/>
    <x v="1048"/>
    <s v="Cust 3960"/>
    <n v="20.97"/>
    <x v="202"/>
    <d v="2025-02-17T00:00:00"/>
    <s v="Wendy"/>
    <n v="359"/>
  </r>
  <r>
    <d v="2024-12-14T00:00:00"/>
    <x v="2"/>
    <x v="2"/>
    <n v="1"/>
    <n v="461"/>
    <x v="3"/>
    <s v="Retail"/>
    <n v="0"/>
    <x v="5"/>
    <x v="3"/>
    <n v="1"/>
    <x v="1049"/>
    <s v="Cust 4496"/>
    <n v="43.74"/>
    <x v="632"/>
    <d v="2024-12-16T00:00:00"/>
    <s v="Ryan"/>
    <n v="461"/>
  </r>
  <r>
    <d v="2023-06-28T00:00:00"/>
    <x v="1"/>
    <x v="6"/>
    <n v="20"/>
    <n v="355"/>
    <x v="1"/>
    <s v="Wholesale"/>
    <n v="0"/>
    <x v="5"/>
    <x v="1"/>
    <n v="0"/>
    <x v="1050"/>
    <s v="Cust 3875"/>
    <n v="43.24"/>
    <x v="418"/>
    <d v="2023-07-01T00:00:00"/>
    <s v="Sophie"/>
    <n v="7100"/>
  </r>
  <r>
    <d v="2023-01-24T00:00:00"/>
    <x v="4"/>
    <x v="2"/>
    <n v="7"/>
    <n v="438"/>
    <x v="2"/>
    <s v="Retail"/>
    <n v="0.1"/>
    <x v="4"/>
    <x v="3"/>
    <n v="1"/>
    <x v="1051"/>
    <s v="Cust 7232"/>
    <n v="47.77"/>
    <x v="191"/>
    <d v="2023-01-28T00:00:00"/>
    <s v="Wendy"/>
    <n v="2759"/>
  </r>
  <r>
    <d v="2024-06-21T00:00:00"/>
    <x v="3"/>
    <x v="5"/>
    <n v="14"/>
    <n v="543"/>
    <x v="2"/>
    <s v="Retail"/>
    <n v="0.05"/>
    <x v="0"/>
    <x v="3"/>
    <n v="0"/>
    <x v="1052"/>
    <s v="Cust 2137"/>
    <n v="44.76"/>
    <x v="378"/>
    <d v="2024-06-30T00:00:00"/>
    <s v="Cameron"/>
    <n v="7222"/>
  </r>
  <r>
    <d v="2025-04-09T00:00:00"/>
    <x v="2"/>
    <x v="6"/>
    <n v="3"/>
    <n v="239"/>
    <x v="2"/>
    <s v="Retail"/>
    <n v="0.1"/>
    <x v="5"/>
    <x v="1"/>
    <n v="0"/>
    <x v="1053"/>
    <s v="Cust 4537"/>
    <n v="37.07"/>
    <x v="320"/>
    <d v="2025-04-18T00:00:00"/>
    <s v="Ryan"/>
    <n v="645"/>
  </r>
  <r>
    <d v="2025-01-11T00:00:00"/>
    <x v="2"/>
    <x v="5"/>
    <n v="16"/>
    <n v="332"/>
    <x v="2"/>
    <s v="Retail"/>
    <n v="0.1"/>
    <x v="0"/>
    <x v="2"/>
    <n v="1"/>
    <x v="1054"/>
    <s v="Cust 6274"/>
    <n v="34.97"/>
    <x v="405"/>
    <d v="2025-01-19T00:00:00"/>
    <s v="Ryan"/>
    <n v="4781"/>
  </r>
  <r>
    <d v="2024-07-13T00:00:00"/>
    <x v="3"/>
    <x v="6"/>
    <n v="9"/>
    <n v="455"/>
    <x v="3"/>
    <s v="Wholesale"/>
    <n v="0.05"/>
    <x v="3"/>
    <x v="3"/>
    <n v="0"/>
    <x v="1055"/>
    <s v="Cust 3810"/>
    <n v="32.86"/>
    <x v="421"/>
    <d v="2024-07-20T00:00:00"/>
    <s v="Cameron"/>
    <n v="3890"/>
  </r>
  <r>
    <d v="2025-01-04T00:00:00"/>
    <x v="4"/>
    <x v="6"/>
    <n v="6"/>
    <n v="541"/>
    <x v="1"/>
    <s v="Retail"/>
    <n v="0.05"/>
    <x v="3"/>
    <x v="3"/>
    <n v="0"/>
    <x v="1056"/>
    <s v="Cust 5002"/>
    <n v="19.77"/>
    <x v="602"/>
    <d v="2025-01-10T00:00:00"/>
    <s v="Wendy"/>
    <n v="3084"/>
  </r>
  <r>
    <d v="2023-10-25T00:00:00"/>
    <x v="4"/>
    <x v="2"/>
    <n v="14"/>
    <n v="147"/>
    <x v="3"/>
    <s v="Wholesale"/>
    <n v="0.15"/>
    <x v="2"/>
    <x v="3"/>
    <n v="1"/>
    <x v="1057"/>
    <s v="Cust 8551"/>
    <n v="45.75"/>
    <x v="633"/>
    <d v="2023-10-31T00:00:00"/>
    <s v="Wendy"/>
    <n v="1749"/>
  </r>
  <r>
    <d v="2023-09-30T00:00:00"/>
    <x v="1"/>
    <x v="0"/>
    <n v="7"/>
    <n v="421"/>
    <x v="3"/>
    <s v="Wholesale"/>
    <n v="0.15"/>
    <x v="4"/>
    <x v="1"/>
    <n v="0"/>
    <x v="1058"/>
    <s v="Cust 8837"/>
    <n v="44.49"/>
    <x v="508"/>
    <d v="2023-10-02T00:00:00"/>
    <s v="Sophie"/>
    <n v="2505"/>
  </r>
  <r>
    <d v="2023-03-16T00:00:00"/>
    <x v="2"/>
    <x v="1"/>
    <n v="20"/>
    <n v="436"/>
    <x v="3"/>
    <s v="Retail"/>
    <n v="0"/>
    <x v="4"/>
    <x v="2"/>
    <n v="1"/>
    <x v="1059"/>
    <s v="Cust 6523"/>
    <n v="37.49"/>
    <x v="399"/>
    <d v="2023-03-26T00:00:00"/>
    <s v="Ryan"/>
    <n v="8720"/>
  </r>
  <r>
    <d v="2023-07-26T00:00:00"/>
    <x v="2"/>
    <x v="0"/>
    <n v="18"/>
    <n v="437"/>
    <x v="1"/>
    <s v="Wholesale"/>
    <n v="0.1"/>
    <x v="5"/>
    <x v="2"/>
    <n v="0"/>
    <x v="1060"/>
    <s v="Cust 1947"/>
    <n v="28.8"/>
    <x v="238"/>
    <d v="2023-08-02T00:00:00"/>
    <s v="Ryan"/>
    <n v="7079"/>
  </r>
  <r>
    <d v="2023-07-10T00:00:00"/>
    <x v="0"/>
    <x v="4"/>
    <n v="2"/>
    <n v="328"/>
    <x v="1"/>
    <s v="Retail"/>
    <n v="0.05"/>
    <x v="4"/>
    <x v="3"/>
    <n v="0"/>
    <x v="1061"/>
    <s v="Cust 3440"/>
    <n v="19.489999999999998"/>
    <x v="634"/>
    <d v="2023-07-19T00:00:00"/>
    <s v="Eric"/>
    <n v="623"/>
  </r>
  <r>
    <d v="2024-08-06T00:00:00"/>
    <x v="0"/>
    <x v="6"/>
    <n v="18"/>
    <n v="167"/>
    <x v="2"/>
    <s v="Wholesale"/>
    <n v="0.05"/>
    <x v="1"/>
    <x v="1"/>
    <n v="0"/>
    <x v="1062"/>
    <s v="Cust 4102"/>
    <n v="9.35"/>
    <x v="635"/>
    <d v="2024-08-16T00:00:00"/>
    <s v="Eric"/>
    <n v="2856"/>
  </r>
  <r>
    <d v="2024-07-16T00:00:00"/>
    <x v="3"/>
    <x v="1"/>
    <n v="14"/>
    <n v="300"/>
    <x v="1"/>
    <s v="Retail"/>
    <n v="0.1"/>
    <x v="1"/>
    <x v="0"/>
    <n v="0"/>
    <x v="1063"/>
    <s v="Cust 4145"/>
    <n v="38.6"/>
    <x v="617"/>
    <d v="2024-07-19T00:00:00"/>
    <s v="Cameron"/>
    <n v="3780"/>
  </r>
  <r>
    <d v="2024-01-31T00:00:00"/>
    <x v="2"/>
    <x v="6"/>
    <n v="5"/>
    <n v="232"/>
    <x v="1"/>
    <s v="Wholesale"/>
    <n v="0"/>
    <x v="1"/>
    <x v="0"/>
    <n v="1"/>
    <x v="1064"/>
    <s v="Cust 5206"/>
    <n v="42.38"/>
    <x v="636"/>
    <d v="2024-02-09T00:00:00"/>
    <s v="Ryan"/>
    <n v="1160"/>
  </r>
  <r>
    <d v="2023-04-22T00:00:00"/>
    <x v="3"/>
    <x v="5"/>
    <n v="1"/>
    <n v="173"/>
    <x v="1"/>
    <s v="Retail"/>
    <n v="0"/>
    <x v="5"/>
    <x v="1"/>
    <n v="0"/>
    <x v="1065"/>
    <s v="Cust 4022"/>
    <n v="32.83"/>
    <x v="573"/>
    <d v="2023-04-24T00:00:00"/>
    <s v="Cameron"/>
    <n v="173"/>
  </r>
  <r>
    <d v="2025-02-04T00:00:00"/>
    <x v="0"/>
    <x v="1"/>
    <n v="9"/>
    <n v="256"/>
    <x v="1"/>
    <s v="Retail"/>
    <n v="0.15"/>
    <x v="2"/>
    <x v="2"/>
    <n v="1"/>
    <x v="1066"/>
    <s v="Cust 8676"/>
    <n v="5.21"/>
    <x v="599"/>
    <d v="2025-02-07T00:00:00"/>
    <s v="Eric"/>
    <n v="1958"/>
  </r>
  <r>
    <d v="2024-08-25T00:00:00"/>
    <x v="3"/>
    <x v="0"/>
    <n v="12"/>
    <n v="461"/>
    <x v="3"/>
    <s v="Wholesale"/>
    <n v="0.15"/>
    <x v="4"/>
    <x v="1"/>
    <n v="0"/>
    <x v="1067"/>
    <s v="Cust 7492"/>
    <n v="8.6"/>
    <x v="225"/>
    <d v="2024-09-03T00:00:00"/>
    <s v="Cameron"/>
    <n v="4702"/>
  </r>
  <r>
    <d v="2023-08-30T00:00:00"/>
    <x v="0"/>
    <x v="1"/>
    <n v="1"/>
    <n v="193"/>
    <x v="1"/>
    <s v="Wholesale"/>
    <n v="0.05"/>
    <x v="2"/>
    <x v="0"/>
    <n v="0"/>
    <x v="1068"/>
    <s v="Cust 3150"/>
    <n v="23.99"/>
    <x v="286"/>
    <d v="2023-09-05T00:00:00"/>
    <s v="Eric"/>
    <n v="183"/>
  </r>
  <r>
    <d v="2023-09-06T00:00:00"/>
    <x v="4"/>
    <x v="3"/>
    <n v="3"/>
    <n v="313"/>
    <x v="2"/>
    <s v="Retail"/>
    <n v="0.05"/>
    <x v="0"/>
    <x v="2"/>
    <n v="1"/>
    <x v="1069"/>
    <s v="Cust 7872"/>
    <n v="20.059999999999999"/>
    <x v="476"/>
    <d v="2023-09-12T00:00:00"/>
    <s v="Wendy"/>
    <n v="892"/>
  </r>
  <r>
    <d v="2025-05-13T00:00:00"/>
    <x v="1"/>
    <x v="0"/>
    <n v="6"/>
    <n v="214"/>
    <x v="3"/>
    <s v="Wholesale"/>
    <n v="0.05"/>
    <x v="4"/>
    <x v="4"/>
    <n v="0"/>
    <x v="1070"/>
    <s v="Cust 8762"/>
    <n v="44.86"/>
    <x v="92"/>
    <d v="2025-05-21T00:00:00"/>
    <s v="Sophie"/>
    <n v="1220"/>
  </r>
  <r>
    <d v="2023-10-29T00:00:00"/>
    <x v="2"/>
    <x v="1"/>
    <n v="4"/>
    <n v="60"/>
    <x v="3"/>
    <s v="Retail"/>
    <n v="0.1"/>
    <x v="2"/>
    <x v="0"/>
    <n v="0"/>
    <x v="1071"/>
    <s v="Cust 4004"/>
    <n v="42.59"/>
    <x v="637"/>
    <d v="2023-11-06T00:00:00"/>
    <s v="Ryan"/>
    <n v="216"/>
  </r>
  <r>
    <d v="2024-06-12T00:00:00"/>
    <x v="0"/>
    <x v="0"/>
    <n v="9"/>
    <n v="418"/>
    <x v="2"/>
    <s v="Wholesale"/>
    <n v="0"/>
    <x v="5"/>
    <x v="2"/>
    <n v="0"/>
    <x v="1072"/>
    <s v="Cust 2781"/>
    <n v="30.45"/>
    <x v="638"/>
    <d v="2024-06-18T00:00:00"/>
    <s v="Eric"/>
    <n v="3762"/>
  </r>
  <r>
    <d v="2023-02-02T00:00:00"/>
    <x v="1"/>
    <x v="3"/>
    <n v="1"/>
    <n v="81"/>
    <x v="1"/>
    <s v="Wholesale"/>
    <n v="0"/>
    <x v="5"/>
    <x v="2"/>
    <n v="0"/>
    <x v="1073"/>
    <s v="Cust 9982"/>
    <n v="48.07"/>
    <x v="233"/>
    <d v="2023-02-05T00:00:00"/>
    <s v="Sophie"/>
    <n v="81"/>
  </r>
  <r>
    <d v="2023-05-04T00:00:00"/>
    <x v="0"/>
    <x v="1"/>
    <n v="20"/>
    <n v="42"/>
    <x v="0"/>
    <s v="Wholesale"/>
    <n v="0.15"/>
    <x v="1"/>
    <x v="2"/>
    <n v="0"/>
    <x v="1074"/>
    <s v="Cust 9561"/>
    <n v="43.22"/>
    <x v="639"/>
    <d v="2023-05-12T00:00:00"/>
    <s v="Eric"/>
    <n v="714"/>
  </r>
  <r>
    <d v="2023-05-24T00:00:00"/>
    <x v="4"/>
    <x v="4"/>
    <n v="3"/>
    <n v="367"/>
    <x v="3"/>
    <s v="Wholesale"/>
    <n v="0"/>
    <x v="3"/>
    <x v="2"/>
    <n v="0"/>
    <x v="1075"/>
    <s v="Cust 3496"/>
    <n v="33.6"/>
    <x v="56"/>
    <d v="2023-05-31T00:00:00"/>
    <s v="Wendy"/>
    <n v="1101"/>
  </r>
  <r>
    <d v="2023-02-03T00:00:00"/>
    <x v="4"/>
    <x v="4"/>
    <n v="19"/>
    <n v="535"/>
    <x v="3"/>
    <s v="Retail"/>
    <n v="0"/>
    <x v="4"/>
    <x v="0"/>
    <n v="0"/>
    <x v="1076"/>
    <s v="Cust 4085"/>
    <n v="26.97"/>
    <x v="151"/>
    <d v="2023-02-13T00:00:00"/>
    <s v="Wendy"/>
    <n v="10165"/>
  </r>
  <r>
    <d v="2023-12-25T00:00:00"/>
    <x v="0"/>
    <x v="3"/>
    <n v="1"/>
    <n v="495"/>
    <x v="3"/>
    <s v="Retail"/>
    <n v="0"/>
    <x v="5"/>
    <x v="2"/>
    <n v="0"/>
    <x v="1077"/>
    <s v="Cust 1921"/>
    <n v="43.02"/>
    <x v="486"/>
    <d v="2024-01-02T00:00:00"/>
    <s v="Eric"/>
    <n v="495"/>
  </r>
  <r>
    <d v="2023-07-26T00:00:00"/>
    <x v="0"/>
    <x v="4"/>
    <n v="6"/>
    <n v="345"/>
    <x v="3"/>
    <s v="Wholesale"/>
    <n v="0.1"/>
    <x v="4"/>
    <x v="0"/>
    <n v="1"/>
    <x v="1078"/>
    <s v="Cust 9053"/>
    <n v="31.13"/>
    <x v="238"/>
    <d v="2023-08-01T00:00:00"/>
    <s v="Eric"/>
    <n v="1863"/>
  </r>
  <r>
    <d v="2024-06-06T00:00:00"/>
    <x v="3"/>
    <x v="4"/>
    <n v="12"/>
    <n v="489"/>
    <x v="3"/>
    <s v="Retail"/>
    <n v="0.15"/>
    <x v="5"/>
    <x v="0"/>
    <n v="0"/>
    <x v="1079"/>
    <s v="Cust 9345"/>
    <n v="29.31"/>
    <x v="566"/>
    <d v="2024-06-15T00:00:00"/>
    <s v="Cameron"/>
    <n v="4988"/>
  </r>
  <r>
    <d v="2024-10-13T00:00:00"/>
    <x v="1"/>
    <x v="6"/>
    <n v="18"/>
    <n v="256"/>
    <x v="0"/>
    <s v="Wholesale"/>
    <n v="0.05"/>
    <x v="0"/>
    <x v="3"/>
    <n v="0"/>
    <x v="1080"/>
    <s v="Cust 3559"/>
    <n v="11.21"/>
    <x v="129"/>
    <d v="2024-10-18T00:00:00"/>
    <s v="Sophie"/>
    <n v="4378"/>
  </r>
  <r>
    <d v="2024-11-03T00:00:00"/>
    <x v="2"/>
    <x v="6"/>
    <n v="17"/>
    <n v="100"/>
    <x v="2"/>
    <s v="Wholesale"/>
    <n v="0"/>
    <x v="4"/>
    <x v="0"/>
    <n v="1"/>
    <x v="1081"/>
    <s v="Cust 1762"/>
    <n v="21.89"/>
    <x v="640"/>
    <d v="2024-11-13T00:00:00"/>
    <s v="Ryan"/>
    <n v="1700"/>
  </r>
  <r>
    <d v="2024-02-03T00:00:00"/>
    <x v="2"/>
    <x v="6"/>
    <n v="14"/>
    <n v="576"/>
    <x v="2"/>
    <s v="Wholesale"/>
    <n v="0.1"/>
    <x v="2"/>
    <x v="2"/>
    <n v="0"/>
    <x v="1082"/>
    <s v="Cust 7060"/>
    <n v="32.53"/>
    <x v="490"/>
    <d v="2024-02-11T00:00:00"/>
    <s v="Ryan"/>
    <n v="7258"/>
  </r>
  <r>
    <d v="2023-01-10T00:00:00"/>
    <x v="0"/>
    <x v="3"/>
    <n v="6"/>
    <n v="177"/>
    <x v="3"/>
    <s v="Wholesale"/>
    <n v="0.15"/>
    <x v="1"/>
    <x v="0"/>
    <n v="0"/>
    <x v="1083"/>
    <s v="Cust 8796"/>
    <n v="16.98"/>
    <x v="579"/>
    <d v="2023-01-13T00:00:00"/>
    <s v="Eric"/>
    <n v="903"/>
  </r>
  <r>
    <d v="2023-10-16T00:00:00"/>
    <x v="0"/>
    <x v="5"/>
    <n v="6"/>
    <n v="486"/>
    <x v="3"/>
    <s v="Wholesale"/>
    <n v="0.05"/>
    <x v="0"/>
    <x v="1"/>
    <n v="0"/>
    <x v="1084"/>
    <s v="Cust 6055"/>
    <n v="30.62"/>
    <x v="641"/>
    <d v="2023-10-22T00:00:00"/>
    <s v="Eric"/>
    <n v="2770"/>
  </r>
  <r>
    <d v="2025-03-19T00:00:00"/>
    <x v="3"/>
    <x v="0"/>
    <n v="8"/>
    <n v="142"/>
    <x v="0"/>
    <s v="Retail"/>
    <n v="0.1"/>
    <x v="5"/>
    <x v="1"/>
    <n v="0"/>
    <x v="1085"/>
    <s v="Cust 5779"/>
    <n v="14.02"/>
    <x v="302"/>
    <d v="2025-03-24T00:00:00"/>
    <s v="Cameron"/>
    <n v="1022"/>
  </r>
  <r>
    <d v="2024-12-16T00:00:00"/>
    <x v="4"/>
    <x v="2"/>
    <n v="9"/>
    <n v="215"/>
    <x v="2"/>
    <s v="Wholesale"/>
    <n v="0.1"/>
    <x v="1"/>
    <x v="2"/>
    <n v="0"/>
    <x v="1086"/>
    <s v="Cust 9330"/>
    <n v="5.84"/>
    <x v="284"/>
    <d v="2024-12-19T00:00:00"/>
    <s v="Wendy"/>
    <n v="1742"/>
  </r>
  <r>
    <d v="2023-08-16T00:00:00"/>
    <x v="4"/>
    <x v="0"/>
    <n v="18"/>
    <n v="497"/>
    <x v="0"/>
    <s v="Wholesale"/>
    <n v="0.05"/>
    <x v="4"/>
    <x v="2"/>
    <n v="0"/>
    <x v="1087"/>
    <s v="Cust 5374"/>
    <n v="17.39"/>
    <x v="484"/>
    <d v="2023-08-20T00:00:00"/>
    <s v="Wendy"/>
    <n v="8499"/>
  </r>
  <r>
    <d v="2023-01-10T00:00:00"/>
    <x v="0"/>
    <x v="2"/>
    <n v="13"/>
    <n v="348"/>
    <x v="0"/>
    <s v="Wholesale"/>
    <n v="0.05"/>
    <x v="4"/>
    <x v="1"/>
    <n v="1"/>
    <x v="1088"/>
    <s v="Cust 3321"/>
    <n v="31.81"/>
    <x v="579"/>
    <d v="2023-01-20T00:00:00"/>
    <s v="Eric"/>
    <n v="4298"/>
  </r>
  <r>
    <d v="2025-05-09T00:00:00"/>
    <x v="3"/>
    <x v="3"/>
    <n v="3"/>
    <n v="371"/>
    <x v="2"/>
    <s v="Wholesale"/>
    <n v="0.1"/>
    <x v="0"/>
    <x v="1"/>
    <n v="0"/>
    <x v="1089"/>
    <s v="Cust 6554"/>
    <n v="20.02"/>
    <x v="589"/>
    <d v="2025-05-18T00:00:00"/>
    <s v="Cameron"/>
    <n v="1002"/>
  </r>
  <r>
    <d v="2024-04-08T00:00:00"/>
    <x v="0"/>
    <x v="6"/>
    <n v="12"/>
    <n v="434"/>
    <x v="1"/>
    <s v="Wholesale"/>
    <n v="0.15"/>
    <x v="5"/>
    <x v="4"/>
    <n v="0"/>
    <x v="1090"/>
    <s v="Cust 6855"/>
    <n v="15.33"/>
    <x v="413"/>
    <d v="2024-04-16T00:00:00"/>
    <s v="Eric"/>
    <n v="4427"/>
  </r>
  <r>
    <d v="2025-05-06T00:00:00"/>
    <x v="0"/>
    <x v="4"/>
    <n v="16"/>
    <n v="427"/>
    <x v="1"/>
    <s v="Retail"/>
    <n v="0.1"/>
    <x v="4"/>
    <x v="1"/>
    <n v="0"/>
    <x v="1091"/>
    <s v="Cust 9955"/>
    <n v="10.199999999999999"/>
    <x v="276"/>
    <d v="2025-05-15T00:00:00"/>
    <s v="Eric"/>
    <n v="6149"/>
  </r>
  <r>
    <d v="2023-05-21T00:00:00"/>
    <x v="4"/>
    <x v="2"/>
    <n v="6"/>
    <n v="295"/>
    <x v="1"/>
    <s v="Wholesale"/>
    <n v="0.05"/>
    <x v="5"/>
    <x v="2"/>
    <n v="0"/>
    <x v="1092"/>
    <s v="Cust 3320"/>
    <n v="48.08"/>
    <x v="642"/>
    <d v="2023-05-29T00:00:00"/>
    <s v="Wendy"/>
    <n v="1682"/>
  </r>
  <r>
    <d v="2023-11-23T00:00:00"/>
    <x v="3"/>
    <x v="1"/>
    <n v="12"/>
    <n v="131"/>
    <x v="3"/>
    <s v="Retail"/>
    <n v="0.15"/>
    <x v="1"/>
    <x v="3"/>
    <n v="0"/>
    <x v="1093"/>
    <s v="Cust 8177"/>
    <n v="34.69"/>
    <x v="488"/>
    <d v="2023-11-30T00:00:00"/>
    <s v="Cameron"/>
    <n v="1336"/>
  </r>
  <r>
    <d v="2024-03-26T00:00:00"/>
    <x v="2"/>
    <x v="4"/>
    <n v="18"/>
    <n v="540"/>
    <x v="2"/>
    <s v="Retail"/>
    <n v="0.15"/>
    <x v="0"/>
    <x v="4"/>
    <n v="1"/>
    <x v="1094"/>
    <s v="Cust 1743"/>
    <n v="34.44"/>
    <x v="643"/>
    <d v="2024-04-05T00:00:00"/>
    <s v="Ryan"/>
    <n v="8262"/>
  </r>
  <r>
    <d v="2024-09-25T00:00:00"/>
    <x v="1"/>
    <x v="2"/>
    <n v="12"/>
    <n v="149"/>
    <x v="3"/>
    <s v="Retail"/>
    <n v="0.1"/>
    <x v="5"/>
    <x v="2"/>
    <n v="0"/>
    <x v="1095"/>
    <s v="Cust 3719"/>
    <n v="20.21"/>
    <x v="644"/>
    <d v="2024-10-02T00:00:00"/>
    <s v="Sophie"/>
    <n v="1609"/>
  </r>
  <r>
    <d v="2023-04-06T00:00:00"/>
    <x v="0"/>
    <x v="3"/>
    <n v="5"/>
    <n v="411"/>
    <x v="1"/>
    <s v="Wholesale"/>
    <n v="0.15"/>
    <x v="5"/>
    <x v="4"/>
    <n v="1"/>
    <x v="1096"/>
    <s v="Cust 9323"/>
    <n v="5.35"/>
    <x v="645"/>
    <d v="2023-04-10T00:00:00"/>
    <s v="Eric"/>
    <n v="1747"/>
  </r>
  <r>
    <d v="2024-06-24T00:00:00"/>
    <x v="2"/>
    <x v="3"/>
    <n v="16"/>
    <n v="463"/>
    <x v="3"/>
    <s v="Retail"/>
    <n v="0.05"/>
    <x v="5"/>
    <x v="4"/>
    <n v="1"/>
    <x v="1097"/>
    <s v="Cust 1914"/>
    <n v="17.43"/>
    <x v="503"/>
    <d v="2024-06-26T00:00:00"/>
    <s v="Ryan"/>
    <n v="7038"/>
  </r>
  <r>
    <d v="2024-12-15T00:00:00"/>
    <x v="1"/>
    <x v="0"/>
    <n v="17"/>
    <n v="506"/>
    <x v="0"/>
    <s v="Wholesale"/>
    <n v="0"/>
    <x v="3"/>
    <x v="4"/>
    <n v="1"/>
    <x v="1098"/>
    <s v="Cust 5928"/>
    <n v="33.36"/>
    <x v="646"/>
    <d v="2024-12-23T00:00:00"/>
    <s v="Sophie"/>
    <n v="8602"/>
  </r>
  <r>
    <d v="2024-10-03T00:00:00"/>
    <x v="2"/>
    <x v="2"/>
    <n v="19"/>
    <n v="26"/>
    <x v="0"/>
    <s v="Retail"/>
    <n v="0"/>
    <x v="5"/>
    <x v="1"/>
    <n v="0"/>
    <x v="1099"/>
    <s v="Cust 1904"/>
    <n v="30.32"/>
    <x v="449"/>
    <d v="2024-10-11T00:00:00"/>
    <s v="Ryan"/>
    <n v="494"/>
  </r>
  <r>
    <d v="2023-09-03T00:00:00"/>
    <x v="1"/>
    <x v="2"/>
    <n v="4"/>
    <n v="467"/>
    <x v="2"/>
    <s v="Wholesale"/>
    <n v="0.05"/>
    <x v="2"/>
    <x v="1"/>
    <n v="0"/>
    <x v="1100"/>
    <s v="Cust 8062"/>
    <n v="25.05"/>
    <x v="34"/>
    <d v="2023-09-13T00:00:00"/>
    <s v="Sophie"/>
    <n v="1775"/>
  </r>
  <r>
    <d v="2023-01-29T00:00:00"/>
    <x v="2"/>
    <x v="6"/>
    <n v="10"/>
    <n v="140"/>
    <x v="0"/>
    <s v="Retail"/>
    <n v="0.15"/>
    <x v="3"/>
    <x v="0"/>
    <n v="0"/>
    <x v="1101"/>
    <s v="Cust 8150"/>
    <n v="43.81"/>
    <x v="603"/>
    <d v="2023-02-05T00:00:00"/>
    <s v="Ryan"/>
    <n v="1190"/>
  </r>
  <r>
    <d v="2024-06-12T00:00:00"/>
    <x v="2"/>
    <x v="1"/>
    <n v="8"/>
    <n v="58"/>
    <x v="3"/>
    <s v="Wholesale"/>
    <n v="0"/>
    <x v="2"/>
    <x v="0"/>
    <n v="1"/>
    <x v="1102"/>
    <s v="Cust 3275"/>
    <n v="49.82"/>
    <x v="638"/>
    <d v="2024-06-20T00:00:00"/>
    <s v="Ryan"/>
    <n v="464"/>
  </r>
  <r>
    <d v="2024-11-24T00:00:00"/>
    <x v="2"/>
    <x v="4"/>
    <n v="9"/>
    <n v="540"/>
    <x v="1"/>
    <s v="Retail"/>
    <n v="0.15"/>
    <x v="1"/>
    <x v="1"/>
    <n v="0"/>
    <x v="1103"/>
    <s v="Cust 3854"/>
    <n v="16.079999999999998"/>
    <x v="224"/>
    <d v="2024-12-03T00:00:00"/>
    <s v="Ryan"/>
    <n v="4131"/>
  </r>
  <r>
    <d v="2023-08-15T00:00:00"/>
    <x v="4"/>
    <x v="4"/>
    <n v="18"/>
    <n v="476"/>
    <x v="1"/>
    <s v="Wholesale"/>
    <n v="0"/>
    <x v="4"/>
    <x v="2"/>
    <n v="1"/>
    <x v="1104"/>
    <s v="Cust 8398"/>
    <n v="47.43"/>
    <x v="374"/>
    <d v="2023-08-20T00:00:00"/>
    <s v="Wendy"/>
    <n v="8568"/>
  </r>
  <r>
    <d v="2024-08-21T00:00:00"/>
    <x v="3"/>
    <x v="5"/>
    <n v="11"/>
    <n v="144"/>
    <x v="1"/>
    <s v="Wholesale"/>
    <n v="0.1"/>
    <x v="0"/>
    <x v="3"/>
    <n v="0"/>
    <x v="1105"/>
    <s v="Cust 4026"/>
    <n v="6.85"/>
    <x v="647"/>
    <d v="2024-08-30T00:00:00"/>
    <s v="Cameron"/>
    <n v="1426"/>
  </r>
  <r>
    <d v="2023-05-24T00:00:00"/>
    <x v="4"/>
    <x v="4"/>
    <n v="4"/>
    <n v="324"/>
    <x v="2"/>
    <s v="Retail"/>
    <n v="0.1"/>
    <x v="3"/>
    <x v="2"/>
    <n v="0"/>
    <x v="1106"/>
    <s v="Cust 5794"/>
    <n v="32.92"/>
    <x v="56"/>
    <d v="2023-06-01T00:00:00"/>
    <s v="Wendy"/>
    <n v="1166"/>
  </r>
  <r>
    <d v="2023-04-27T00:00:00"/>
    <x v="4"/>
    <x v="4"/>
    <n v="16"/>
    <n v="37"/>
    <x v="1"/>
    <s v="Wholesale"/>
    <n v="0.05"/>
    <x v="5"/>
    <x v="2"/>
    <n v="0"/>
    <x v="1107"/>
    <s v="Cust 2917"/>
    <n v="49.55"/>
    <x v="178"/>
    <d v="2023-05-01T00:00:00"/>
    <s v="Wendy"/>
    <n v="562"/>
  </r>
  <r>
    <d v="2023-05-21T00:00:00"/>
    <x v="0"/>
    <x v="5"/>
    <n v="1"/>
    <n v="419"/>
    <x v="0"/>
    <s v="Retail"/>
    <n v="0.1"/>
    <x v="3"/>
    <x v="1"/>
    <n v="0"/>
    <x v="1108"/>
    <s v="Cust 5659"/>
    <n v="43.72"/>
    <x v="642"/>
    <d v="2023-05-26T00:00:00"/>
    <s v="Eric"/>
    <n v="377"/>
  </r>
  <r>
    <d v="2025-02-16T00:00:00"/>
    <x v="0"/>
    <x v="4"/>
    <n v="12"/>
    <n v="108"/>
    <x v="1"/>
    <s v="Wholesale"/>
    <n v="0"/>
    <x v="4"/>
    <x v="0"/>
    <n v="0"/>
    <x v="1109"/>
    <s v="Cust 1857"/>
    <n v="42.06"/>
    <x v="586"/>
    <d v="2025-02-25T00:00:00"/>
    <s v="Eric"/>
    <n v="1296"/>
  </r>
  <r>
    <d v="2023-08-24T00:00:00"/>
    <x v="0"/>
    <x v="5"/>
    <n v="5"/>
    <n v="256"/>
    <x v="0"/>
    <s v="Retail"/>
    <n v="0"/>
    <x v="1"/>
    <x v="1"/>
    <n v="0"/>
    <x v="1110"/>
    <s v="Cust 6718"/>
    <n v="28.74"/>
    <x v="648"/>
    <d v="2023-08-29T00:00:00"/>
    <s v="Eric"/>
    <n v="1280"/>
  </r>
  <r>
    <d v="2024-03-14T00:00:00"/>
    <x v="0"/>
    <x v="2"/>
    <n v="16"/>
    <n v="545"/>
    <x v="0"/>
    <s v="Retail"/>
    <n v="0.1"/>
    <x v="2"/>
    <x v="2"/>
    <n v="0"/>
    <x v="1111"/>
    <s v="Cust 8378"/>
    <n v="39.26"/>
    <x v="47"/>
    <d v="2024-03-21T00:00:00"/>
    <s v="Eric"/>
    <n v="7848"/>
  </r>
  <r>
    <d v="2024-01-29T00:00:00"/>
    <x v="2"/>
    <x v="2"/>
    <n v="19"/>
    <n v="113"/>
    <x v="1"/>
    <s v="Retail"/>
    <n v="0"/>
    <x v="0"/>
    <x v="3"/>
    <n v="0"/>
    <x v="1112"/>
    <s v="Cust 3069"/>
    <n v="44.96"/>
    <x v="282"/>
    <d v="2024-02-07T00:00:00"/>
    <s v="Ryan"/>
    <n v="2147"/>
  </r>
  <r>
    <d v="2024-08-09T00:00:00"/>
    <x v="1"/>
    <x v="1"/>
    <n v="10"/>
    <n v="523"/>
    <x v="2"/>
    <s v="Retail"/>
    <n v="0.1"/>
    <x v="5"/>
    <x v="2"/>
    <n v="0"/>
    <x v="1113"/>
    <s v="Cust 7619"/>
    <n v="20.059999999999999"/>
    <x v="649"/>
    <d v="2024-08-15T00:00:00"/>
    <s v="Sophie"/>
    <n v="4707"/>
  </r>
  <r>
    <d v="2024-07-08T00:00:00"/>
    <x v="2"/>
    <x v="5"/>
    <n v="18"/>
    <n v="448"/>
    <x v="0"/>
    <s v="Retail"/>
    <n v="0.15"/>
    <x v="2"/>
    <x v="4"/>
    <n v="1"/>
    <x v="1114"/>
    <s v="Cust 6167"/>
    <n v="13.23"/>
    <x v="172"/>
    <d v="2024-07-17T00:00:00"/>
    <s v="Ryan"/>
    <n v="6854"/>
  </r>
  <r>
    <d v="2024-08-20T00:00:00"/>
    <x v="2"/>
    <x v="4"/>
    <n v="15"/>
    <n v="209"/>
    <x v="1"/>
    <s v="Retail"/>
    <n v="0.05"/>
    <x v="3"/>
    <x v="1"/>
    <n v="0"/>
    <x v="1115"/>
    <s v="Cust 2453"/>
    <n v="37.81"/>
    <x v="650"/>
    <d v="2024-08-29T00:00:00"/>
    <s v="Ryan"/>
    <n v="2978"/>
  </r>
  <r>
    <d v="2023-06-26T00:00:00"/>
    <x v="3"/>
    <x v="0"/>
    <n v="13"/>
    <n v="424"/>
    <x v="2"/>
    <s v="Retail"/>
    <n v="0.1"/>
    <x v="1"/>
    <x v="3"/>
    <n v="1"/>
    <x v="1116"/>
    <s v="Cust 8896"/>
    <n v="23.31"/>
    <x v="651"/>
    <d v="2023-06-28T00:00:00"/>
    <s v="Cameron"/>
    <n v="4961"/>
  </r>
  <r>
    <d v="2023-12-23T00:00:00"/>
    <x v="0"/>
    <x v="3"/>
    <n v="5"/>
    <n v="552"/>
    <x v="3"/>
    <s v="Wholesale"/>
    <n v="0.15"/>
    <x v="1"/>
    <x v="3"/>
    <n v="0"/>
    <x v="1117"/>
    <s v="Cust 8800"/>
    <n v="26.5"/>
    <x v="467"/>
    <d v="2023-12-25T00:00:00"/>
    <s v="Eric"/>
    <n v="2346"/>
  </r>
  <r>
    <d v="2023-08-20T00:00:00"/>
    <x v="3"/>
    <x v="2"/>
    <n v="1"/>
    <n v="182"/>
    <x v="1"/>
    <s v="Retail"/>
    <n v="0.1"/>
    <x v="3"/>
    <x v="2"/>
    <n v="0"/>
    <x v="1118"/>
    <s v="Cust 1819"/>
    <n v="7.31"/>
    <x v="652"/>
    <d v="2023-08-27T00:00:00"/>
    <s v="Cameron"/>
    <n v="164"/>
  </r>
  <r>
    <d v="2024-10-28T00:00:00"/>
    <x v="4"/>
    <x v="2"/>
    <n v="7"/>
    <n v="466"/>
    <x v="3"/>
    <s v="Wholesale"/>
    <n v="0.05"/>
    <x v="5"/>
    <x v="0"/>
    <n v="1"/>
    <x v="1119"/>
    <s v="Cust 1300"/>
    <n v="11.45"/>
    <x v="653"/>
    <d v="2024-11-06T00:00:00"/>
    <s v="Wendy"/>
    <n v="3099"/>
  </r>
  <r>
    <d v="2024-11-11T00:00:00"/>
    <x v="0"/>
    <x v="6"/>
    <n v="15"/>
    <n v="141"/>
    <x v="1"/>
    <s v="Wholesale"/>
    <n v="0.1"/>
    <x v="0"/>
    <x v="2"/>
    <n v="0"/>
    <x v="1120"/>
    <s v="Cust 3807"/>
    <n v="49.91"/>
    <x v="207"/>
    <d v="2024-11-21T00:00:00"/>
    <s v="Eric"/>
    <n v="1904"/>
  </r>
  <r>
    <d v="2023-12-07T00:00:00"/>
    <x v="4"/>
    <x v="2"/>
    <n v="17"/>
    <n v="460"/>
    <x v="1"/>
    <s v="Retail"/>
    <n v="0.15"/>
    <x v="4"/>
    <x v="0"/>
    <n v="0"/>
    <x v="1121"/>
    <s v="Cust 6633"/>
    <n v="40.18"/>
    <x v="654"/>
    <d v="2023-12-15T00:00:00"/>
    <s v="Wendy"/>
    <n v="6647"/>
  </r>
  <r>
    <d v="2024-03-23T00:00:00"/>
    <x v="4"/>
    <x v="0"/>
    <n v="5"/>
    <n v="133"/>
    <x v="0"/>
    <s v="Retail"/>
    <n v="0"/>
    <x v="5"/>
    <x v="3"/>
    <n v="0"/>
    <x v="1122"/>
    <s v="Cust 6573"/>
    <n v="37.909999999999997"/>
    <x v="105"/>
    <d v="2024-04-02T00:00:00"/>
    <s v="Wendy"/>
    <n v="665"/>
  </r>
  <r>
    <d v="2024-10-29T00:00:00"/>
    <x v="4"/>
    <x v="5"/>
    <n v="12"/>
    <n v="210"/>
    <x v="3"/>
    <s v="Retail"/>
    <n v="0.05"/>
    <x v="5"/>
    <x v="0"/>
    <n v="0"/>
    <x v="1123"/>
    <s v="Cust 8600"/>
    <n v="8.7799999999999994"/>
    <x v="525"/>
    <d v="2024-11-02T00:00:00"/>
    <s v="Wendy"/>
    <n v="2394"/>
  </r>
  <r>
    <d v="2025-06-17T00:00:00"/>
    <x v="0"/>
    <x v="0"/>
    <n v="9"/>
    <n v="31"/>
    <x v="0"/>
    <s v="Retail"/>
    <n v="0.1"/>
    <x v="4"/>
    <x v="4"/>
    <n v="0"/>
    <x v="1124"/>
    <s v="Cust 8654"/>
    <n v="39.32"/>
    <x v="655"/>
    <d v="2025-06-22T00:00:00"/>
    <s v="Eric"/>
    <n v="251"/>
  </r>
  <r>
    <d v="2023-03-18T00:00:00"/>
    <x v="2"/>
    <x v="3"/>
    <n v="11"/>
    <n v="335"/>
    <x v="2"/>
    <s v="Retail"/>
    <n v="0"/>
    <x v="2"/>
    <x v="1"/>
    <n v="0"/>
    <x v="1125"/>
    <s v="Cust 3708"/>
    <n v="29.95"/>
    <x v="132"/>
    <d v="2023-03-26T00:00:00"/>
    <s v="Ryan"/>
    <n v="3685"/>
  </r>
  <r>
    <d v="2023-01-19T00:00:00"/>
    <x v="0"/>
    <x v="1"/>
    <n v="8"/>
    <n v="277"/>
    <x v="3"/>
    <s v="Wholesale"/>
    <n v="0"/>
    <x v="3"/>
    <x v="0"/>
    <n v="0"/>
    <x v="1126"/>
    <s v="Cust 1268"/>
    <n v="36.380000000000003"/>
    <x v="656"/>
    <d v="2023-01-23T00:00:00"/>
    <s v="Eric"/>
    <n v="2216"/>
  </r>
  <r>
    <d v="2023-07-09T00:00:00"/>
    <x v="4"/>
    <x v="2"/>
    <n v="6"/>
    <n v="288"/>
    <x v="1"/>
    <s v="Retail"/>
    <n v="0.05"/>
    <x v="5"/>
    <x v="3"/>
    <n v="0"/>
    <x v="1127"/>
    <s v="Cust 5600"/>
    <n v="17.14"/>
    <x v="657"/>
    <d v="2023-07-14T00:00:00"/>
    <s v="Wendy"/>
    <n v="1642"/>
  </r>
  <r>
    <d v="2025-03-16T00:00:00"/>
    <x v="0"/>
    <x v="0"/>
    <n v="14"/>
    <n v="460"/>
    <x v="0"/>
    <s v="Retail"/>
    <n v="0.05"/>
    <x v="2"/>
    <x v="0"/>
    <n v="1"/>
    <x v="1128"/>
    <s v="Cust 2438"/>
    <n v="43.41"/>
    <x v="527"/>
    <d v="2025-03-26T00:00:00"/>
    <s v="Eric"/>
    <n v="6118"/>
  </r>
  <r>
    <d v="2025-02-08T00:00:00"/>
    <x v="2"/>
    <x v="5"/>
    <n v="10"/>
    <n v="397"/>
    <x v="0"/>
    <s v="Retail"/>
    <n v="0.1"/>
    <x v="0"/>
    <x v="0"/>
    <n v="0"/>
    <x v="1129"/>
    <s v="Cust 4293"/>
    <n v="18.13"/>
    <x v="658"/>
    <d v="2025-02-13T00:00:00"/>
    <s v="Ryan"/>
    <n v="3573"/>
  </r>
  <r>
    <d v="2024-04-20T00:00:00"/>
    <x v="1"/>
    <x v="6"/>
    <n v="20"/>
    <n v="516"/>
    <x v="0"/>
    <s v="Retail"/>
    <n v="0"/>
    <x v="5"/>
    <x v="0"/>
    <n v="0"/>
    <x v="1130"/>
    <s v="Cust 6895"/>
    <n v="36.229999999999997"/>
    <x v="528"/>
    <d v="2024-04-22T00:00:00"/>
    <s v="Sophie"/>
    <n v="10320"/>
  </r>
  <r>
    <d v="2025-06-05T00:00:00"/>
    <x v="0"/>
    <x v="0"/>
    <n v="1"/>
    <n v="300"/>
    <x v="1"/>
    <s v="Retail"/>
    <n v="0.1"/>
    <x v="4"/>
    <x v="4"/>
    <n v="0"/>
    <x v="1131"/>
    <s v="Cust 2616"/>
    <n v="38.94"/>
    <x v="20"/>
    <d v="2025-06-07T00:00:00"/>
    <s v="Eric"/>
    <n v="270"/>
  </r>
  <r>
    <d v="2025-04-25T00:00:00"/>
    <x v="1"/>
    <x v="3"/>
    <n v="12"/>
    <n v="32"/>
    <x v="0"/>
    <s v="Retail"/>
    <n v="0"/>
    <x v="1"/>
    <x v="3"/>
    <n v="0"/>
    <x v="1132"/>
    <s v="Cust 5362"/>
    <n v="30.78"/>
    <x v="659"/>
    <d v="2025-05-03T00:00:00"/>
    <s v="Sophie"/>
    <n v="384"/>
  </r>
  <r>
    <d v="2023-09-06T00:00:00"/>
    <x v="3"/>
    <x v="1"/>
    <n v="17"/>
    <n v="589"/>
    <x v="3"/>
    <s v="Wholesale"/>
    <n v="0.05"/>
    <x v="4"/>
    <x v="3"/>
    <n v="1"/>
    <x v="1133"/>
    <s v="Cust 1670"/>
    <n v="25.31"/>
    <x v="476"/>
    <d v="2023-09-13T00:00:00"/>
    <s v="Cameron"/>
    <n v="9512"/>
  </r>
  <r>
    <d v="2023-09-29T00:00:00"/>
    <x v="0"/>
    <x v="0"/>
    <n v="11"/>
    <n v="203"/>
    <x v="2"/>
    <s v="Retail"/>
    <n v="0.1"/>
    <x v="0"/>
    <x v="0"/>
    <n v="0"/>
    <x v="1134"/>
    <s v="Cust 2254"/>
    <n v="30.97"/>
    <x v="100"/>
    <d v="2023-10-02T00:00:00"/>
    <s v="Eric"/>
    <n v="2010"/>
  </r>
  <r>
    <d v="2024-05-21T00:00:00"/>
    <x v="3"/>
    <x v="4"/>
    <n v="18"/>
    <n v="139"/>
    <x v="1"/>
    <s v="Wholesale"/>
    <n v="0"/>
    <x v="3"/>
    <x v="0"/>
    <n v="1"/>
    <x v="1135"/>
    <s v="Cust 9521"/>
    <n v="10.56"/>
    <x v="660"/>
    <d v="2024-05-23T00:00:00"/>
    <s v="Cameron"/>
    <n v="2502"/>
  </r>
  <r>
    <d v="2025-04-13T00:00:00"/>
    <x v="4"/>
    <x v="4"/>
    <n v="2"/>
    <n v="159"/>
    <x v="1"/>
    <s v="Wholesale"/>
    <n v="0"/>
    <x v="5"/>
    <x v="0"/>
    <n v="0"/>
    <x v="1136"/>
    <s v="Cust 3921"/>
    <n v="48.32"/>
    <x v="91"/>
    <d v="2025-04-19T00:00:00"/>
    <s v="Wendy"/>
    <n v="318"/>
  </r>
  <r>
    <d v="2024-11-16T00:00:00"/>
    <x v="0"/>
    <x v="3"/>
    <n v="3"/>
    <n v="388"/>
    <x v="1"/>
    <s v="Wholesale"/>
    <n v="0"/>
    <x v="4"/>
    <x v="2"/>
    <n v="0"/>
    <x v="1137"/>
    <s v="Cust 7628"/>
    <n v="30.08"/>
    <x v="85"/>
    <d v="2024-11-20T00:00:00"/>
    <s v="Eric"/>
    <n v="1164"/>
  </r>
  <r>
    <d v="2024-07-20T00:00:00"/>
    <x v="2"/>
    <x v="2"/>
    <n v="5"/>
    <n v="202"/>
    <x v="1"/>
    <s v="Retail"/>
    <n v="0.1"/>
    <x v="4"/>
    <x v="0"/>
    <n v="1"/>
    <x v="1138"/>
    <s v="Cust 2453"/>
    <n v="45.61"/>
    <x v="555"/>
    <d v="2024-07-28T00:00:00"/>
    <s v="Ryan"/>
    <n v="909"/>
  </r>
  <r>
    <d v="2023-05-20T00:00:00"/>
    <x v="2"/>
    <x v="2"/>
    <n v="4"/>
    <n v="335"/>
    <x v="2"/>
    <s v="Retail"/>
    <n v="0.15"/>
    <x v="3"/>
    <x v="1"/>
    <n v="0"/>
    <x v="1139"/>
    <s v="Cust 4210"/>
    <n v="11.49"/>
    <x v="42"/>
    <d v="2023-05-27T00:00:00"/>
    <s v="Ryan"/>
    <n v="1139"/>
  </r>
  <r>
    <d v="2023-10-22T00:00:00"/>
    <x v="4"/>
    <x v="1"/>
    <n v="16"/>
    <n v="487"/>
    <x v="0"/>
    <s v="Wholesale"/>
    <n v="0.15"/>
    <x v="3"/>
    <x v="0"/>
    <n v="1"/>
    <x v="1140"/>
    <s v="Cust 1951"/>
    <n v="12.53"/>
    <x v="661"/>
    <d v="2023-10-26T00:00:00"/>
    <s v="Wendy"/>
    <n v="6623"/>
  </r>
  <r>
    <d v="2025-05-18T00:00:00"/>
    <x v="2"/>
    <x v="4"/>
    <n v="2"/>
    <n v="188"/>
    <x v="3"/>
    <s v="Wholesale"/>
    <n v="0.15"/>
    <x v="5"/>
    <x v="2"/>
    <n v="0"/>
    <x v="1141"/>
    <s v="Cust 9405"/>
    <n v="32.22"/>
    <x v="662"/>
    <d v="2025-05-21T00:00:00"/>
    <s v="Ryan"/>
    <n v="320"/>
  </r>
  <r>
    <d v="2024-03-03T00:00:00"/>
    <x v="1"/>
    <x v="0"/>
    <n v="3"/>
    <n v="261"/>
    <x v="0"/>
    <s v="Wholesale"/>
    <n v="0.15"/>
    <x v="2"/>
    <x v="0"/>
    <n v="0"/>
    <x v="1142"/>
    <s v="Cust 8769"/>
    <n v="19.41"/>
    <x v="69"/>
    <d v="2024-03-06T00:00:00"/>
    <s v="Sophie"/>
    <n v="666"/>
  </r>
  <r>
    <d v="2023-07-23T00:00:00"/>
    <x v="0"/>
    <x v="2"/>
    <n v="6"/>
    <n v="358"/>
    <x v="0"/>
    <s v="Retail"/>
    <n v="0.1"/>
    <x v="2"/>
    <x v="1"/>
    <n v="0"/>
    <x v="1143"/>
    <s v="Cust 9982"/>
    <n v="7.34"/>
    <x v="41"/>
    <d v="2023-08-02T00:00:00"/>
    <s v="Eric"/>
    <n v="1933"/>
  </r>
  <r>
    <d v="2025-02-09T00:00:00"/>
    <x v="2"/>
    <x v="2"/>
    <n v="13"/>
    <n v="493"/>
    <x v="0"/>
    <s v="Retail"/>
    <n v="0.1"/>
    <x v="2"/>
    <x v="1"/>
    <n v="0"/>
    <x v="1144"/>
    <s v="Cust 4068"/>
    <n v="46.21"/>
    <x v="663"/>
    <d v="2025-02-14T00:00:00"/>
    <s v="Ryan"/>
    <n v="5768"/>
  </r>
  <r>
    <d v="2023-01-17T00:00:00"/>
    <x v="1"/>
    <x v="3"/>
    <n v="3"/>
    <n v="348"/>
    <x v="0"/>
    <s v="Wholesale"/>
    <n v="0"/>
    <x v="3"/>
    <x v="1"/>
    <n v="0"/>
    <x v="1145"/>
    <s v="Cust 3523"/>
    <n v="26.25"/>
    <x v="585"/>
    <d v="2023-01-23T00:00:00"/>
    <s v="Sophie"/>
    <n v="1044"/>
  </r>
  <r>
    <d v="2023-09-17T00:00:00"/>
    <x v="2"/>
    <x v="1"/>
    <n v="6"/>
    <n v="438"/>
    <x v="3"/>
    <s v="Wholesale"/>
    <n v="0.05"/>
    <x v="4"/>
    <x v="1"/>
    <n v="1"/>
    <x v="1146"/>
    <s v="Cust 3377"/>
    <n v="39.4"/>
    <x v="121"/>
    <d v="2023-09-26T00:00:00"/>
    <s v="Ryan"/>
    <n v="2497"/>
  </r>
  <r>
    <d v="2025-02-15T00:00:00"/>
    <x v="2"/>
    <x v="6"/>
    <n v="19"/>
    <n v="118"/>
    <x v="3"/>
    <s v="Wholesale"/>
    <n v="0.1"/>
    <x v="1"/>
    <x v="0"/>
    <n v="0"/>
    <x v="1147"/>
    <s v="Cust 3125"/>
    <n v="10.77"/>
    <x v="664"/>
    <d v="2025-02-23T00:00:00"/>
    <s v="Ryan"/>
    <n v="2018"/>
  </r>
  <r>
    <d v="2023-10-07T00:00:00"/>
    <x v="4"/>
    <x v="5"/>
    <n v="15"/>
    <n v="189"/>
    <x v="2"/>
    <s v="Wholesale"/>
    <n v="0.05"/>
    <x v="5"/>
    <x v="2"/>
    <n v="1"/>
    <x v="1148"/>
    <s v="Cust 4623"/>
    <n v="38.61"/>
    <x v="444"/>
    <d v="2023-10-09T00:00:00"/>
    <s v="Wendy"/>
    <n v="2693"/>
  </r>
  <r>
    <d v="2023-08-08T00:00:00"/>
    <x v="4"/>
    <x v="1"/>
    <n v="8"/>
    <n v="201"/>
    <x v="1"/>
    <s v="Wholesale"/>
    <n v="0"/>
    <x v="4"/>
    <x v="1"/>
    <n v="1"/>
    <x v="1149"/>
    <s v="Cust 4571"/>
    <n v="30.7"/>
    <x v="665"/>
    <d v="2023-08-10T00:00:00"/>
    <s v="Wendy"/>
    <n v="1608"/>
  </r>
  <r>
    <d v="2023-08-21T00:00:00"/>
    <x v="0"/>
    <x v="0"/>
    <n v="3"/>
    <n v="142"/>
    <x v="2"/>
    <s v="Wholesale"/>
    <n v="0.15"/>
    <x v="2"/>
    <x v="1"/>
    <n v="0"/>
    <x v="1150"/>
    <s v="Cust 6453"/>
    <n v="26.04"/>
    <x v="666"/>
    <d v="2023-08-27T00:00:00"/>
    <s v="Eric"/>
    <n v="362"/>
  </r>
  <r>
    <d v="2024-07-07T00:00:00"/>
    <x v="2"/>
    <x v="5"/>
    <n v="15"/>
    <n v="576"/>
    <x v="3"/>
    <s v="Retail"/>
    <n v="0.1"/>
    <x v="1"/>
    <x v="0"/>
    <n v="0"/>
    <x v="1151"/>
    <s v="Cust 6982"/>
    <n v="29.31"/>
    <x v="99"/>
    <d v="2024-07-11T00:00:00"/>
    <s v="Ryan"/>
    <n v="7776"/>
  </r>
  <r>
    <d v="2025-01-17T00:00:00"/>
    <x v="1"/>
    <x v="2"/>
    <n v="9"/>
    <n v="97"/>
    <x v="3"/>
    <s v="Retail"/>
    <n v="0.15"/>
    <x v="5"/>
    <x v="2"/>
    <n v="1"/>
    <x v="1152"/>
    <s v="Cust 6824"/>
    <n v="30.87"/>
    <x v="50"/>
    <d v="2025-01-24T00:00:00"/>
    <s v="Sophie"/>
    <n v="742"/>
  </r>
  <r>
    <d v="2023-12-06T00:00:00"/>
    <x v="2"/>
    <x v="5"/>
    <n v="17"/>
    <n v="218"/>
    <x v="3"/>
    <s v="Wholesale"/>
    <n v="0.15"/>
    <x v="5"/>
    <x v="4"/>
    <n v="0"/>
    <x v="1153"/>
    <s v="Cust 3172"/>
    <n v="16"/>
    <x v="667"/>
    <d v="2023-12-16T00:00:00"/>
    <s v="Ryan"/>
    <n v="3150"/>
  </r>
  <r>
    <d v="2023-03-01T00:00:00"/>
    <x v="1"/>
    <x v="2"/>
    <n v="2"/>
    <n v="153"/>
    <x v="2"/>
    <s v="Wholesale"/>
    <n v="0.05"/>
    <x v="3"/>
    <x v="4"/>
    <n v="0"/>
    <x v="1154"/>
    <s v="Cust 8146"/>
    <n v="31.55"/>
    <x v="565"/>
    <d v="2023-03-04T00:00:00"/>
    <s v="Sophie"/>
    <n v="291"/>
  </r>
  <r>
    <d v="2025-02-11T00:00:00"/>
    <x v="2"/>
    <x v="6"/>
    <n v="8"/>
    <n v="316"/>
    <x v="0"/>
    <s v="Wholesale"/>
    <n v="0.1"/>
    <x v="4"/>
    <x v="1"/>
    <n v="0"/>
    <x v="1155"/>
    <s v="Cust 3299"/>
    <n v="6.28"/>
    <x v="668"/>
    <d v="2025-02-15T00:00:00"/>
    <s v="Ryan"/>
    <n v="2275"/>
  </r>
  <r>
    <d v="2023-06-20T00:00:00"/>
    <x v="3"/>
    <x v="6"/>
    <n v="13"/>
    <n v="154"/>
    <x v="0"/>
    <s v="Wholesale"/>
    <n v="0.05"/>
    <x v="3"/>
    <x v="1"/>
    <n v="0"/>
    <x v="1156"/>
    <s v="Cust 6476"/>
    <n v="27.98"/>
    <x v="300"/>
    <d v="2023-06-25T00:00:00"/>
    <s v="Cameron"/>
    <n v="1902"/>
  </r>
  <r>
    <d v="2024-02-29T00:00:00"/>
    <x v="4"/>
    <x v="6"/>
    <n v="7"/>
    <n v="208"/>
    <x v="2"/>
    <s v="Wholesale"/>
    <n v="0.05"/>
    <x v="2"/>
    <x v="0"/>
    <n v="0"/>
    <x v="1157"/>
    <s v="Cust 9835"/>
    <n v="26.57"/>
    <x v="459"/>
    <d v="2024-03-03T00:00:00"/>
    <s v="Wendy"/>
    <n v="1383"/>
  </r>
  <r>
    <d v="2025-06-30T00:00:00"/>
    <x v="2"/>
    <x v="3"/>
    <n v="2"/>
    <n v="161"/>
    <x v="2"/>
    <s v="Wholesale"/>
    <n v="0.1"/>
    <x v="0"/>
    <x v="1"/>
    <n v="0"/>
    <x v="1158"/>
    <s v="Cust 1003"/>
    <n v="44.97"/>
    <x v="148"/>
    <d v="2025-07-05T00:00:00"/>
    <s v="Ryan"/>
    <n v="290"/>
  </r>
  <r>
    <d v="2024-08-19T00:00:00"/>
    <x v="2"/>
    <x v="4"/>
    <n v="3"/>
    <n v="374"/>
    <x v="0"/>
    <s v="Retail"/>
    <n v="0.1"/>
    <x v="0"/>
    <x v="4"/>
    <n v="1"/>
    <x v="1159"/>
    <s v="Cust 9705"/>
    <n v="17.62"/>
    <x v="363"/>
    <d v="2024-08-25T00:00:00"/>
    <s v="Ryan"/>
    <n v="1010"/>
  </r>
  <r>
    <d v="2024-01-15T00:00:00"/>
    <x v="3"/>
    <x v="6"/>
    <n v="20"/>
    <n v="201"/>
    <x v="3"/>
    <s v="Retail"/>
    <n v="0.1"/>
    <x v="1"/>
    <x v="0"/>
    <n v="0"/>
    <x v="1160"/>
    <s v="Cust 3421"/>
    <n v="29.6"/>
    <x v="481"/>
    <d v="2024-01-19T00:00:00"/>
    <s v="Cameron"/>
    <n v="3618"/>
  </r>
  <r>
    <d v="2024-08-08T00:00:00"/>
    <x v="3"/>
    <x v="2"/>
    <n v="14"/>
    <n v="116"/>
    <x v="0"/>
    <s v="Wholesale"/>
    <n v="0.15"/>
    <x v="2"/>
    <x v="2"/>
    <n v="1"/>
    <x v="1161"/>
    <s v="Cust 1690"/>
    <n v="20.12"/>
    <x v="669"/>
    <d v="2024-08-11T00:00:00"/>
    <s v="Cameron"/>
    <n v="1380"/>
  </r>
  <r>
    <d v="2024-10-05T00:00:00"/>
    <x v="4"/>
    <x v="1"/>
    <n v="12"/>
    <n v="535"/>
    <x v="2"/>
    <s v="Retail"/>
    <n v="0.1"/>
    <x v="2"/>
    <x v="1"/>
    <n v="0"/>
    <x v="1162"/>
    <s v="Cust 2507"/>
    <n v="27.82"/>
    <x v="198"/>
    <d v="2024-10-07T00:00:00"/>
    <s v="Wendy"/>
    <n v="5778"/>
  </r>
  <r>
    <d v="2024-01-13T00:00:00"/>
    <x v="1"/>
    <x v="2"/>
    <n v="12"/>
    <n v="104"/>
    <x v="1"/>
    <s v="Retail"/>
    <n v="0.1"/>
    <x v="2"/>
    <x v="3"/>
    <n v="0"/>
    <x v="1163"/>
    <s v="Cust 9880"/>
    <n v="48.11"/>
    <x v="576"/>
    <d v="2024-01-21T00:00:00"/>
    <s v="Sophie"/>
    <n v="1123"/>
  </r>
  <r>
    <d v="2023-03-29T00:00:00"/>
    <x v="4"/>
    <x v="0"/>
    <n v="18"/>
    <n v="176"/>
    <x v="0"/>
    <s v="Wholesale"/>
    <n v="0.05"/>
    <x v="4"/>
    <x v="3"/>
    <n v="0"/>
    <x v="1164"/>
    <s v="Cust 3972"/>
    <n v="36.35"/>
    <x v="88"/>
    <d v="2023-04-04T00:00:00"/>
    <s v="Wendy"/>
    <n v="3010"/>
  </r>
  <r>
    <d v="2023-10-19T00:00:00"/>
    <x v="2"/>
    <x v="6"/>
    <n v="5"/>
    <n v="112"/>
    <x v="3"/>
    <s v="Retail"/>
    <n v="0.1"/>
    <x v="5"/>
    <x v="2"/>
    <n v="1"/>
    <x v="1165"/>
    <s v="Cust 8280"/>
    <n v="7.46"/>
    <x v="544"/>
    <d v="2023-10-23T00:00:00"/>
    <s v="Ryan"/>
    <n v="504"/>
  </r>
  <r>
    <d v="2023-10-23T00:00:00"/>
    <x v="4"/>
    <x v="3"/>
    <n v="20"/>
    <n v="19"/>
    <x v="2"/>
    <s v="Wholesale"/>
    <n v="0"/>
    <x v="5"/>
    <x v="3"/>
    <n v="0"/>
    <x v="1166"/>
    <s v="Cust 4205"/>
    <n v="47.23"/>
    <x v="25"/>
    <d v="2023-11-01T00:00:00"/>
    <s v="Wendy"/>
    <n v="380"/>
  </r>
  <r>
    <d v="2023-03-24T00:00:00"/>
    <x v="1"/>
    <x v="1"/>
    <n v="9"/>
    <n v="233"/>
    <x v="0"/>
    <s v="Retail"/>
    <n v="0.05"/>
    <x v="0"/>
    <x v="3"/>
    <n v="0"/>
    <x v="1167"/>
    <s v="Cust 2579"/>
    <n v="31.43"/>
    <x v="601"/>
    <d v="2023-03-28T00:00:00"/>
    <s v="Sophie"/>
    <n v="1992"/>
  </r>
  <r>
    <d v="2024-08-09T00:00:00"/>
    <x v="4"/>
    <x v="6"/>
    <n v="17"/>
    <n v="66"/>
    <x v="2"/>
    <s v="Wholesale"/>
    <n v="0.15"/>
    <x v="0"/>
    <x v="1"/>
    <n v="1"/>
    <x v="1168"/>
    <s v="Cust 7265"/>
    <n v="10.79"/>
    <x v="649"/>
    <d v="2024-08-14T00:00:00"/>
    <s v="Wendy"/>
    <n v="954"/>
  </r>
  <r>
    <d v="2023-04-26T00:00:00"/>
    <x v="1"/>
    <x v="0"/>
    <n v="17"/>
    <n v="505"/>
    <x v="1"/>
    <s v="Wholesale"/>
    <n v="0.1"/>
    <x v="3"/>
    <x v="0"/>
    <n v="1"/>
    <x v="1169"/>
    <s v="Cust 1199"/>
    <n v="48.33"/>
    <x v="394"/>
    <d v="2023-05-06T00:00:00"/>
    <s v="Sophie"/>
    <n v="7726"/>
  </r>
  <r>
    <d v="2024-03-04T00:00:00"/>
    <x v="4"/>
    <x v="5"/>
    <n v="11"/>
    <n v="98"/>
    <x v="0"/>
    <s v="Retail"/>
    <n v="0.05"/>
    <x v="1"/>
    <x v="3"/>
    <n v="1"/>
    <x v="1170"/>
    <s v="Cust 2928"/>
    <n v="45.97"/>
    <x v="615"/>
    <d v="2024-03-12T00:00:00"/>
    <s v="Wendy"/>
    <n v="1024"/>
  </r>
  <r>
    <d v="2023-02-14T00:00:00"/>
    <x v="0"/>
    <x v="5"/>
    <n v="7"/>
    <n v="468"/>
    <x v="1"/>
    <s v="Retail"/>
    <n v="0.15"/>
    <x v="5"/>
    <x v="4"/>
    <n v="0"/>
    <x v="1171"/>
    <s v="Cust 9447"/>
    <n v="47.56"/>
    <x v="169"/>
    <d v="2023-02-17T00:00:00"/>
    <s v="Eric"/>
    <n v="2785"/>
  </r>
  <r>
    <d v="2023-04-28T00:00:00"/>
    <x v="4"/>
    <x v="5"/>
    <n v="20"/>
    <n v="477"/>
    <x v="0"/>
    <s v="Wholesale"/>
    <n v="0.05"/>
    <x v="5"/>
    <x v="0"/>
    <n v="0"/>
    <x v="1172"/>
    <s v="Cust 9095"/>
    <n v="10.199999999999999"/>
    <x v="266"/>
    <d v="2023-05-03T00:00:00"/>
    <s v="Wendy"/>
    <n v="9063"/>
  </r>
  <r>
    <d v="2024-03-03T00:00:00"/>
    <x v="2"/>
    <x v="1"/>
    <n v="2"/>
    <n v="161"/>
    <x v="1"/>
    <s v="Wholesale"/>
    <n v="0.15"/>
    <x v="2"/>
    <x v="4"/>
    <n v="0"/>
    <x v="1173"/>
    <s v="Cust 7587"/>
    <n v="20.18"/>
    <x v="69"/>
    <d v="2024-03-11T00:00:00"/>
    <s v="Ryan"/>
    <n v="274"/>
  </r>
  <r>
    <d v="2024-09-04T00:00:00"/>
    <x v="4"/>
    <x v="5"/>
    <n v="9"/>
    <n v="229"/>
    <x v="3"/>
    <s v="Retail"/>
    <n v="0.15"/>
    <x v="2"/>
    <x v="0"/>
    <n v="0"/>
    <x v="1174"/>
    <s v="Cust 2611"/>
    <n v="45.79"/>
    <x v="670"/>
    <d v="2024-09-08T00:00:00"/>
    <s v="Wendy"/>
    <n v="1752"/>
  </r>
  <r>
    <d v="2024-12-30T00:00:00"/>
    <x v="0"/>
    <x v="5"/>
    <n v="19"/>
    <n v="336"/>
    <x v="0"/>
    <s v="Wholesale"/>
    <n v="0"/>
    <x v="1"/>
    <x v="0"/>
    <n v="0"/>
    <x v="1175"/>
    <s v="Cust 8284"/>
    <n v="27.43"/>
    <x v="671"/>
    <d v="2025-01-07T00:00:00"/>
    <s v="Eric"/>
    <n v="6384"/>
  </r>
  <r>
    <d v="2024-02-10T00:00:00"/>
    <x v="0"/>
    <x v="6"/>
    <n v="18"/>
    <n v="412"/>
    <x v="1"/>
    <s v="Wholesale"/>
    <n v="0"/>
    <x v="5"/>
    <x v="2"/>
    <n v="0"/>
    <x v="1176"/>
    <s v="Cust 8154"/>
    <n v="9.6199999999999992"/>
    <x v="672"/>
    <d v="2024-02-16T00:00:00"/>
    <s v="Eric"/>
    <n v="7416"/>
  </r>
  <r>
    <d v="2023-09-07T00:00:00"/>
    <x v="3"/>
    <x v="6"/>
    <n v="1"/>
    <n v="431"/>
    <x v="2"/>
    <s v="Wholesale"/>
    <n v="0.15"/>
    <x v="1"/>
    <x v="4"/>
    <n v="0"/>
    <x v="1177"/>
    <s v="Cust 5215"/>
    <n v="17.53"/>
    <x v="288"/>
    <d v="2023-09-15T00:00:00"/>
    <s v="Cameron"/>
    <n v="366"/>
  </r>
  <r>
    <d v="2023-08-11T00:00:00"/>
    <x v="0"/>
    <x v="0"/>
    <n v="18"/>
    <n v="495"/>
    <x v="1"/>
    <s v="Wholesale"/>
    <n v="0"/>
    <x v="3"/>
    <x v="1"/>
    <n v="0"/>
    <x v="1178"/>
    <s v="Cust 5309"/>
    <n v="14.88"/>
    <x v="673"/>
    <d v="2023-08-15T00:00:00"/>
    <s v="Eric"/>
    <n v="8910"/>
  </r>
  <r>
    <d v="2023-03-12T00:00:00"/>
    <x v="4"/>
    <x v="1"/>
    <n v="4"/>
    <n v="149"/>
    <x v="1"/>
    <s v="Wholesale"/>
    <n v="0.1"/>
    <x v="4"/>
    <x v="3"/>
    <n v="0"/>
    <x v="1179"/>
    <s v="Cust 2016"/>
    <n v="47.84"/>
    <x v="504"/>
    <d v="2023-03-16T00:00:00"/>
    <s v="Wendy"/>
    <n v="536"/>
  </r>
  <r>
    <d v="2023-03-29T00:00:00"/>
    <x v="3"/>
    <x v="2"/>
    <n v="18"/>
    <n v="180"/>
    <x v="2"/>
    <s v="Wholesale"/>
    <n v="0.1"/>
    <x v="0"/>
    <x v="4"/>
    <n v="0"/>
    <x v="1180"/>
    <s v="Cust 2676"/>
    <n v="22.15"/>
    <x v="88"/>
    <d v="2023-03-31T00:00:00"/>
    <s v="Cameron"/>
    <n v="2916"/>
  </r>
  <r>
    <d v="2025-02-17T00:00:00"/>
    <x v="1"/>
    <x v="3"/>
    <n v="11"/>
    <n v="381"/>
    <x v="0"/>
    <s v="Retail"/>
    <n v="0.05"/>
    <x v="2"/>
    <x v="1"/>
    <n v="0"/>
    <x v="1181"/>
    <s v="Cust 7529"/>
    <n v="32.83"/>
    <x v="130"/>
    <d v="2025-02-27T00:00:00"/>
    <s v="Sophie"/>
    <n v="3981"/>
  </r>
  <r>
    <d v="2024-01-07T00:00:00"/>
    <x v="2"/>
    <x v="3"/>
    <n v="5"/>
    <n v="455"/>
    <x v="2"/>
    <s v="Wholesale"/>
    <n v="0.05"/>
    <x v="4"/>
    <x v="1"/>
    <n v="0"/>
    <x v="1182"/>
    <s v="Cust 6172"/>
    <n v="10.19"/>
    <x v="674"/>
    <d v="2024-01-15T00:00:00"/>
    <s v="Ryan"/>
    <n v="2161"/>
  </r>
  <r>
    <d v="2023-01-14T00:00:00"/>
    <x v="0"/>
    <x v="1"/>
    <n v="17"/>
    <n v="227"/>
    <x v="1"/>
    <s v="Wholesale"/>
    <n v="0.1"/>
    <x v="4"/>
    <x v="1"/>
    <n v="1"/>
    <x v="1183"/>
    <s v="Cust 2527"/>
    <n v="36.89"/>
    <x v="675"/>
    <d v="2023-01-20T00:00:00"/>
    <s v="Eric"/>
    <n v="3473"/>
  </r>
  <r>
    <d v="2024-01-03T00:00:00"/>
    <x v="4"/>
    <x v="0"/>
    <n v="2"/>
    <n v="133"/>
    <x v="1"/>
    <s v="Wholesale"/>
    <n v="0"/>
    <x v="5"/>
    <x v="3"/>
    <n v="0"/>
    <x v="1184"/>
    <s v="Cust 1970"/>
    <n v="7.76"/>
    <x v="150"/>
    <d v="2024-01-12T00:00:00"/>
    <s v="Wendy"/>
    <n v="266"/>
  </r>
  <r>
    <d v="2023-08-25T00:00:00"/>
    <x v="1"/>
    <x v="2"/>
    <n v="2"/>
    <n v="36"/>
    <x v="2"/>
    <s v="Retail"/>
    <n v="0"/>
    <x v="0"/>
    <x v="3"/>
    <n v="0"/>
    <x v="1185"/>
    <s v="Cust 9543"/>
    <n v="39.89"/>
    <x v="294"/>
    <d v="2023-08-28T00:00:00"/>
    <s v="Sophie"/>
    <n v="72"/>
  </r>
  <r>
    <d v="2025-05-16T00:00:00"/>
    <x v="2"/>
    <x v="2"/>
    <n v="6"/>
    <n v="452"/>
    <x v="1"/>
    <s v="Wholesale"/>
    <n v="0.15"/>
    <x v="0"/>
    <x v="4"/>
    <n v="1"/>
    <x v="1186"/>
    <s v="Cust 2957"/>
    <n v="49.37"/>
    <x v="120"/>
    <d v="2025-05-25T00:00:00"/>
    <s v="Ryan"/>
    <n v="2305"/>
  </r>
  <r>
    <d v="2023-12-30T00:00:00"/>
    <x v="1"/>
    <x v="0"/>
    <n v="7"/>
    <n v="270"/>
    <x v="3"/>
    <s v="Wholesale"/>
    <n v="0.05"/>
    <x v="4"/>
    <x v="2"/>
    <n v="1"/>
    <x v="1187"/>
    <s v="Cust 2852"/>
    <n v="41.56"/>
    <x v="479"/>
    <d v="2024-01-03T00:00:00"/>
    <s v="Sophie"/>
    <n v="1796"/>
  </r>
  <r>
    <d v="2024-10-06T00:00:00"/>
    <x v="1"/>
    <x v="1"/>
    <n v="13"/>
    <n v="55"/>
    <x v="1"/>
    <s v="Retail"/>
    <n v="0.05"/>
    <x v="5"/>
    <x v="2"/>
    <n v="1"/>
    <x v="1188"/>
    <s v="Cust 6365"/>
    <n v="18.010000000000002"/>
    <x v="676"/>
    <d v="2024-10-09T00:00:00"/>
    <s v="Sophie"/>
    <n v="679"/>
  </r>
  <r>
    <d v="2023-03-12T00:00:00"/>
    <x v="3"/>
    <x v="5"/>
    <n v="17"/>
    <n v="515"/>
    <x v="3"/>
    <s v="Wholesale"/>
    <n v="0.15"/>
    <x v="5"/>
    <x v="2"/>
    <n v="1"/>
    <x v="1189"/>
    <s v="Cust 9159"/>
    <n v="32.74"/>
    <x v="504"/>
    <d v="2023-03-22T00:00:00"/>
    <s v="Cameron"/>
    <n v="7442"/>
  </r>
  <r>
    <d v="2024-04-06T00:00:00"/>
    <x v="2"/>
    <x v="1"/>
    <n v="1"/>
    <n v="257"/>
    <x v="3"/>
    <s v="Wholesale"/>
    <n v="0"/>
    <x v="3"/>
    <x v="1"/>
    <n v="0"/>
    <x v="1190"/>
    <s v="Cust 3252"/>
    <n v="12.97"/>
    <x v="419"/>
    <d v="2024-04-08T00:00:00"/>
    <s v="Ryan"/>
    <n v="257"/>
  </r>
  <r>
    <d v="2023-01-20T00:00:00"/>
    <x v="2"/>
    <x v="5"/>
    <n v="4"/>
    <n v="424"/>
    <x v="0"/>
    <s v="Retail"/>
    <n v="0.05"/>
    <x v="2"/>
    <x v="0"/>
    <n v="0"/>
    <x v="1191"/>
    <s v="Cust 8679"/>
    <n v="20.05"/>
    <x v="411"/>
    <d v="2023-01-25T00:00:00"/>
    <s v="Ryan"/>
    <n v="1611"/>
  </r>
  <r>
    <d v="2024-07-08T00:00:00"/>
    <x v="4"/>
    <x v="0"/>
    <n v="15"/>
    <n v="78"/>
    <x v="0"/>
    <s v="Wholesale"/>
    <n v="0.05"/>
    <x v="4"/>
    <x v="2"/>
    <n v="0"/>
    <x v="1192"/>
    <s v="Cust 5547"/>
    <n v="20.87"/>
    <x v="172"/>
    <d v="2024-07-12T00:00:00"/>
    <s v="Wendy"/>
    <n v="1112"/>
  </r>
  <r>
    <d v="2023-10-06T00:00:00"/>
    <x v="2"/>
    <x v="1"/>
    <n v="12"/>
    <n v="12"/>
    <x v="1"/>
    <s v="Retail"/>
    <n v="0.05"/>
    <x v="3"/>
    <x v="0"/>
    <n v="0"/>
    <x v="1193"/>
    <s v="Cust 9438"/>
    <n v="26.66"/>
    <x v="677"/>
    <d v="2023-10-16T00:00:00"/>
    <s v="Ryan"/>
    <n v="137"/>
  </r>
  <r>
    <d v="2023-09-11T00:00:00"/>
    <x v="0"/>
    <x v="2"/>
    <n v="7"/>
    <n v="67"/>
    <x v="3"/>
    <s v="Wholesale"/>
    <n v="0.1"/>
    <x v="3"/>
    <x v="4"/>
    <n v="0"/>
    <x v="1194"/>
    <s v="Cust 9092"/>
    <n v="36.67"/>
    <x v="471"/>
    <d v="2023-09-18T00:00:00"/>
    <s v="Eric"/>
    <n v="422"/>
  </r>
  <r>
    <d v="2023-09-14T00:00:00"/>
    <x v="2"/>
    <x v="1"/>
    <n v="19"/>
    <n v="118"/>
    <x v="2"/>
    <s v="Retail"/>
    <n v="0.15"/>
    <x v="2"/>
    <x v="4"/>
    <n v="0"/>
    <x v="1195"/>
    <s v="Cust 7007"/>
    <n v="12.95"/>
    <x v="242"/>
    <d v="2023-09-19T00:00:00"/>
    <s v="Ryan"/>
    <n v="1906"/>
  </r>
  <r>
    <d v="2023-11-06T00:00:00"/>
    <x v="2"/>
    <x v="6"/>
    <n v="16"/>
    <n v="114"/>
    <x v="0"/>
    <s v="Wholesale"/>
    <n v="0.15"/>
    <x v="3"/>
    <x v="0"/>
    <n v="0"/>
    <x v="1196"/>
    <s v="Cust 3001"/>
    <n v="43.85"/>
    <x v="265"/>
    <d v="2023-11-11T00:00:00"/>
    <s v="Ryan"/>
    <n v="1550"/>
  </r>
  <r>
    <d v="2024-06-23T00:00:00"/>
    <x v="2"/>
    <x v="4"/>
    <n v="9"/>
    <n v="36"/>
    <x v="2"/>
    <s v="Wholesale"/>
    <n v="0.15"/>
    <x v="5"/>
    <x v="2"/>
    <n v="0"/>
    <x v="1197"/>
    <s v="Cust 5771"/>
    <n v="6.71"/>
    <x v="678"/>
    <d v="2024-06-30T00:00:00"/>
    <s v="Ryan"/>
    <n v="275"/>
  </r>
  <r>
    <d v="2023-03-30T00:00:00"/>
    <x v="4"/>
    <x v="6"/>
    <n v="10"/>
    <n v="53"/>
    <x v="0"/>
    <s v="Wholesale"/>
    <n v="0.1"/>
    <x v="0"/>
    <x v="4"/>
    <n v="0"/>
    <x v="1198"/>
    <s v="Cust 4317"/>
    <n v="14.01"/>
    <x v="306"/>
    <d v="2023-04-09T00:00:00"/>
    <s v="Wendy"/>
    <n v="477"/>
  </r>
  <r>
    <d v="2024-10-05T00:00:00"/>
    <x v="0"/>
    <x v="1"/>
    <n v="6"/>
    <n v="272"/>
    <x v="1"/>
    <s v="Retail"/>
    <n v="0.1"/>
    <x v="3"/>
    <x v="3"/>
    <n v="0"/>
    <x v="1199"/>
    <s v="Cust 3627"/>
    <n v="43.67"/>
    <x v="198"/>
    <d v="2024-10-15T00:00:00"/>
    <s v="Eric"/>
    <n v="1469"/>
  </r>
  <r>
    <d v="2023-03-19T00:00:00"/>
    <x v="3"/>
    <x v="3"/>
    <n v="10"/>
    <n v="125"/>
    <x v="3"/>
    <s v="Retail"/>
    <n v="0.15"/>
    <x v="0"/>
    <x v="1"/>
    <n v="1"/>
    <x v="1200"/>
    <s v="Cust 4433"/>
    <n v="40.229999999999997"/>
    <x v="127"/>
    <d v="2023-03-29T00:00:00"/>
    <s v="Cameron"/>
    <n v="1062"/>
  </r>
  <r>
    <d v="2025-03-17T00:00:00"/>
    <x v="2"/>
    <x v="1"/>
    <n v="9"/>
    <n v="229"/>
    <x v="2"/>
    <s v="Retail"/>
    <n v="0.05"/>
    <x v="0"/>
    <x v="1"/>
    <n v="0"/>
    <x v="1201"/>
    <s v="Cust 6231"/>
    <n v="31.43"/>
    <x v="253"/>
    <d v="2025-03-21T00:00:00"/>
    <s v="Ryan"/>
    <n v="1958"/>
  </r>
  <r>
    <d v="2024-12-18T00:00:00"/>
    <x v="3"/>
    <x v="0"/>
    <n v="20"/>
    <n v="283"/>
    <x v="1"/>
    <s v="Wholesale"/>
    <n v="0.15"/>
    <x v="2"/>
    <x v="3"/>
    <n v="0"/>
    <x v="1202"/>
    <s v="Cust 8987"/>
    <n v="8.19"/>
    <x v="227"/>
    <d v="2024-12-28T00:00:00"/>
    <s v="Cameron"/>
    <n v="4811"/>
  </r>
  <r>
    <d v="2025-01-06T00:00:00"/>
    <x v="4"/>
    <x v="5"/>
    <n v="17"/>
    <n v="130"/>
    <x v="3"/>
    <s v="Retail"/>
    <n v="0.15"/>
    <x v="0"/>
    <x v="0"/>
    <n v="0"/>
    <x v="1203"/>
    <s v="Cust 4510"/>
    <n v="24.28"/>
    <x v="428"/>
    <d v="2025-01-08T00:00:00"/>
    <s v="Wendy"/>
    <n v="1878"/>
  </r>
  <r>
    <d v="2025-01-14T00:00:00"/>
    <x v="3"/>
    <x v="4"/>
    <n v="6"/>
    <n v="162"/>
    <x v="0"/>
    <s v="Wholesale"/>
    <n v="0.05"/>
    <x v="0"/>
    <x v="2"/>
    <n v="1"/>
    <x v="1204"/>
    <s v="Cust 7003"/>
    <n v="19.18"/>
    <x v="679"/>
    <d v="2025-01-20T00:00:00"/>
    <s v="Cameron"/>
    <n v="923"/>
  </r>
  <r>
    <d v="2023-01-26T00:00:00"/>
    <x v="1"/>
    <x v="6"/>
    <n v="14"/>
    <n v="210"/>
    <x v="0"/>
    <s v="Wholesale"/>
    <n v="0"/>
    <x v="0"/>
    <x v="4"/>
    <n v="0"/>
    <x v="1205"/>
    <s v="Cust 6546"/>
    <n v="36.11"/>
    <x v="592"/>
    <d v="2023-01-30T00:00:00"/>
    <s v="Sophie"/>
    <n v="2940"/>
  </r>
  <r>
    <d v="2024-08-04T00:00:00"/>
    <x v="2"/>
    <x v="0"/>
    <n v="16"/>
    <n v="293"/>
    <x v="3"/>
    <s v="Wholesale"/>
    <n v="0.05"/>
    <x v="4"/>
    <x v="1"/>
    <n v="0"/>
    <x v="1206"/>
    <s v="Cust 2951"/>
    <n v="42.56"/>
    <x v="270"/>
    <d v="2024-08-14T00:00:00"/>
    <s v="Ryan"/>
    <n v="4454"/>
  </r>
  <r>
    <d v="2024-02-13T00:00:00"/>
    <x v="2"/>
    <x v="1"/>
    <n v="11"/>
    <n v="186"/>
    <x v="3"/>
    <s v="Wholesale"/>
    <n v="0.15"/>
    <x v="4"/>
    <x v="2"/>
    <n v="0"/>
    <x v="1207"/>
    <s v="Cust 4673"/>
    <n v="38.53"/>
    <x v="30"/>
    <d v="2024-02-16T00:00:00"/>
    <s v="Ryan"/>
    <n v="1739"/>
  </r>
  <r>
    <d v="2023-02-11T00:00:00"/>
    <x v="3"/>
    <x v="2"/>
    <n v="18"/>
    <n v="268"/>
    <x v="3"/>
    <s v="Wholesale"/>
    <n v="0.15"/>
    <x v="1"/>
    <x v="4"/>
    <n v="0"/>
    <x v="1208"/>
    <s v="Cust 5988"/>
    <n v="48.38"/>
    <x v="70"/>
    <d v="2023-02-14T00:00:00"/>
    <s v="Cameron"/>
    <n v="4100"/>
  </r>
  <r>
    <d v="2024-06-17T00:00:00"/>
    <x v="0"/>
    <x v="6"/>
    <n v="18"/>
    <n v="547"/>
    <x v="2"/>
    <s v="Wholesale"/>
    <n v="0.1"/>
    <x v="3"/>
    <x v="4"/>
    <n v="0"/>
    <x v="1209"/>
    <s v="Cust 3922"/>
    <n v="10.99"/>
    <x v="545"/>
    <d v="2024-06-22T00:00:00"/>
    <s v="Eric"/>
    <n v="8861"/>
  </r>
  <r>
    <d v="2024-06-06T00:00:00"/>
    <x v="1"/>
    <x v="0"/>
    <n v="1"/>
    <n v="354"/>
    <x v="1"/>
    <s v="Wholesale"/>
    <n v="0.15"/>
    <x v="3"/>
    <x v="0"/>
    <n v="0"/>
    <x v="1210"/>
    <s v="Cust 9853"/>
    <n v="26.16"/>
    <x v="566"/>
    <d v="2024-06-12T00:00:00"/>
    <s v="Sophie"/>
    <n v="301"/>
  </r>
  <r>
    <d v="2023-11-26T00:00:00"/>
    <x v="1"/>
    <x v="3"/>
    <n v="18"/>
    <n v="251"/>
    <x v="2"/>
    <s v="Wholesale"/>
    <n v="0.05"/>
    <x v="5"/>
    <x v="1"/>
    <n v="0"/>
    <x v="1211"/>
    <s v="Cust 6168"/>
    <n v="47.67"/>
    <x v="168"/>
    <d v="2023-12-02T00:00:00"/>
    <s v="Sophie"/>
    <n v="4292"/>
  </r>
  <r>
    <d v="2024-04-07T00:00:00"/>
    <x v="4"/>
    <x v="6"/>
    <n v="18"/>
    <n v="587"/>
    <x v="2"/>
    <s v="Wholesale"/>
    <n v="0.15"/>
    <x v="3"/>
    <x v="0"/>
    <n v="0"/>
    <x v="1212"/>
    <s v="Cust 3175"/>
    <n v="42.15"/>
    <x v="680"/>
    <d v="2024-04-09T00:00:00"/>
    <s v="Wendy"/>
    <n v="8981"/>
  </r>
  <r>
    <d v="2023-02-03T00:00:00"/>
    <x v="4"/>
    <x v="2"/>
    <n v="2"/>
    <n v="438"/>
    <x v="0"/>
    <s v="Retail"/>
    <n v="0"/>
    <x v="2"/>
    <x v="0"/>
    <n v="1"/>
    <x v="1213"/>
    <s v="Cust 1813"/>
    <n v="12.9"/>
    <x v="151"/>
    <d v="2023-02-09T00:00:00"/>
    <s v="Wendy"/>
    <n v="876"/>
  </r>
  <r>
    <d v="2024-11-25T00:00:00"/>
    <x v="0"/>
    <x v="3"/>
    <n v="14"/>
    <n v="6"/>
    <x v="2"/>
    <s v="Wholesale"/>
    <n v="0.15"/>
    <x v="3"/>
    <x v="0"/>
    <n v="1"/>
    <x v="1214"/>
    <s v="Cust 7749"/>
    <n v="10.18"/>
    <x v="681"/>
    <d v="2024-11-30T00:00:00"/>
    <s v="Eric"/>
    <n v="71"/>
  </r>
  <r>
    <d v="2024-06-30T00:00:00"/>
    <x v="2"/>
    <x v="0"/>
    <n v="2"/>
    <n v="80"/>
    <x v="3"/>
    <s v="Wholesale"/>
    <n v="0"/>
    <x v="3"/>
    <x v="0"/>
    <n v="1"/>
    <x v="1215"/>
    <s v="Cust 3416"/>
    <n v="13.41"/>
    <x v="261"/>
    <d v="2024-07-03T00:00:00"/>
    <s v="Ryan"/>
    <n v="160"/>
  </r>
  <r>
    <d v="2023-08-02T00:00:00"/>
    <x v="1"/>
    <x v="0"/>
    <n v="11"/>
    <n v="67"/>
    <x v="1"/>
    <s v="Retail"/>
    <n v="0.15"/>
    <x v="5"/>
    <x v="1"/>
    <n v="1"/>
    <x v="1216"/>
    <s v="Cust 7066"/>
    <n v="20.350000000000001"/>
    <x v="562"/>
    <d v="2023-08-11T00:00:00"/>
    <s v="Sophie"/>
    <n v="626"/>
  </r>
  <r>
    <d v="2024-02-22T00:00:00"/>
    <x v="1"/>
    <x v="3"/>
    <n v="6"/>
    <n v="181"/>
    <x v="1"/>
    <s v="Wholesale"/>
    <n v="0"/>
    <x v="1"/>
    <x v="4"/>
    <n v="0"/>
    <x v="1217"/>
    <s v="Cust 5180"/>
    <n v="27.65"/>
    <x v="193"/>
    <d v="2024-02-27T00:00:00"/>
    <s v="Sophie"/>
    <n v="1086"/>
  </r>
  <r>
    <d v="2024-11-29T00:00:00"/>
    <x v="2"/>
    <x v="4"/>
    <n v="15"/>
    <n v="570"/>
    <x v="3"/>
    <s v="Wholesale"/>
    <n v="0.05"/>
    <x v="2"/>
    <x v="1"/>
    <n v="0"/>
    <x v="1218"/>
    <s v="Cust 6246"/>
    <n v="7.62"/>
    <x v="682"/>
    <d v="2024-12-09T00:00:00"/>
    <s v="Ryan"/>
    <n v="8122"/>
  </r>
  <r>
    <d v="2023-07-21T00:00:00"/>
    <x v="2"/>
    <x v="4"/>
    <n v="9"/>
    <n v="588"/>
    <x v="3"/>
    <s v="Wholesale"/>
    <n v="0.15"/>
    <x v="5"/>
    <x v="0"/>
    <n v="0"/>
    <x v="1219"/>
    <s v="Cust 4182"/>
    <n v="24.64"/>
    <x v="12"/>
    <d v="2023-07-31T00:00:00"/>
    <s v="Ryan"/>
    <n v="4498"/>
  </r>
  <r>
    <d v="2023-04-14T00:00:00"/>
    <x v="3"/>
    <x v="1"/>
    <n v="6"/>
    <n v="196"/>
    <x v="2"/>
    <s v="Retail"/>
    <n v="0.1"/>
    <x v="3"/>
    <x v="0"/>
    <n v="0"/>
    <x v="1220"/>
    <s v="Cust 6843"/>
    <n v="38.65"/>
    <x v="271"/>
    <d v="2023-04-17T00:00:00"/>
    <s v="Cameron"/>
    <n v="1058"/>
  </r>
  <r>
    <d v="2023-02-01T00:00:00"/>
    <x v="2"/>
    <x v="1"/>
    <n v="8"/>
    <n v="430"/>
    <x v="0"/>
    <s v="Wholesale"/>
    <n v="0.05"/>
    <x v="5"/>
    <x v="3"/>
    <n v="0"/>
    <x v="1221"/>
    <s v="Cust 6844"/>
    <n v="38.450000000000003"/>
    <x v="307"/>
    <d v="2023-02-05T00:00:00"/>
    <s v="Ryan"/>
    <n v="3268"/>
  </r>
  <r>
    <d v="2024-06-30T00:00:00"/>
    <x v="0"/>
    <x v="4"/>
    <n v="14"/>
    <n v="430"/>
    <x v="1"/>
    <s v="Retail"/>
    <n v="0.1"/>
    <x v="0"/>
    <x v="4"/>
    <n v="0"/>
    <x v="1222"/>
    <s v="Cust 3248"/>
    <n v="45.78"/>
    <x v="261"/>
    <d v="2024-07-05T00:00:00"/>
    <s v="Eric"/>
    <n v="5418"/>
  </r>
  <r>
    <d v="2023-10-18T00:00:00"/>
    <x v="3"/>
    <x v="1"/>
    <n v="13"/>
    <n v="127"/>
    <x v="3"/>
    <s v="Wholesale"/>
    <n v="0"/>
    <x v="1"/>
    <x v="2"/>
    <n v="0"/>
    <x v="1223"/>
    <s v="Cust 5226"/>
    <n v="6.15"/>
    <x v="90"/>
    <d v="2023-10-21T00:00:00"/>
    <s v="Cameron"/>
    <n v="1651"/>
  </r>
  <r>
    <d v="2024-07-04T00:00:00"/>
    <x v="0"/>
    <x v="4"/>
    <n v="6"/>
    <n v="422"/>
    <x v="0"/>
    <s v="Wholesale"/>
    <n v="0.05"/>
    <x v="5"/>
    <x v="4"/>
    <n v="0"/>
    <x v="1224"/>
    <s v="Cust 9804"/>
    <n v="41.31"/>
    <x v="532"/>
    <d v="2024-07-13T00:00:00"/>
    <s v="Eric"/>
    <n v="2405"/>
  </r>
  <r>
    <d v="2024-07-04T00:00:00"/>
    <x v="0"/>
    <x v="5"/>
    <n v="5"/>
    <n v="226"/>
    <x v="1"/>
    <s v="Wholesale"/>
    <n v="0.15"/>
    <x v="3"/>
    <x v="1"/>
    <n v="0"/>
    <x v="1225"/>
    <s v="Cust 3990"/>
    <n v="47.6"/>
    <x v="532"/>
    <d v="2024-07-12T00:00:00"/>
    <s v="Eric"/>
    <n v="960"/>
  </r>
  <r>
    <d v="2023-07-27T00:00:00"/>
    <x v="2"/>
    <x v="4"/>
    <n v="10"/>
    <n v="322"/>
    <x v="1"/>
    <s v="Retail"/>
    <n v="0.15"/>
    <x v="4"/>
    <x v="3"/>
    <n v="0"/>
    <x v="1226"/>
    <s v="Cust 5106"/>
    <n v="28.72"/>
    <x v="74"/>
    <d v="2023-08-02T00:00:00"/>
    <s v="Ryan"/>
    <n v="2737"/>
  </r>
  <r>
    <d v="2025-03-01T00:00:00"/>
    <x v="4"/>
    <x v="2"/>
    <n v="4"/>
    <n v="209"/>
    <x v="0"/>
    <s v="Retail"/>
    <n v="0.05"/>
    <x v="1"/>
    <x v="1"/>
    <n v="0"/>
    <x v="1227"/>
    <s v="Cust 3448"/>
    <n v="6.89"/>
    <x v="89"/>
    <d v="2025-03-06T00:00:00"/>
    <s v="Wendy"/>
    <n v="794"/>
  </r>
  <r>
    <d v="2023-02-23T00:00:00"/>
    <x v="3"/>
    <x v="2"/>
    <n v="16"/>
    <n v="326"/>
    <x v="2"/>
    <s v="Wholesale"/>
    <n v="0.1"/>
    <x v="2"/>
    <x v="2"/>
    <n v="0"/>
    <x v="1228"/>
    <s v="Cust 1439"/>
    <n v="44.3"/>
    <x v="0"/>
    <d v="2023-02-25T00:00:00"/>
    <s v="Cameron"/>
    <n v="4694"/>
  </r>
  <r>
    <d v="2023-01-11T00:00:00"/>
    <x v="0"/>
    <x v="4"/>
    <n v="13"/>
    <n v="515"/>
    <x v="3"/>
    <s v="Retail"/>
    <n v="0"/>
    <x v="5"/>
    <x v="0"/>
    <n v="0"/>
    <x v="1229"/>
    <s v="Cust 5342"/>
    <n v="43.37"/>
    <x v="6"/>
    <d v="2023-01-20T00:00:00"/>
    <s v="Eric"/>
    <n v="6695"/>
  </r>
  <r>
    <d v="2024-04-16T00:00:00"/>
    <x v="4"/>
    <x v="5"/>
    <n v="7"/>
    <n v="130"/>
    <x v="1"/>
    <s v="Wholesale"/>
    <n v="0"/>
    <x v="3"/>
    <x v="1"/>
    <n v="0"/>
    <x v="1230"/>
    <s v="Cust 4564"/>
    <n v="13.12"/>
    <x v="683"/>
    <d v="2024-04-20T00:00:00"/>
    <s v="Wendy"/>
    <n v="910"/>
  </r>
  <r>
    <d v="2024-03-09T00:00:00"/>
    <x v="3"/>
    <x v="4"/>
    <n v="17"/>
    <n v="376"/>
    <x v="2"/>
    <s v="Retail"/>
    <n v="0.05"/>
    <x v="4"/>
    <x v="1"/>
    <n v="1"/>
    <x v="1231"/>
    <s v="Cust 6441"/>
    <n v="31.96"/>
    <x v="542"/>
    <d v="2024-03-12T00:00:00"/>
    <s v="Cameron"/>
    <n v="6072"/>
  </r>
  <r>
    <d v="2024-10-07T00:00:00"/>
    <x v="1"/>
    <x v="3"/>
    <n v="8"/>
    <n v="385"/>
    <x v="1"/>
    <s v="Wholesale"/>
    <n v="0"/>
    <x v="5"/>
    <x v="4"/>
    <n v="0"/>
    <x v="1232"/>
    <s v="Cust 7591"/>
    <n v="8.89"/>
    <x v="263"/>
    <d v="2024-10-11T00:00:00"/>
    <s v="Sophie"/>
    <n v="3080"/>
  </r>
  <r>
    <d v="2023-10-06T00:00:00"/>
    <x v="4"/>
    <x v="6"/>
    <n v="2"/>
    <n v="474"/>
    <x v="3"/>
    <s v="Wholesale"/>
    <n v="0"/>
    <x v="3"/>
    <x v="1"/>
    <n v="1"/>
    <x v="1233"/>
    <s v="Cust 9778"/>
    <n v="14.41"/>
    <x v="677"/>
    <d v="2023-10-15T00:00:00"/>
    <s v="Wendy"/>
    <n v="948"/>
  </r>
  <r>
    <d v="2023-04-08T00:00:00"/>
    <x v="4"/>
    <x v="4"/>
    <n v="15"/>
    <n v="506"/>
    <x v="0"/>
    <s v="Wholesale"/>
    <n v="0.05"/>
    <x v="1"/>
    <x v="0"/>
    <n v="0"/>
    <x v="1234"/>
    <s v="Cust 1195"/>
    <n v="41.73"/>
    <x v="684"/>
    <d v="2023-04-13T00:00:00"/>
    <s v="Wendy"/>
    <n v="7210"/>
  </r>
  <r>
    <d v="2024-02-20T00:00:00"/>
    <x v="1"/>
    <x v="1"/>
    <n v="1"/>
    <n v="67"/>
    <x v="3"/>
    <s v="Retail"/>
    <n v="0.15"/>
    <x v="1"/>
    <x v="2"/>
    <n v="0"/>
    <x v="1235"/>
    <s v="Cust 8126"/>
    <n v="6.14"/>
    <x v="5"/>
    <d v="2024-02-27T00:00:00"/>
    <s v="Sophie"/>
    <n v="57"/>
  </r>
  <r>
    <d v="2023-01-30T00:00:00"/>
    <x v="4"/>
    <x v="3"/>
    <n v="15"/>
    <n v="274"/>
    <x v="0"/>
    <s v="Retail"/>
    <n v="0.15"/>
    <x v="2"/>
    <x v="2"/>
    <n v="0"/>
    <x v="1236"/>
    <s v="Cust 4609"/>
    <n v="21.56"/>
    <x v="685"/>
    <d v="2023-02-08T00:00:00"/>
    <s v="Wendy"/>
    <n v="3494"/>
  </r>
  <r>
    <d v="2023-05-12T00:00:00"/>
    <x v="1"/>
    <x v="4"/>
    <n v="2"/>
    <n v="334"/>
    <x v="0"/>
    <s v="Wholesale"/>
    <n v="0"/>
    <x v="1"/>
    <x v="3"/>
    <n v="0"/>
    <x v="1237"/>
    <s v="Cust 1449"/>
    <n v="31.53"/>
    <x v="551"/>
    <d v="2023-05-20T00:00:00"/>
    <s v="Sophie"/>
    <n v="668"/>
  </r>
  <r>
    <d v="2024-01-08T00:00:00"/>
    <x v="1"/>
    <x v="3"/>
    <n v="7"/>
    <n v="563"/>
    <x v="1"/>
    <s v="Retail"/>
    <n v="0.15"/>
    <x v="0"/>
    <x v="0"/>
    <n v="0"/>
    <x v="1238"/>
    <s v="Cust 3508"/>
    <n v="19.95"/>
    <x v="590"/>
    <d v="2024-01-12T00:00:00"/>
    <s v="Sophie"/>
    <n v="3350"/>
  </r>
  <r>
    <d v="2024-06-05T00:00:00"/>
    <x v="2"/>
    <x v="4"/>
    <n v="7"/>
    <n v="14"/>
    <x v="3"/>
    <s v="Retail"/>
    <n v="0.05"/>
    <x v="1"/>
    <x v="3"/>
    <n v="0"/>
    <x v="1239"/>
    <s v="Cust 4826"/>
    <n v="19.45"/>
    <x v="410"/>
    <d v="2024-06-08T00:00:00"/>
    <s v="Ryan"/>
    <n v="93"/>
  </r>
  <r>
    <d v="2025-05-21T00:00:00"/>
    <x v="0"/>
    <x v="1"/>
    <n v="11"/>
    <n v="35"/>
    <x v="0"/>
    <s v="Wholesale"/>
    <n v="0.1"/>
    <x v="4"/>
    <x v="1"/>
    <n v="0"/>
    <x v="1240"/>
    <s v="Cust 1232"/>
    <n v="9.31"/>
    <x v="83"/>
    <d v="2025-05-23T00:00:00"/>
    <s v="Eric"/>
    <n v="346"/>
  </r>
  <r>
    <d v="2025-05-21T00:00:00"/>
    <x v="0"/>
    <x v="3"/>
    <n v="7"/>
    <n v="15"/>
    <x v="1"/>
    <s v="Retail"/>
    <n v="0"/>
    <x v="1"/>
    <x v="4"/>
    <n v="1"/>
    <x v="1241"/>
    <s v="Cust 9675"/>
    <n v="46.57"/>
    <x v="83"/>
    <d v="2025-05-26T00:00:00"/>
    <s v="Eric"/>
    <n v="105"/>
  </r>
  <r>
    <d v="2023-03-05T00:00:00"/>
    <x v="0"/>
    <x v="6"/>
    <n v="11"/>
    <n v="488"/>
    <x v="0"/>
    <s v="Wholesale"/>
    <n v="0.05"/>
    <x v="5"/>
    <x v="4"/>
    <n v="1"/>
    <x v="1242"/>
    <s v="Cust 5153"/>
    <n v="37.47"/>
    <x v="509"/>
    <d v="2023-03-11T00:00:00"/>
    <s v="Eric"/>
    <n v="5100"/>
  </r>
  <r>
    <d v="2024-10-27T00:00:00"/>
    <x v="1"/>
    <x v="5"/>
    <n v="10"/>
    <n v="268"/>
    <x v="0"/>
    <s v="Retail"/>
    <n v="0.05"/>
    <x v="1"/>
    <x v="2"/>
    <n v="0"/>
    <x v="1243"/>
    <s v="Cust 6330"/>
    <n v="25.86"/>
    <x v="686"/>
    <d v="2024-11-02T00:00:00"/>
    <s v="Sophie"/>
    <n v="2546"/>
  </r>
  <r>
    <d v="2025-03-24T00:00:00"/>
    <x v="2"/>
    <x v="5"/>
    <n v="5"/>
    <n v="64"/>
    <x v="2"/>
    <s v="Retail"/>
    <n v="0.1"/>
    <x v="0"/>
    <x v="1"/>
    <n v="0"/>
    <x v="1244"/>
    <s v="Cust 8277"/>
    <n v="21.17"/>
    <x v="687"/>
    <d v="2025-03-29T00:00:00"/>
    <s v="Ryan"/>
    <n v="288"/>
  </r>
  <r>
    <d v="2024-09-21T00:00:00"/>
    <x v="4"/>
    <x v="1"/>
    <n v="15"/>
    <n v="467"/>
    <x v="1"/>
    <s v="Retail"/>
    <n v="0.05"/>
    <x v="1"/>
    <x v="4"/>
    <n v="1"/>
    <x v="1245"/>
    <s v="Cust 5884"/>
    <n v="36.68"/>
    <x v="367"/>
    <d v="2024-09-27T00:00:00"/>
    <s v="Wendy"/>
    <n v="6655"/>
  </r>
  <r>
    <d v="2025-05-18T00:00:00"/>
    <x v="2"/>
    <x v="2"/>
    <n v="8"/>
    <n v="505"/>
    <x v="0"/>
    <s v="Retail"/>
    <n v="0.05"/>
    <x v="5"/>
    <x v="3"/>
    <n v="0"/>
    <x v="1246"/>
    <s v="Cust 4061"/>
    <n v="22.88"/>
    <x v="662"/>
    <d v="2025-05-27T00:00:00"/>
    <s v="Ryan"/>
    <n v="3838"/>
  </r>
  <r>
    <d v="2024-07-11T00:00:00"/>
    <x v="0"/>
    <x v="4"/>
    <n v="6"/>
    <n v="101"/>
    <x v="1"/>
    <s v="Wholesale"/>
    <n v="0.1"/>
    <x v="2"/>
    <x v="2"/>
    <n v="0"/>
    <x v="1247"/>
    <s v="Cust 8095"/>
    <n v="12.98"/>
    <x v="156"/>
    <d v="2024-07-14T00:00:00"/>
    <s v="Eric"/>
    <n v="545"/>
  </r>
  <r>
    <d v="2025-01-27T00:00:00"/>
    <x v="2"/>
    <x v="5"/>
    <n v="8"/>
    <n v="353"/>
    <x v="2"/>
    <s v="Retail"/>
    <n v="0.05"/>
    <x v="3"/>
    <x v="4"/>
    <n v="0"/>
    <x v="1248"/>
    <s v="Cust 2435"/>
    <n v="30.8"/>
    <x v="614"/>
    <d v="2025-02-04T00:00:00"/>
    <s v="Ryan"/>
    <n v="2683"/>
  </r>
  <r>
    <d v="2023-11-26T00:00:00"/>
    <x v="0"/>
    <x v="0"/>
    <n v="9"/>
    <n v="526"/>
    <x v="0"/>
    <s v="Retail"/>
    <n v="0"/>
    <x v="5"/>
    <x v="4"/>
    <n v="0"/>
    <x v="1249"/>
    <s v="Cust 6785"/>
    <n v="15.47"/>
    <x v="168"/>
    <d v="2023-12-06T00:00:00"/>
    <s v="Eric"/>
    <n v="4734"/>
  </r>
  <r>
    <d v="2024-06-02T00:00:00"/>
    <x v="3"/>
    <x v="6"/>
    <n v="18"/>
    <n v="519"/>
    <x v="2"/>
    <s v="Retail"/>
    <n v="0.15"/>
    <x v="0"/>
    <x v="4"/>
    <n v="0"/>
    <x v="1250"/>
    <s v="Cust 6485"/>
    <n v="32.96"/>
    <x v="403"/>
    <d v="2024-06-04T00:00:00"/>
    <s v="Cameron"/>
    <n v="7941"/>
  </r>
  <r>
    <d v="2023-01-17T00:00:00"/>
    <x v="2"/>
    <x v="3"/>
    <n v="18"/>
    <n v="108"/>
    <x v="3"/>
    <s v="Wholesale"/>
    <n v="0.05"/>
    <x v="2"/>
    <x v="0"/>
    <n v="0"/>
    <x v="1251"/>
    <s v="Cust 6960"/>
    <n v="10.72"/>
    <x v="585"/>
    <d v="2023-01-24T00:00:00"/>
    <s v="Ryan"/>
    <n v="1847"/>
  </r>
  <r>
    <d v="2025-05-03T00:00:00"/>
    <x v="2"/>
    <x v="2"/>
    <n v="13"/>
    <n v="421"/>
    <x v="3"/>
    <s v="Wholesale"/>
    <n v="0.05"/>
    <x v="2"/>
    <x v="0"/>
    <n v="0"/>
    <x v="1252"/>
    <s v="Cust 1135"/>
    <n v="24.51"/>
    <x v="688"/>
    <d v="2025-05-11T00:00:00"/>
    <s v="Ryan"/>
    <n v="5199"/>
  </r>
  <r>
    <d v="2025-01-05T00:00:00"/>
    <x v="2"/>
    <x v="6"/>
    <n v="17"/>
    <n v="6"/>
    <x v="1"/>
    <s v="Wholesale"/>
    <n v="0.15"/>
    <x v="0"/>
    <x v="0"/>
    <n v="0"/>
    <x v="1253"/>
    <s v="Cust 6186"/>
    <n v="44.85"/>
    <x v="689"/>
    <d v="2025-01-13T00:00:00"/>
    <s v="Ryan"/>
    <n v="87"/>
  </r>
  <r>
    <d v="2024-02-20T00:00:00"/>
    <x v="0"/>
    <x v="1"/>
    <n v="4"/>
    <n v="453"/>
    <x v="0"/>
    <s v="Retail"/>
    <n v="0"/>
    <x v="4"/>
    <x v="3"/>
    <n v="0"/>
    <x v="1254"/>
    <s v="Cust 8828"/>
    <n v="32.01"/>
    <x v="5"/>
    <d v="2024-03-01T00:00:00"/>
    <s v="Eric"/>
    <n v="1812"/>
  </r>
  <r>
    <d v="2023-12-26T00:00:00"/>
    <x v="2"/>
    <x v="4"/>
    <n v="7"/>
    <n v="157"/>
    <x v="1"/>
    <s v="Wholesale"/>
    <n v="0.15"/>
    <x v="1"/>
    <x v="0"/>
    <n v="1"/>
    <x v="1255"/>
    <s v="Cust 9097"/>
    <n v="39.72"/>
    <x v="442"/>
    <d v="2024-01-04T00:00:00"/>
    <s v="Ryan"/>
    <n v="934"/>
  </r>
  <r>
    <d v="2023-03-07T00:00:00"/>
    <x v="2"/>
    <x v="6"/>
    <n v="11"/>
    <n v="551"/>
    <x v="2"/>
    <s v="Retail"/>
    <n v="0.1"/>
    <x v="5"/>
    <x v="0"/>
    <n v="0"/>
    <x v="1256"/>
    <s v="Cust 4744"/>
    <n v="21.82"/>
    <x v="334"/>
    <d v="2023-03-12T00:00:00"/>
    <s v="Ryan"/>
    <n v="5455"/>
  </r>
  <r>
    <d v="2024-09-13T00:00:00"/>
    <x v="2"/>
    <x v="3"/>
    <n v="5"/>
    <n v="173"/>
    <x v="2"/>
    <s v="Wholesale"/>
    <n v="0.15"/>
    <x v="1"/>
    <x v="4"/>
    <n v="0"/>
    <x v="1257"/>
    <s v="Cust 4287"/>
    <n v="28.3"/>
    <x v="277"/>
    <d v="2024-09-22T00:00:00"/>
    <s v="Ryan"/>
    <n v="735"/>
  </r>
  <r>
    <d v="2024-01-02T00:00:00"/>
    <x v="0"/>
    <x v="5"/>
    <n v="16"/>
    <n v="145"/>
    <x v="0"/>
    <s v="Wholesale"/>
    <n v="0"/>
    <x v="0"/>
    <x v="2"/>
    <n v="1"/>
    <x v="1258"/>
    <s v="Cust 2236"/>
    <n v="29.64"/>
    <x v="78"/>
    <d v="2024-01-12T00:00:00"/>
    <s v="Eric"/>
    <n v="2320"/>
  </r>
  <r>
    <d v="2025-02-08T00:00:00"/>
    <x v="1"/>
    <x v="6"/>
    <n v="10"/>
    <n v="67"/>
    <x v="2"/>
    <s v="Retail"/>
    <n v="0.1"/>
    <x v="4"/>
    <x v="1"/>
    <n v="1"/>
    <x v="1259"/>
    <s v="Cust 5312"/>
    <n v="20.58"/>
    <x v="658"/>
    <d v="2025-02-18T00:00:00"/>
    <s v="Sophie"/>
    <n v="603"/>
  </r>
  <r>
    <d v="2025-03-04T00:00:00"/>
    <x v="1"/>
    <x v="6"/>
    <n v="15"/>
    <n v="141"/>
    <x v="3"/>
    <s v="Wholesale"/>
    <n v="0"/>
    <x v="3"/>
    <x v="4"/>
    <n v="0"/>
    <x v="1260"/>
    <s v="Cust 5096"/>
    <n v="19.63"/>
    <x v="155"/>
    <d v="2025-03-12T00:00:00"/>
    <s v="Sophie"/>
    <n v="2115"/>
  </r>
  <r>
    <d v="2024-03-12T00:00:00"/>
    <x v="3"/>
    <x v="5"/>
    <n v="1"/>
    <n v="535"/>
    <x v="3"/>
    <s v="Retail"/>
    <n v="0.05"/>
    <x v="2"/>
    <x v="0"/>
    <n v="0"/>
    <x v="1261"/>
    <s v="Cust 1162"/>
    <n v="22.68"/>
    <x v="690"/>
    <d v="2024-03-21T00:00:00"/>
    <s v="Cameron"/>
    <n v="508"/>
  </r>
  <r>
    <d v="2024-07-03T00:00:00"/>
    <x v="0"/>
    <x v="1"/>
    <n v="9"/>
    <n v="560"/>
    <x v="3"/>
    <s v="Retail"/>
    <n v="0.05"/>
    <x v="3"/>
    <x v="1"/>
    <n v="0"/>
    <x v="1262"/>
    <s v="Cust 1669"/>
    <n v="22.81"/>
    <x v="691"/>
    <d v="2024-07-07T00:00:00"/>
    <s v="Eric"/>
    <n v="4788"/>
  </r>
  <r>
    <d v="2025-01-05T00:00:00"/>
    <x v="2"/>
    <x v="0"/>
    <n v="8"/>
    <n v="275"/>
    <x v="3"/>
    <s v="Retail"/>
    <n v="0.1"/>
    <x v="4"/>
    <x v="4"/>
    <n v="0"/>
    <x v="1263"/>
    <s v="Cust 6213"/>
    <n v="18.260000000000002"/>
    <x v="689"/>
    <d v="2025-01-13T00:00:00"/>
    <s v="Ryan"/>
    <n v="1980"/>
  </r>
  <r>
    <d v="2024-03-21T00:00:00"/>
    <x v="0"/>
    <x v="1"/>
    <n v="3"/>
    <n v="106"/>
    <x v="3"/>
    <s v="Retail"/>
    <n v="0.05"/>
    <x v="5"/>
    <x v="3"/>
    <n v="1"/>
    <x v="1264"/>
    <s v="Cust 7659"/>
    <n v="12.12"/>
    <x v="58"/>
    <d v="2024-03-28T00:00:00"/>
    <s v="Eric"/>
    <n v="302"/>
  </r>
  <r>
    <d v="2025-03-28T00:00:00"/>
    <x v="3"/>
    <x v="4"/>
    <n v="15"/>
    <n v="569"/>
    <x v="3"/>
    <s v="Retail"/>
    <n v="0.1"/>
    <x v="2"/>
    <x v="1"/>
    <n v="0"/>
    <x v="1265"/>
    <s v="Cust 2894"/>
    <n v="8.5399999999999991"/>
    <x v="136"/>
    <d v="2025-04-03T00:00:00"/>
    <s v="Cameron"/>
    <n v="7682"/>
  </r>
  <r>
    <d v="2025-04-13T00:00:00"/>
    <x v="3"/>
    <x v="0"/>
    <n v="20"/>
    <n v="190"/>
    <x v="0"/>
    <s v="Retail"/>
    <n v="0.1"/>
    <x v="5"/>
    <x v="1"/>
    <n v="0"/>
    <x v="1266"/>
    <s v="Cust 1457"/>
    <n v="49.93"/>
    <x v="91"/>
    <d v="2025-04-18T00:00:00"/>
    <s v="Cameron"/>
    <n v="3420"/>
  </r>
  <r>
    <d v="2024-04-30T00:00:00"/>
    <x v="4"/>
    <x v="3"/>
    <n v="19"/>
    <n v="433"/>
    <x v="2"/>
    <s v="Retail"/>
    <n v="0.05"/>
    <x v="5"/>
    <x v="0"/>
    <n v="0"/>
    <x v="1267"/>
    <s v="Cust 2410"/>
    <n v="7.59"/>
    <x v="401"/>
    <d v="2024-05-09T00:00:00"/>
    <s v="Wendy"/>
    <n v="7816"/>
  </r>
  <r>
    <d v="2025-02-15T00:00:00"/>
    <x v="1"/>
    <x v="1"/>
    <n v="1"/>
    <n v="93"/>
    <x v="2"/>
    <s v="Wholesale"/>
    <n v="0.15"/>
    <x v="0"/>
    <x v="3"/>
    <n v="0"/>
    <x v="1268"/>
    <s v="Cust 4723"/>
    <n v="48.46"/>
    <x v="664"/>
    <d v="2025-02-19T00:00:00"/>
    <s v="Sophie"/>
    <n v="79"/>
  </r>
  <r>
    <d v="2025-02-18T00:00:00"/>
    <x v="4"/>
    <x v="0"/>
    <n v="1"/>
    <n v="263"/>
    <x v="3"/>
    <s v="Wholesale"/>
    <n v="0.1"/>
    <x v="0"/>
    <x v="2"/>
    <n v="0"/>
    <x v="1269"/>
    <s v="Cust 1586"/>
    <n v="36.28"/>
    <x v="616"/>
    <d v="2025-02-23T00:00:00"/>
    <s v="Wendy"/>
    <n v="237"/>
  </r>
  <r>
    <d v="2023-09-08T00:00:00"/>
    <x v="4"/>
    <x v="1"/>
    <n v="11"/>
    <n v="359"/>
    <x v="0"/>
    <s v="Wholesale"/>
    <n v="0"/>
    <x v="2"/>
    <x v="2"/>
    <n v="0"/>
    <x v="1270"/>
    <s v="Cust 5049"/>
    <n v="29.19"/>
    <x v="247"/>
    <d v="2023-09-10T00:00:00"/>
    <s v="Wendy"/>
    <n v="3949"/>
  </r>
  <r>
    <d v="2024-02-04T00:00:00"/>
    <x v="3"/>
    <x v="5"/>
    <n v="18"/>
    <n v="596"/>
    <x v="0"/>
    <s v="Retail"/>
    <n v="0"/>
    <x v="2"/>
    <x v="4"/>
    <n v="0"/>
    <x v="1271"/>
    <s v="Cust 9534"/>
    <n v="42.91"/>
    <x v="692"/>
    <d v="2024-02-06T00:00:00"/>
    <s v="Cameron"/>
    <n v="10728"/>
  </r>
  <r>
    <d v="2024-11-25T00:00:00"/>
    <x v="2"/>
    <x v="4"/>
    <n v="14"/>
    <n v="574"/>
    <x v="3"/>
    <s v="Wholesale"/>
    <n v="0.15"/>
    <x v="4"/>
    <x v="2"/>
    <n v="0"/>
    <x v="1272"/>
    <s v="Cust 5693"/>
    <n v="12.07"/>
    <x v="681"/>
    <d v="2024-12-05T00:00:00"/>
    <s v="Ryan"/>
    <n v="6831"/>
  </r>
  <r>
    <d v="2024-12-30T00:00:00"/>
    <x v="2"/>
    <x v="0"/>
    <n v="18"/>
    <n v="444"/>
    <x v="3"/>
    <s v="Retail"/>
    <n v="0"/>
    <x v="2"/>
    <x v="4"/>
    <n v="0"/>
    <x v="1273"/>
    <s v="Cust 6950"/>
    <n v="5.41"/>
    <x v="671"/>
    <d v="2025-01-02T00:00:00"/>
    <s v="Ryan"/>
    <n v="7992"/>
  </r>
  <r>
    <d v="2023-09-05T00:00:00"/>
    <x v="4"/>
    <x v="5"/>
    <n v="19"/>
    <n v="431"/>
    <x v="1"/>
    <s v="Retail"/>
    <n v="0.1"/>
    <x v="0"/>
    <x v="1"/>
    <n v="0"/>
    <x v="1274"/>
    <s v="Cust 7098"/>
    <n v="49.23"/>
    <x v="569"/>
    <d v="2023-09-10T00:00:00"/>
    <s v="Wendy"/>
    <n v="7370"/>
  </r>
  <r>
    <d v="2023-08-01T00:00:00"/>
    <x v="4"/>
    <x v="6"/>
    <n v="19"/>
    <n v="67"/>
    <x v="2"/>
    <s v="Retail"/>
    <n v="0"/>
    <x v="2"/>
    <x v="3"/>
    <n v="0"/>
    <x v="1275"/>
    <s v="Cust 8300"/>
    <n v="32.04"/>
    <x v="588"/>
    <d v="2023-08-11T00:00:00"/>
    <s v="Wendy"/>
    <n v="1273"/>
  </r>
  <r>
    <d v="2023-01-06T00:00:00"/>
    <x v="3"/>
    <x v="5"/>
    <n v="11"/>
    <n v="26"/>
    <x v="2"/>
    <s v="Retail"/>
    <n v="0.15"/>
    <x v="3"/>
    <x v="2"/>
    <n v="0"/>
    <x v="1276"/>
    <s v="Cust 9557"/>
    <n v="30.12"/>
    <x v="463"/>
    <d v="2023-01-08T00:00:00"/>
    <s v="Cameron"/>
    <n v="243"/>
  </r>
  <r>
    <d v="2025-05-02T00:00:00"/>
    <x v="3"/>
    <x v="1"/>
    <n v="4"/>
    <n v="369"/>
    <x v="3"/>
    <s v="Wholesale"/>
    <n v="0"/>
    <x v="4"/>
    <x v="1"/>
    <n v="0"/>
    <x v="1277"/>
    <s v="Cust 8787"/>
    <n v="48.57"/>
    <x v="693"/>
    <d v="2025-05-06T00:00:00"/>
    <s v="Cameron"/>
    <n v="1476"/>
  </r>
  <r>
    <d v="2023-12-21T00:00:00"/>
    <x v="4"/>
    <x v="4"/>
    <n v="7"/>
    <n v="257"/>
    <x v="3"/>
    <s v="Retail"/>
    <n v="0.05"/>
    <x v="0"/>
    <x v="2"/>
    <n v="0"/>
    <x v="1278"/>
    <s v="Cust 9717"/>
    <n v="35.520000000000003"/>
    <x v="146"/>
    <d v="2023-12-28T00:00:00"/>
    <s v="Wendy"/>
    <n v="1709"/>
  </r>
  <r>
    <d v="2024-09-10T00:00:00"/>
    <x v="0"/>
    <x v="0"/>
    <n v="14"/>
    <n v="86"/>
    <x v="0"/>
    <s v="Wholesale"/>
    <n v="0"/>
    <x v="2"/>
    <x v="1"/>
    <n v="0"/>
    <x v="1279"/>
    <s v="Cust 2719"/>
    <n v="16.079999999999998"/>
    <x v="328"/>
    <d v="2024-09-14T00:00:00"/>
    <s v="Eric"/>
    <n v="1204"/>
  </r>
  <r>
    <d v="2024-04-05T00:00:00"/>
    <x v="3"/>
    <x v="3"/>
    <n v="9"/>
    <n v="268"/>
    <x v="3"/>
    <s v="Retail"/>
    <n v="0.15"/>
    <x v="0"/>
    <x v="2"/>
    <n v="0"/>
    <x v="1280"/>
    <s v="Cust 6203"/>
    <n v="8.48"/>
    <x v="393"/>
    <d v="2024-04-10T00:00:00"/>
    <s v="Cameron"/>
    <n v="2050"/>
  </r>
  <r>
    <d v="2023-07-26T00:00:00"/>
    <x v="0"/>
    <x v="2"/>
    <n v="15"/>
    <n v="262"/>
    <x v="3"/>
    <s v="Wholesale"/>
    <n v="0.15"/>
    <x v="4"/>
    <x v="0"/>
    <n v="0"/>
    <x v="1281"/>
    <s v="Cust 9151"/>
    <n v="40.68"/>
    <x v="238"/>
    <d v="2023-07-31T00:00:00"/>
    <s v="Eric"/>
    <n v="3340"/>
  </r>
  <r>
    <d v="2023-11-12T00:00:00"/>
    <x v="0"/>
    <x v="6"/>
    <n v="11"/>
    <n v="200"/>
    <x v="1"/>
    <s v="Retail"/>
    <n v="0.05"/>
    <x v="5"/>
    <x v="3"/>
    <n v="0"/>
    <x v="1282"/>
    <s v="Cust 5096"/>
    <n v="48.94"/>
    <x v="694"/>
    <d v="2023-11-14T00:00:00"/>
    <s v="Eric"/>
    <n v="2090"/>
  </r>
  <r>
    <d v="2025-04-18T00:00:00"/>
    <x v="3"/>
    <x v="1"/>
    <n v="5"/>
    <n v="505"/>
    <x v="2"/>
    <s v="Retail"/>
    <n v="0.05"/>
    <x v="4"/>
    <x v="1"/>
    <n v="0"/>
    <x v="1283"/>
    <s v="Cust 4250"/>
    <n v="22.12"/>
    <x v="308"/>
    <d v="2025-04-20T00:00:00"/>
    <s v="Cameron"/>
    <n v="2399"/>
  </r>
  <r>
    <d v="2023-08-12T00:00:00"/>
    <x v="1"/>
    <x v="3"/>
    <n v="8"/>
    <n v="28"/>
    <x v="2"/>
    <s v="Wholesale"/>
    <n v="0.05"/>
    <x v="1"/>
    <x v="4"/>
    <n v="1"/>
    <x v="1284"/>
    <s v="Cust 1276"/>
    <n v="23.19"/>
    <x v="181"/>
    <d v="2023-08-19T00:00:00"/>
    <s v="Sophie"/>
    <n v="213"/>
  </r>
  <r>
    <d v="2024-12-12T00:00:00"/>
    <x v="4"/>
    <x v="6"/>
    <n v="17"/>
    <n v="495"/>
    <x v="3"/>
    <s v="Wholesale"/>
    <n v="0.1"/>
    <x v="1"/>
    <x v="0"/>
    <n v="1"/>
    <x v="1285"/>
    <s v="Cust 6063"/>
    <n v="26.37"/>
    <x v="621"/>
    <d v="2024-12-21T00:00:00"/>
    <s v="Wendy"/>
    <n v="7574"/>
  </r>
  <r>
    <d v="2025-05-07T00:00:00"/>
    <x v="4"/>
    <x v="1"/>
    <n v="14"/>
    <n v="142"/>
    <x v="3"/>
    <s v="Retail"/>
    <n v="0.05"/>
    <x v="2"/>
    <x v="1"/>
    <n v="0"/>
    <x v="1286"/>
    <s v="Cust 7604"/>
    <n v="33.65"/>
    <x v="695"/>
    <d v="2025-05-13T00:00:00"/>
    <s v="Wendy"/>
    <n v="1889"/>
  </r>
  <r>
    <d v="2025-03-10T00:00:00"/>
    <x v="0"/>
    <x v="3"/>
    <n v="16"/>
    <n v="504"/>
    <x v="3"/>
    <s v="Wholesale"/>
    <n v="0"/>
    <x v="5"/>
    <x v="3"/>
    <n v="1"/>
    <x v="1287"/>
    <s v="Cust 9402"/>
    <n v="11.67"/>
    <x v="506"/>
    <d v="2025-03-13T00:00:00"/>
    <s v="Eric"/>
    <n v="8064"/>
  </r>
  <r>
    <d v="2025-06-01T00:00:00"/>
    <x v="0"/>
    <x v="2"/>
    <n v="7"/>
    <n v="122"/>
    <x v="0"/>
    <s v="Retail"/>
    <n v="0"/>
    <x v="3"/>
    <x v="2"/>
    <n v="0"/>
    <x v="1288"/>
    <s v="Cust 4398"/>
    <n v="30.21"/>
    <x v="216"/>
    <d v="2025-06-10T00:00:00"/>
    <s v="Eric"/>
    <n v="854"/>
  </r>
  <r>
    <d v="2025-05-19T00:00:00"/>
    <x v="4"/>
    <x v="3"/>
    <n v="7"/>
    <n v="338"/>
    <x v="0"/>
    <s v="Retail"/>
    <n v="0.15"/>
    <x v="1"/>
    <x v="0"/>
    <n v="0"/>
    <x v="1289"/>
    <s v="Cust 8770"/>
    <n v="5.82"/>
    <x v="460"/>
    <d v="2025-05-21T00:00:00"/>
    <s v="Wendy"/>
    <n v="2011"/>
  </r>
  <r>
    <d v="2023-02-08T00:00:00"/>
    <x v="0"/>
    <x v="5"/>
    <n v="4"/>
    <n v="225"/>
    <x v="3"/>
    <s v="Wholesale"/>
    <n v="0"/>
    <x v="2"/>
    <x v="3"/>
    <n v="0"/>
    <x v="1290"/>
    <s v="Cust 2148"/>
    <n v="43.86"/>
    <x v="162"/>
    <d v="2023-02-16T00:00:00"/>
    <s v="Eric"/>
    <n v="900"/>
  </r>
  <r>
    <d v="2025-04-24T00:00:00"/>
    <x v="3"/>
    <x v="2"/>
    <n v="16"/>
    <n v="510"/>
    <x v="2"/>
    <s v="Wholesale"/>
    <n v="0.1"/>
    <x v="3"/>
    <x v="4"/>
    <n v="0"/>
    <x v="1291"/>
    <s v="Cust 4107"/>
    <n v="41.78"/>
    <x v="696"/>
    <d v="2025-05-03T00:00:00"/>
    <s v="Cameron"/>
    <n v="7344"/>
  </r>
  <r>
    <d v="2024-09-01T00:00:00"/>
    <x v="2"/>
    <x v="5"/>
    <n v="14"/>
    <n v="298"/>
    <x v="0"/>
    <s v="Wholesale"/>
    <n v="0.1"/>
    <x v="4"/>
    <x v="3"/>
    <n v="0"/>
    <x v="1292"/>
    <s v="Cust 4450"/>
    <n v="31.44"/>
    <x v="404"/>
    <d v="2024-09-08T00:00:00"/>
    <s v="Ryan"/>
    <n v="3755"/>
  </r>
  <r>
    <d v="2024-11-07T00:00:00"/>
    <x v="3"/>
    <x v="6"/>
    <n v="13"/>
    <n v="365"/>
    <x v="2"/>
    <s v="Retail"/>
    <n v="0.05"/>
    <x v="4"/>
    <x v="0"/>
    <n v="0"/>
    <x v="1293"/>
    <s v="Cust 8233"/>
    <n v="13.97"/>
    <x v="697"/>
    <d v="2024-11-13T00:00:00"/>
    <s v="Cameron"/>
    <n v="4508"/>
  </r>
  <r>
    <d v="2024-11-29T00:00:00"/>
    <x v="0"/>
    <x v="3"/>
    <n v="1"/>
    <n v="139"/>
    <x v="2"/>
    <s v="Wholesale"/>
    <n v="0"/>
    <x v="3"/>
    <x v="4"/>
    <n v="1"/>
    <x v="1294"/>
    <s v="Cust 9012"/>
    <n v="35.92"/>
    <x v="682"/>
    <d v="2024-12-02T00:00:00"/>
    <s v="Eric"/>
    <n v="139"/>
  </r>
  <r>
    <d v="2023-04-10T00:00:00"/>
    <x v="4"/>
    <x v="3"/>
    <n v="6"/>
    <n v="544"/>
    <x v="2"/>
    <s v="Retail"/>
    <n v="0"/>
    <x v="5"/>
    <x v="4"/>
    <n v="1"/>
    <x v="1295"/>
    <s v="Cust 1496"/>
    <n v="13.19"/>
    <x v="154"/>
    <d v="2023-04-20T00:00:00"/>
    <s v="Wendy"/>
    <n v="3264"/>
  </r>
  <r>
    <d v="2024-01-10T00:00:00"/>
    <x v="2"/>
    <x v="6"/>
    <n v="19"/>
    <n v="220"/>
    <x v="1"/>
    <s v="Retail"/>
    <n v="0"/>
    <x v="1"/>
    <x v="4"/>
    <n v="0"/>
    <x v="1296"/>
    <s v="Cust 9365"/>
    <n v="15.38"/>
    <x v="560"/>
    <d v="2024-01-16T00:00:00"/>
    <s v="Ryan"/>
    <n v="4180"/>
  </r>
  <r>
    <d v="2025-05-17T00:00:00"/>
    <x v="1"/>
    <x v="1"/>
    <n v="6"/>
    <n v="94"/>
    <x v="2"/>
    <s v="Retail"/>
    <n v="0.05"/>
    <x v="1"/>
    <x v="4"/>
    <n v="1"/>
    <x v="1297"/>
    <s v="Cust 1392"/>
    <n v="49.26"/>
    <x v="347"/>
    <d v="2025-05-23T00:00:00"/>
    <s v="Sophie"/>
    <n v="536"/>
  </r>
  <r>
    <d v="2024-07-26T00:00:00"/>
    <x v="3"/>
    <x v="0"/>
    <n v="9"/>
    <n v="487"/>
    <x v="1"/>
    <s v="Retail"/>
    <n v="0.15"/>
    <x v="1"/>
    <x v="0"/>
    <n v="0"/>
    <x v="1298"/>
    <s v="Cust 3474"/>
    <n v="38.72"/>
    <x v="698"/>
    <d v="2024-07-30T00:00:00"/>
    <s v="Cameron"/>
    <n v="3726"/>
  </r>
  <r>
    <d v="2024-12-26T00:00:00"/>
    <x v="1"/>
    <x v="2"/>
    <n v="12"/>
    <n v="579"/>
    <x v="3"/>
    <s v="Retail"/>
    <n v="0.15"/>
    <x v="2"/>
    <x v="4"/>
    <n v="0"/>
    <x v="1299"/>
    <s v="Cust 2111"/>
    <n v="25.84"/>
    <x v="215"/>
    <d v="2025-01-03T00:00:00"/>
    <s v="Sophie"/>
    <n v="5906"/>
  </r>
  <r>
    <d v="2025-01-23T00:00:00"/>
    <x v="0"/>
    <x v="5"/>
    <n v="7"/>
    <n v="197"/>
    <x v="2"/>
    <s v="Retail"/>
    <n v="0"/>
    <x v="4"/>
    <x v="3"/>
    <n v="0"/>
    <x v="1300"/>
    <s v="Cust 9506"/>
    <n v="44.92"/>
    <x v="187"/>
    <d v="2025-01-31T00:00:00"/>
    <s v="Eric"/>
    <n v="1379"/>
  </r>
  <r>
    <d v="2024-03-25T00:00:00"/>
    <x v="1"/>
    <x v="1"/>
    <n v="7"/>
    <n v="446"/>
    <x v="0"/>
    <s v="Wholesale"/>
    <n v="0.1"/>
    <x v="1"/>
    <x v="3"/>
    <n v="0"/>
    <x v="1301"/>
    <s v="Cust 2341"/>
    <n v="47.23"/>
    <x v="699"/>
    <d v="2024-04-01T00:00:00"/>
    <s v="Sophie"/>
    <n v="2810"/>
  </r>
  <r>
    <d v="2025-03-04T00:00:00"/>
    <x v="3"/>
    <x v="5"/>
    <n v="11"/>
    <n v="447"/>
    <x v="3"/>
    <s v="Wholesale"/>
    <n v="0"/>
    <x v="1"/>
    <x v="1"/>
    <n v="0"/>
    <x v="1302"/>
    <s v="Cust 7035"/>
    <n v="36.72"/>
    <x v="155"/>
    <d v="2025-03-11T00:00:00"/>
    <s v="Cameron"/>
    <n v="4917"/>
  </r>
  <r>
    <d v="2023-10-20T00:00:00"/>
    <x v="1"/>
    <x v="2"/>
    <n v="14"/>
    <n v="275"/>
    <x v="0"/>
    <s v="Retail"/>
    <n v="0.1"/>
    <x v="3"/>
    <x v="0"/>
    <n v="1"/>
    <x v="1303"/>
    <s v="Cust 5935"/>
    <n v="32.799999999999997"/>
    <x v="700"/>
    <d v="2023-10-24T00:00:00"/>
    <s v="Sophie"/>
    <n v="3465"/>
  </r>
  <r>
    <d v="2024-09-19T00:00:00"/>
    <x v="3"/>
    <x v="2"/>
    <n v="2"/>
    <n v="28"/>
    <x v="0"/>
    <s v="Retail"/>
    <n v="0.15"/>
    <x v="2"/>
    <x v="2"/>
    <n v="0"/>
    <x v="1304"/>
    <s v="Cust 3291"/>
    <n v="21.73"/>
    <x v="701"/>
    <d v="2024-09-28T00:00:00"/>
    <s v="Cameron"/>
    <n v="48"/>
  </r>
  <r>
    <d v="2023-09-23T00:00:00"/>
    <x v="2"/>
    <x v="4"/>
    <n v="17"/>
    <n v="439"/>
    <x v="0"/>
    <s v="Retail"/>
    <n v="0"/>
    <x v="2"/>
    <x v="0"/>
    <n v="0"/>
    <x v="1305"/>
    <s v="Cust 5258"/>
    <n v="12.87"/>
    <x v="584"/>
    <d v="2023-09-26T00:00:00"/>
    <s v="Ryan"/>
    <n v="7463"/>
  </r>
  <r>
    <d v="2024-12-31T00:00:00"/>
    <x v="0"/>
    <x v="6"/>
    <n v="15"/>
    <n v="574"/>
    <x v="2"/>
    <s v="Retail"/>
    <n v="0"/>
    <x v="1"/>
    <x v="1"/>
    <n v="0"/>
    <x v="1306"/>
    <s v="Cust 4715"/>
    <n v="35.869999999999997"/>
    <x v="702"/>
    <d v="2025-01-02T00:00:00"/>
    <s v="Eric"/>
    <n v="8610"/>
  </r>
  <r>
    <d v="2024-01-23T00:00:00"/>
    <x v="2"/>
    <x v="2"/>
    <n v="19"/>
    <n v="360"/>
    <x v="2"/>
    <s v="Wholesale"/>
    <n v="0.05"/>
    <x v="0"/>
    <x v="3"/>
    <n v="0"/>
    <x v="1307"/>
    <s v="Cust 3106"/>
    <n v="33.19"/>
    <x v="145"/>
    <d v="2024-01-31T00:00:00"/>
    <s v="Ryan"/>
    <n v="6498"/>
  </r>
  <r>
    <d v="2023-06-13T00:00:00"/>
    <x v="0"/>
    <x v="0"/>
    <n v="7"/>
    <n v="535"/>
    <x v="2"/>
    <s v="Retail"/>
    <n v="0.1"/>
    <x v="2"/>
    <x v="3"/>
    <n v="0"/>
    <x v="1308"/>
    <s v="Cust 9606"/>
    <n v="10.44"/>
    <x v="343"/>
    <d v="2023-06-23T00:00:00"/>
    <s v="Eric"/>
    <n v="3370"/>
  </r>
  <r>
    <d v="2023-07-01T00:00:00"/>
    <x v="0"/>
    <x v="3"/>
    <n v="19"/>
    <n v="161"/>
    <x v="1"/>
    <s v="Wholesale"/>
    <n v="0"/>
    <x v="4"/>
    <x v="2"/>
    <n v="0"/>
    <x v="1309"/>
    <s v="Cust 9182"/>
    <n v="5.46"/>
    <x v="430"/>
    <d v="2023-07-06T00:00:00"/>
    <s v="Eric"/>
    <n v="3059"/>
  </r>
  <r>
    <d v="2025-03-22T00:00:00"/>
    <x v="1"/>
    <x v="0"/>
    <n v="11"/>
    <n v="30"/>
    <x v="3"/>
    <s v="Retail"/>
    <n v="0.15"/>
    <x v="3"/>
    <x v="4"/>
    <n v="1"/>
    <x v="1310"/>
    <s v="Cust 6299"/>
    <n v="34.96"/>
    <x v="61"/>
    <d v="2025-03-25T00:00:00"/>
    <s v="Sophie"/>
    <n v="280"/>
  </r>
  <r>
    <d v="2025-02-07T00:00:00"/>
    <x v="1"/>
    <x v="0"/>
    <n v="16"/>
    <n v="173"/>
    <x v="0"/>
    <s v="Wholesale"/>
    <n v="0.15"/>
    <x v="4"/>
    <x v="2"/>
    <n v="1"/>
    <x v="1311"/>
    <s v="Cust 9628"/>
    <n v="41.87"/>
    <x v="439"/>
    <d v="2025-02-15T00:00:00"/>
    <s v="Sophie"/>
    <n v="2353"/>
  </r>
  <r>
    <d v="2023-10-18T00:00:00"/>
    <x v="2"/>
    <x v="1"/>
    <n v="5"/>
    <n v="48"/>
    <x v="1"/>
    <s v="Wholesale"/>
    <n v="0"/>
    <x v="1"/>
    <x v="1"/>
    <n v="0"/>
    <x v="1312"/>
    <s v="Cust 3831"/>
    <n v="19.170000000000002"/>
    <x v="90"/>
    <d v="2023-10-26T00:00:00"/>
    <s v="Ryan"/>
    <n v="240"/>
  </r>
  <r>
    <d v="2024-01-02T00:00:00"/>
    <x v="3"/>
    <x v="2"/>
    <n v="7"/>
    <n v="56"/>
    <x v="2"/>
    <s v="Wholesale"/>
    <n v="0.1"/>
    <x v="1"/>
    <x v="0"/>
    <n v="0"/>
    <x v="1313"/>
    <s v="Cust 7955"/>
    <n v="38.979999999999997"/>
    <x v="78"/>
    <d v="2024-01-11T00:00:00"/>
    <s v="Cameron"/>
    <n v="353"/>
  </r>
  <r>
    <d v="2025-03-08T00:00:00"/>
    <x v="1"/>
    <x v="0"/>
    <n v="4"/>
    <n v="25"/>
    <x v="0"/>
    <s v="Wholesale"/>
    <n v="0.15"/>
    <x v="3"/>
    <x v="3"/>
    <n v="0"/>
    <x v="1314"/>
    <s v="Cust 3939"/>
    <n v="39.869999999999997"/>
    <x v="251"/>
    <d v="2025-03-17T00:00:00"/>
    <s v="Sophie"/>
    <n v="85"/>
  </r>
  <r>
    <d v="2023-07-03T00:00:00"/>
    <x v="4"/>
    <x v="2"/>
    <n v="2"/>
    <n v="505"/>
    <x v="3"/>
    <s v="Retail"/>
    <n v="0"/>
    <x v="3"/>
    <x v="3"/>
    <n v="0"/>
    <x v="1315"/>
    <s v="Cust 7916"/>
    <n v="25.54"/>
    <x v="318"/>
    <d v="2023-07-08T00:00:00"/>
    <s v="Wendy"/>
    <n v="1010"/>
  </r>
  <r>
    <d v="2023-11-15T00:00:00"/>
    <x v="2"/>
    <x v="5"/>
    <n v="17"/>
    <n v="276"/>
    <x v="0"/>
    <s v="Wholesale"/>
    <n v="0.1"/>
    <x v="5"/>
    <x v="1"/>
    <n v="0"/>
    <x v="1316"/>
    <s v="Cust 2477"/>
    <n v="15.43"/>
    <x v="703"/>
    <d v="2023-11-22T00:00:00"/>
    <s v="Ryan"/>
    <n v="4223"/>
  </r>
  <r>
    <d v="2024-02-10T00:00:00"/>
    <x v="4"/>
    <x v="2"/>
    <n v="9"/>
    <n v="131"/>
    <x v="2"/>
    <s v="Wholesale"/>
    <n v="0.1"/>
    <x v="0"/>
    <x v="4"/>
    <n v="0"/>
    <x v="1317"/>
    <s v="Cust 3781"/>
    <n v="37.14"/>
    <x v="672"/>
    <d v="2024-02-17T00:00:00"/>
    <s v="Wendy"/>
    <n v="1061"/>
  </r>
  <r>
    <d v="2025-04-09T00:00:00"/>
    <x v="4"/>
    <x v="4"/>
    <n v="12"/>
    <n v="313"/>
    <x v="2"/>
    <s v="Retail"/>
    <n v="0"/>
    <x v="0"/>
    <x v="1"/>
    <n v="0"/>
    <x v="1318"/>
    <s v="Cust 2641"/>
    <n v="18.46"/>
    <x v="320"/>
    <d v="2025-04-19T00:00:00"/>
    <s v="Wendy"/>
    <n v="3756"/>
  </r>
  <r>
    <d v="2023-09-09T00:00:00"/>
    <x v="4"/>
    <x v="5"/>
    <n v="18"/>
    <n v="223"/>
    <x v="2"/>
    <s v="Wholesale"/>
    <n v="0.05"/>
    <x v="1"/>
    <x v="1"/>
    <n v="0"/>
    <x v="1319"/>
    <s v="Cust 1969"/>
    <n v="12.91"/>
    <x v="507"/>
    <d v="2023-09-12T00:00:00"/>
    <s v="Wendy"/>
    <n v="3813"/>
  </r>
  <r>
    <d v="2023-03-19T00:00:00"/>
    <x v="0"/>
    <x v="1"/>
    <n v="13"/>
    <n v="374"/>
    <x v="3"/>
    <s v="Wholesale"/>
    <n v="0.05"/>
    <x v="4"/>
    <x v="3"/>
    <n v="0"/>
    <x v="1320"/>
    <s v="Cust 4494"/>
    <n v="26.32"/>
    <x v="127"/>
    <d v="2023-03-26T00:00:00"/>
    <s v="Eric"/>
    <n v="4619"/>
  </r>
  <r>
    <d v="2024-12-31T00:00:00"/>
    <x v="3"/>
    <x v="6"/>
    <n v="11"/>
    <n v="331"/>
    <x v="0"/>
    <s v="Wholesale"/>
    <n v="0.1"/>
    <x v="1"/>
    <x v="2"/>
    <n v="0"/>
    <x v="1321"/>
    <s v="Cust 8850"/>
    <n v="6.22"/>
    <x v="702"/>
    <d v="2025-01-02T00:00:00"/>
    <s v="Cameron"/>
    <n v="3277"/>
  </r>
  <r>
    <d v="2023-11-24T00:00:00"/>
    <x v="3"/>
    <x v="1"/>
    <n v="5"/>
    <n v="534"/>
    <x v="3"/>
    <s v="Wholesale"/>
    <n v="0"/>
    <x v="3"/>
    <x v="2"/>
    <n v="1"/>
    <x v="1322"/>
    <s v="Cust 3061"/>
    <n v="9.08"/>
    <x v="704"/>
    <d v="2023-11-26T00:00:00"/>
    <s v="Cameron"/>
    <n v="2670"/>
  </r>
  <r>
    <d v="2025-05-15T00:00:00"/>
    <x v="0"/>
    <x v="3"/>
    <n v="10"/>
    <n v="492"/>
    <x v="1"/>
    <s v="Retail"/>
    <n v="0"/>
    <x v="1"/>
    <x v="1"/>
    <n v="0"/>
    <x v="1323"/>
    <s v="Cust 4732"/>
    <n v="38.89"/>
    <x v="705"/>
    <d v="2025-05-22T00:00:00"/>
    <s v="Eric"/>
    <n v="4920"/>
  </r>
  <r>
    <d v="2025-04-06T00:00:00"/>
    <x v="1"/>
    <x v="5"/>
    <n v="9"/>
    <n v="544"/>
    <x v="3"/>
    <s v="Retail"/>
    <n v="0.15"/>
    <x v="4"/>
    <x v="3"/>
    <n v="0"/>
    <x v="1324"/>
    <s v="Cust 9889"/>
    <n v="7.54"/>
    <x v="575"/>
    <d v="2025-04-11T00:00:00"/>
    <s v="Sophie"/>
    <n v="4162"/>
  </r>
  <r>
    <d v="2024-02-06T00:00:00"/>
    <x v="1"/>
    <x v="2"/>
    <n v="17"/>
    <n v="142"/>
    <x v="3"/>
    <s v="Wholesale"/>
    <n v="0.1"/>
    <x v="5"/>
    <x v="4"/>
    <n v="1"/>
    <x v="1325"/>
    <s v="Cust 2165"/>
    <n v="9.98"/>
    <x v="706"/>
    <d v="2024-02-14T00:00:00"/>
    <s v="Sophie"/>
    <n v="2173"/>
  </r>
  <r>
    <d v="2025-05-14T00:00:00"/>
    <x v="2"/>
    <x v="0"/>
    <n v="12"/>
    <n v="503"/>
    <x v="3"/>
    <s v="Wholesale"/>
    <n v="0.1"/>
    <x v="1"/>
    <x v="2"/>
    <n v="0"/>
    <x v="1326"/>
    <s v="Cust 6121"/>
    <n v="6.49"/>
    <x v="707"/>
    <d v="2025-05-20T00:00:00"/>
    <s v="Ryan"/>
    <n v="5432"/>
  </r>
  <r>
    <d v="2023-01-13T00:00:00"/>
    <x v="0"/>
    <x v="5"/>
    <n v="10"/>
    <n v="155"/>
    <x v="3"/>
    <s v="Wholesale"/>
    <n v="0.05"/>
    <x v="2"/>
    <x v="1"/>
    <n v="0"/>
    <x v="1327"/>
    <s v="Cust 4071"/>
    <n v="26.49"/>
    <x v="322"/>
    <d v="2023-01-18T00:00:00"/>
    <s v="Eric"/>
    <n v="1472"/>
  </r>
  <r>
    <d v="2024-02-19T00:00:00"/>
    <x v="2"/>
    <x v="5"/>
    <n v="18"/>
    <n v="204"/>
    <x v="0"/>
    <s v="Wholesale"/>
    <n v="0"/>
    <x v="3"/>
    <x v="1"/>
    <n v="1"/>
    <x v="1328"/>
    <s v="Cust 5249"/>
    <n v="24.98"/>
    <x v="708"/>
    <d v="2024-02-28T00:00:00"/>
    <s v="Ryan"/>
    <n v="3672"/>
  </r>
  <r>
    <d v="2023-10-07T00:00:00"/>
    <x v="1"/>
    <x v="1"/>
    <n v="3"/>
    <n v="464"/>
    <x v="0"/>
    <s v="Wholesale"/>
    <n v="0.15"/>
    <x v="1"/>
    <x v="1"/>
    <n v="0"/>
    <x v="1329"/>
    <s v="Cust 4262"/>
    <n v="27.45"/>
    <x v="444"/>
    <d v="2023-10-12T00:00:00"/>
    <s v="Sophie"/>
    <n v="1183"/>
  </r>
  <r>
    <d v="2024-09-17T00:00:00"/>
    <x v="3"/>
    <x v="3"/>
    <n v="2"/>
    <n v="442"/>
    <x v="0"/>
    <s v="Retail"/>
    <n v="0.15"/>
    <x v="3"/>
    <x v="3"/>
    <n v="0"/>
    <x v="1330"/>
    <s v="Cust 9314"/>
    <n v="28.71"/>
    <x v="457"/>
    <d v="2024-09-19T00:00:00"/>
    <s v="Cameron"/>
    <n v="751"/>
  </r>
  <r>
    <d v="2023-05-07T00:00:00"/>
    <x v="2"/>
    <x v="1"/>
    <n v="7"/>
    <n v="83"/>
    <x v="1"/>
    <s v="Retail"/>
    <n v="0.05"/>
    <x v="0"/>
    <x v="3"/>
    <n v="1"/>
    <x v="1331"/>
    <s v="Cust 7703"/>
    <n v="17.03"/>
    <x v="709"/>
    <d v="2023-05-17T00:00:00"/>
    <s v="Ryan"/>
    <n v="552"/>
  </r>
  <r>
    <d v="2023-12-12T00:00:00"/>
    <x v="2"/>
    <x v="1"/>
    <n v="13"/>
    <n v="468"/>
    <x v="0"/>
    <s v="Retail"/>
    <n v="0.15"/>
    <x v="1"/>
    <x v="4"/>
    <n v="0"/>
    <x v="1332"/>
    <s v="Cust 8367"/>
    <n v="29.11"/>
    <x v="289"/>
    <d v="2023-12-21T00:00:00"/>
    <s v="Ryan"/>
    <n v="5171"/>
  </r>
  <r>
    <d v="2025-03-11T00:00:00"/>
    <x v="3"/>
    <x v="5"/>
    <n v="3"/>
    <n v="11"/>
    <x v="2"/>
    <s v="Retail"/>
    <n v="0.05"/>
    <x v="0"/>
    <x v="0"/>
    <n v="0"/>
    <x v="1333"/>
    <s v="Cust 7872"/>
    <n v="16.39"/>
    <x v="402"/>
    <d v="2025-03-14T00:00:00"/>
    <s v="Cameron"/>
    <n v="31"/>
  </r>
  <r>
    <d v="2024-03-29T00:00:00"/>
    <x v="0"/>
    <x v="3"/>
    <n v="1"/>
    <n v="378"/>
    <x v="1"/>
    <s v="Retail"/>
    <n v="0.05"/>
    <x v="0"/>
    <x v="4"/>
    <n v="0"/>
    <x v="1334"/>
    <s v="Cust 4732"/>
    <n v="7.59"/>
    <x v="604"/>
    <d v="2024-04-07T00:00:00"/>
    <s v="Eric"/>
    <n v="359"/>
  </r>
  <r>
    <d v="2024-07-28T00:00:00"/>
    <x v="4"/>
    <x v="5"/>
    <n v="6"/>
    <n v="61"/>
    <x v="3"/>
    <s v="Wholesale"/>
    <n v="0"/>
    <x v="5"/>
    <x v="3"/>
    <n v="1"/>
    <x v="1335"/>
    <s v="Cust 1007"/>
    <n v="49.09"/>
    <x v="710"/>
    <d v="2024-08-05T00:00:00"/>
    <s v="Wendy"/>
    <n v="366"/>
  </r>
  <r>
    <d v="2024-07-11T00:00:00"/>
    <x v="1"/>
    <x v="5"/>
    <n v="14"/>
    <n v="98"/>
    <x v="1"/>
    <s v="Wholesale"/>
    <n v="0.1"/>
    <x v="1"/>
    <x v="3"/>
    <n v="1"/>
    <x v="1336"/>
    <s v="Cust 1946"/>
    <n v="10.34"/>
    <x v="156"/>
    <d v="2024-07-21T00:00:00"/>
    <s v="Sophie"/>
    <n v="1235"/>
  </r>
  <r>
    <d v="2024-07-05T00:00:00"/>
    <x v="4"/>
    <x v="0"/>
    <n v="16"/>
    <n v="124"/>
    <x v="1"/>
    <s v="Wholesale"/>
    <n v="0.15"/>
    <x v="1"/>
    <x v="1"/>
    <n v="1"/>
    <x v="1337"/>
    <s v="Cust 6347"/>
    <n v="18.02"/>
    <x v="711"/>
    <d v="2024-07-14T00:00:00"/>
    <s v="Wendy"/>
    <n v="1686"/>
  </r>
  <r>
    <d v="2024-03-19T00:00:00"/>
    <x v="0"/>
    <x v="0"/>
    <n v="16"/>
    <n v="90"/>
    <x v="2"/>
    <s v="Wholesale"/>
    <n v="0.05"/>
    <x v="4"/>
    <x v="0"/>
    <n v="0"/>
    <x v="1338"/>
    <s v="Cust 6499"/>
    <n v="25.25"/>
    <x v="422"/>
    <d v="2024-03-24T00:00:00"/>
    <s v="Eric"/>
    <n v="1368"/>
  </r>
  <r>
    <d v="2023-12-25T00:00:00"/>
    <x v="3"/>
    <x v="5"/>
    <n v="18"/>
    <n v="471"/>
    <x v="2"/>
    <s v="Wholesale"/>
    <n v="0.1"/>
    <x v="0"/>
    <x v="1"/>
    <n v="0"/>
    <x v="1339"/>
    <s v="Cust 1420"/>
    <n v="14.87"/>
    <x v="486"/>
    <d v="2023-12-29T00:00:00"/>
    <s v="Cameron"/>
    <n v="7630"/>
  </r>
  <r>
    <d v="2024-12-03T00:00:00"/>
    <x v="1"/>
    <x v="4"/>
    <n v="12"/>
    <n v="383"/>
    <x v="2"/>
    <s v="Retail"/>
    <n v="0"/>
    <x v="5"/>
    <x v="3"/>
    <n v="0"/>
    <x v="1340"/>
    <s v="Cust 6744"/>
    <n v="11.62"/>
    <x v="581"/>
    <d v="2024-12-05T00:00:00"/>
    <s v="Sophie"/>
    <n v="4596"/>
  </r>
  <r>
    <d v="2023-09-08T00:00:00"/>
    <x v="0"/>
    <x v="5"/>
    <n v="20"/>
    <n v="294"/>
    <x v="0"/>
    <s v="Retail"/>
    <n v="0.15"/>
    <x v="1"/>
    <x v="2"/>
    <n v="0"/>
    <x v="1341"/>
    <s v="Cust 5690"/>
    <n v="9.2899999999999991"/>
    <x v="247"/>
    <d v="2023-09-15T00:00:00"/>
    <s v="Eric"/>
    <n v="4998"/>
  </r>
  <r>
    <d v="2024-01-05T00:00:00"/>
    <x v="0"/>
    <x v="2"/>
    <n v="2"/>
    <n v="454"/>
    <x v="0"/>
    <s v="Wholesale"/>
    <n v="0"/>
    <x v="4"/>
    <x v="0"/>
    <n v="0"/>
    <x v="1342"/>
    <s v="Cust 1265"/>
    <n v="9.7799999999999994"/>
    <x v="52"/>
    <d v="2024-01-07T00:00:00"/>
    <s v="Eric"/>
    <n v="908"/>
  </r>
  <r>
    <d v="2023-08-03T00:00:00"/>
    <x v="1"/>
    <x v="3"/>
    <n v="5"/>
    <n v="164"/>
    <x v="3"/>
    <s v="Retail"/>
    <n v="0.05"/>
    <x v="2"/>
    <x v="4"/>
    <n v="0"/>
    <x v="1343"/>
    <s v="Cust 7676"/>
    <n v="28.9"/>
    <x v="712"/>
    <d v="2023-08-10T00:00:00"/>
    <s v="Sophie"/>
    <n v="779"/>
  </r>
  <r>
    <d v="2025-02-11T00:00:00"/>
    <x v="2"/>
    <x v="4"/>
    <n v="12"/>
    <n v="142"/>
    <x v="0"/>
    <s v="Wholesale"/>
    <n v="0"/>
    <x v="2"/>
    <x v="2"/>
    <n v="0"/>
    <x v="1344"/>
    <s v="Cust 4442"/>
    <n v="11.72"/>
    <x v="668"/>
    <d v="2025-02-21T00:00:00"/>
    <s v="Ryan"/>
    <n v="1704"/>
  </r>
  <r>
    <d v="2023-06-17T00:00:00"/>
    <x v="1"/>
    <x v="3"/>
    <n v="6"/>
    <n v="332"/>
    <x v="0"/>
    <s v="Wholesale"/>
    <n v="0.1"/>
    <x v="5"/>
    <x v="0"/>
    <n v="0"/>
    <x v="1345"/>
    <s v="Cust 2975"/>
    <n v="21.95"/>
    <x v="357"/>
    <d v="2023-06-21T00:00:00"/>
    <s v="Sophie"/>
    <n v="1793"/>
  </r>
  <r>
    <d v="2024-02-05T00:00:00"/>
    <x v="3"/>
    <x v="4"/>
    <n v="14"/>
    <n v="464"/>
    <x v="3"/>
    <s v="Retail"/>
    <n v="0.15"/>
    <x v="4"/>
    <x v="1"/>
    <n v="0"/>
    <x v="1346"/>
    <s v="Cust 7832"/>
    <n v="29.19"/>
    <x v="713"/>
    <d v="2024-02-14T00:00:00"/>
    <s v="Cameron"/>
    <n v="5522"/>
  </r>
  <r>
    <d v="2024-03-17T00:00:00"/>
    <x v="1"/>
    <x v="2"/>
    <n v="10"/>
    <n v="68"/>
    <x v="1"/>
    <s v="Wholesale"/>
    <n v="0.15"/>
    <x v="4"/>
    <x v="2"/>
    <n v="0"/>
    <x v="1347"/>
    <s v="Cust 7753"/>
    <n v="24.33"/>
    <x v="138"/>
    <d v="2024-03-27T00:00:00"/>
    <s v="Sophie"/>
    <n v="578"/>
  </r>
  <r>
    <d v="2024-02-03T00:00:00"/>
    <x v="3"/>
    <x v="0"/>
    <n v="8"/>
    <n v="27"/>
    <x v="2"/>
    <s v="Wholesale"/>
    <n v="0.05"/>
    <x v="0"/>
    <x v="0"/>
    <n v="1"/>
    <x v="1348"/>
    <s v="Cust 8639"/>
    <n v="42.65"/>
    <x v="490"/>
    <d v="2024-02-09T00:00:00"/>
    <s v="Cameron"/>
    <n v="205"/>
  </r>
  <r>
    <d v="2023-03-31T00:00:00"/>
    <x v="2"/>
    <x v="5"/>
    <n v="9"/>
    <n v="79"/>
    <x v="3"/>
    <s v="Retail"/>
    <n v="0.1"/>
    <x v="1"/>
    <x v="0"/>
    <n v="0"/>
    <x v="1349"/>
    <s v="Cust 9878"/>
    <n v="9.2899999999999991"/>
    <x v="714"/>
    <d v="2023-04-10T00:00:00"/>
    <s v="Ryan"/>
    <n v="640"/>
  </r>
  <r>
    <d v="2023-08-18T00:00:00"/>
    <x v="4"/>
    <x v="5"/>
    <n v="16"/>
    <n v="175"/>
    <x v="0"/>
    <s v="Wholesale"/>
    <n v="0.15"/>
    <x v="2"/>
    <x v="2"/>
    <n v="0"/>
    <x v="1350"/>
    <s v="Cust 4205"/>
    <n v="45.99"/>
    <x v="715"/>
    <d v="2023-08-22T00:00:00"/>
    <s v="Wendy"/>
    <n v="2380"/>
  </r>
  <r>
    <d v="2023-09-10T00:00:00"/>
    <x v="3"/>
    <x v="6"/>
    <n v="4"/>
    <n v="306"/>
    <x v="2"/>
    <s v="Wholesale"/>
    <n v="0.05"/>
    <x v="3"/>
    <x v="1"/>
    <n v="1"/>
    <x v="1351"/>
    <s v="Cust 4009"/>
    <n v="32.75"/>
    <x v="354"/>
    <d v="2023-09-13T00:00:00"/>
    <s v="Cameron"/>
    <n v="1163"/>
  </r>
  <r>
    <d v="2024-01-29T00:00:00"/>
    <x v="1"/>
    <x v="5"/>
    <n v="12"/>
    <n v="164"/>
    <x v="2"/>
    <s v="Retail"/>
    <n v="0"/>
    <x v="5"/>
    <x v="2"/>
    <n v="0"/>
    <x v="1352"/>
    <s v="Cust 6499"/>
    <n v="21.46"/>
    <x v="282"/>
    <d v="2024-02-03T00:00:00"/>
    <s v="Sophie"/>
    <n v="1968"/>
  </r>
  <r>
    <d v="2024-03-21T00:00:00"/>
    <x v="2"/>
    <x v="5"/>
    <n v="20"/>
    <n v="336"/>
    <x v="2"/>
    <s v="Retail"/>
    <n v="0"/>
    <x v="0"/>
    <x v="1"/>
    <n v="0"/>
    <x v="1353"/>
    <s v="Cust 4389"/>
    <n v="25.02"/>
    <x v="58"/>
    <d v="2024-03-30T00:00:00"/>
    <s v="Ryan"/>
    <n v="6720"/>
  </r>
  <r>
    <d v="2024-08-03T00:00:00"/>
    <x v="4"/>
    <x v="5"/>
    <n v="7"/>
    <n v="180"/>
    <x v="3"/>
    <s v="Retail"/>
    <n v="0.1"/>
    <x v="4"/>
    <x v="1"/>
    <n v="0"/>
    <x v="1354"/>
    <s v="Cust 2008"/>
    <n v="36.79"/>
    <x v="716"/>
    <d v="2024-08-05T00:00:00"/>
    <s v="Wendy"/>
    <n v="1134"/>
  </r>
  <r>
    <d v="2025-05-05T00:00:00"/>
    <x v="2"/>
    <x v="4"/>
    <n v="1"/>
    <n v="22"/>
    <x v="2"/>
    <s v="Retail"/>
    <n v="0"/>
    <x v="1"/>
    <x v="4"/>
    <n v="0"/>
    <x v="1355"/>
    <s v="Cust 6509"/>
    <n v="7.35"/>
    <x v="500"/>
    <d v="2025-05-14T00:00:00"/>
    <s v="Ryan"/>
    <n v="22"/>
  </r>
  <r>
    <d v="2023-02-08T00:00:00"/>
    <x v="4"/>
    <x v="5"/>
    <n v="13"/>
    <n v="149"/>
    <x v="2"/>
    <s v="Retail"/>
    <n v="0.1"/>
    <x v="0"/>
    <x v="4"/>
    <n v="1"/>
    <x v="1356"/>
    <s v="Cust 4270"/>
    <n v="20.9"/>
    <x v="162"/>
    <d v="2023-02-16T00:00:00"/>
    <s v="Wendy"/>
    <n v="1743"/>
  </r>
  <r>
    <d v="2023-05-26T00:00:00"/>
    <x v="3"/>
    <x v="3"/>
    <n v="7"/>
    <n v="221"/>
    <x v="1"/>
    <s v="Wholesale"/>
    <n v="0.15"/>
    <x v="5"/>
    <x v="1"/>
    <n v="0"/>
    <x v="1357"/>
    <s v="Cust 4414"/>
    <n v="15.25"/>
    <x v="717"/>
    <d v="2023-06-05T00:00:00"/>
    <s v="Cameron"/>
    <n v="1315"/>
  </r>
  <r>
    <d v="2024-07-15T00:00:00"/>
    <x v="0"/>
    <x v="3"/>
    <n v="1"/>
    <n v="364"/>
    <x v="1"/>
    <s v="Retail"/>
    <n v="0.1"/>
    <x v="1"/>
    <x v="3"/>
    <n v="0"/>
    <x v="1358"/>
    <s v="Cust 6409"/>
    <n v="8.91"/>
    <x v="236"/>
    <d v="2024-07-22T00:00:00"/>
    <s v="Eric"/>
    <n v="328"/>
  </r>
  <r>
    <d v="2024-12-18T00:00:00"/>
    <x v="2"/>
    <x v="4"/>
    <n v="9"/>
    <n v="306"/>
    <x v="2"/>
    <s v="Wholesale"/>
    <n v="0"/>
    <x v="5"/>
    <x v="0"/>
    <n v="0"/>
    <x v="1359"/>
    <s v="Cust 1621"/>
    <n v="15.81"/>
    <x v="227"/>
    <d v="2024-12-27T00:00:00"/>
    <s v="Ryan"/>
    <n v="2754"/>
  </r>
  <r>
    <d v="2024-09-29T00:00:00"/>
    <x v="2"/>
    <x v="5"/>
    <n v="18"/>
    <n v="589"/>
    <x v="0"/>
    <s v="Wholesale"/>
    <n v="0.1"/>
    <x v="4"/>
    <x v="4"/>
    <n v="0"/>
    <x v="1360"/>
    <s v="Cust 6790"/>
    <n v="37.78"/>
    <x v="385"/>
    <d v="2024-10-08T00:00:00"/>
    <s v="Ryan"/>
    <n v="9542"/>
  </r>
  <r>
    <d v="2024-10-25T00:00:00"/>
    <x v="1"/>
    <x v="2"/>
    <n v="16"/>
    <n v="249"/>
    <x v="2"/>
    <s v="Wholesale"/>
    <n v="0.1"/>
    <x v="1"/>
    <x v="4"/>
    <n v="0"/>
    <x v="1361"/>
    <s v="Cust 4045"/>
    <n v="20.92"/>
    <x v="718"/>
    <d v="2024-11-01T00:00:00"/>
    <s v="Sophie"/>
    <n v="3586"/>
  </r>
  <r>
    <d v="2025-01-06T00:00:00"/>
    <x v="2"/>
    <x v="4"/>
    <n v="20"/>
    <n v="440"/>
    <x v="2"/>
    <s v="Retail"/>
    <n v="0.05"/>
    <x v="1"/>
    <x v="3"/>
    <n v="1"/>
    <x v="1362"/>
    <s v="Cust 1258"/>
    <n v="6.17"/>
    <x v="428"/>
    <d v="2025-01-16T00:00:00"/>
    <s v="Ryan"/>
    <n v="8360"/>
  </r>
  <r>
    <d v="2023-11-19T00:00:00"/>
    <x v="3"/>
    <x v="5"/>
    <n v="3"/>
    <n v="101"/>
    <x v="1"/>
    <s v="Wholesale"/>
    <n v="0"/>
    <x v="3"/>
    <x v="3"/>
    <n v="0"/>
    <x v="1363"/>
    <s v="Cust 8051"/>
    <n v="23.15"/>
    <x v="86"/>
    <d v="2023-11-21T00:00:00"/>
    <s v="Cameron"/>
    <n v="303"/>
  </r>
  <r>
    <d v="2024-04-11T00:00:00"/>
    <x v="1"/>
    <x v="1"/>
    <n v="17"/>
    <n v="312"/>
    <x v="1"/>
    <s v="Retail"/>
    <n v="0.05"/>
    <x v="0"/>
    <x v="0"/>
    <n v="1"/>
    <x v="1364"/>
    <s v="Cust 9371"/>
    <n v="29.9"/>
    <x v="610"/>
    <d v="2024-04-17T00:00:00"/>
    <s v="Sophie"/>
    <n v="5039"/>
  </r>
  <r>
    <d v="2024-03-30T00:00:00"/>
    <x v="1"/>
    <x v="4"/>
    <n v="2"/>
    <n v="441"/>
    <x v="0"/>
    <s v="Retail"/>
    <n v="0.15"/>
    <x v="5"/>
    <x v="4"/>
    <n v="1"/>
    <x v="1365"/>
    <s v="Cust 9881"/>
    <n v="23.07"/>
    <x v="719"/>
    <d v="2024-04-06T00:00:00"/>
    <s v="Sophie"/>
    <n v="750"/>
  </r>
  <r>
    <d v="2024-11-25T00:00:00"/>
    <x v="2"/>
    <x v="3"/>
    <n v="20"/>
    <n v="287"/>
    <x v="3"/>
    <s v="Retail"/>
    <n v="0.1"/>
    <x v="3"/>
    <x v="3"/>
    <n v="0"/>
    <x v="1366"/>
    <s v="Cust 2153"/>
    <n v="15.54"/>
    <x v="681"/>
    <d v="2024-11-29T00:00:00"/>
    <s v="Ryan"/>
    <n v="5166"/>
  </r>
  <r>
    <d v="2025-01-06T00:00:00"/>
    <x v="2"/>
    <x v="6"/>
    <n v="13"/>
    <n v="484"/>
    <x v="1"/>
    <s v="Retail"/>
    <n v="0.05"/>
    <x v="3"/>
    <x v="4"/>
    <n v="0"/>
    <x v="1367"/>
    <s v="Cust 9189"/>
    <n v="18.22"/>
    <x v="428"/>
    <d v="2025-01-15T00:00:00"/>
    <s v="Ryan"/>
    <n v="5977"/>
  </r>
  <r>
    <d v="2023-04-15T00:00:00"/>
    <x v="4"/>
    <x v="5"/>
    <n v="8"/>
    <n v="304"/>
    <x v="0"/>
    <s v="Wholesale"/>
    <n v="0.05"/>
    <x v="3"/>
    <x v="3"/>
    <n v="0"/>
    <x v="1368"/>
    <s v="Cust 8802"/>
    <n v="41.73"/>
    <x v="180"/>
    <d v="2023-04-18T00:00:00"/>
    <s v="Wendy"/>
    <n v="2310"/>
  </r>
  <r>
    <d v="2024-02-07T00:00:00"/>
    <x v="0"/>
    <x v="6"/>
    <n v="10"/>
    <n v="452"/>
    <x v="1"/>
    <s v="Retail"/>
    <n v="0.1"/>
    <x v="0"/>
    <x v="4"/>
    <n v="0"/>
    <x v="1369"/>
    <s v="Cust 8707"/>
    <n v="15.87"/>
    <x v="451"/>
    <d v="2024-02-17T00:00:00"/>
    <s v="Eric"/>
    <n v="4068"/>
  </r>
  <r>
    <d v="2023-06-02T00:00:00"/>
    <x v="0"/>
    <x v="6"/>
    <n v="4"/>
    <n v="248"/>
    <x v="0"/>
    <s v="Retail"/>
    <n v="0.1"/>
    <x v="4"/>
    <x v="2"/>
    <n v="1"/>
    <x v="1370"/>
    <s v="Cust 5638"/>
    <n v="45.11"/>
    <x v="720"/>
    <d v="2023-06-05T00:00:00"/>
    <s v="Eric"/>
    <n v="893"/>
  </r>
  <r>
    <d v="2023-08-24T00:00:00"/>
    <x v="0"/>
    <x v="0"/>
    <n v="4"/>
    <n v="520"/>
    <x v="1"/>
    <s v="Retail"/>
    <n v="0"/>
    <x v="0"/>
    <x v="2"/>
    <n v="0"/>
    <x v="1371"/>
    <s v="Cust 6036"/>
    <n v="18.25"/>
    <x v="648"/>
    <d v="2023-09-02T00:00:00"/>
    <s v="Eric"/>
    <n v="2080"/>
  </r>
  <r>
    <d v="2024-12-06T00:00:00"/>
    <x v="1"/>
    <x v="3"/>
    <n v="11"/>
    <n v="571"/>
    <x v="1"/>
    <s v="Retail"/>
    <n v="0"/>
    <x v="2"/>
    <x v="1"/>
    <n v="0"/>
    <x v="1372"/>
    <s v="Cust 5504"/>
    <n v="12.6"/>
    <x v="721"/>
    <d v="2024-12-11T00:00:00"/>
    <s v="Sophie"/>
    <n v="6281"/>
  </r>
  <r>
    <d v="2023-12-08T00:00:00"/>
    <x v="0"/>
    <x v="5"/>
    <n v="11"/>
    <n v="66"/>
    <x v="3"/>
    <s v="Retail"/>
    <n v="0.1"/>
    <x v="4"/>
    <x v="3"/>
    <n v="1"/>
    <x v="1373"/>
    <s v="Cust 1161"/>
    <n v="30.43"/>
    <x v="437"/>
    <d v="2023-12-14T00:00:00"/>
    <s v="Eric"/>
    <n v="653"/>
  </r>
  <r>
    <d v="2023-05-12T00:00:00"/>
    <x v="1"/>
    <x v="5"/>
    <n v="4"/>
    <n v="397"/>
    <x v="1"/>
    <s v="Wholesale"/>
    <n v="0"/>
    <x v="2"/>
    <x v="4"/>
    <n v="0"/>
    <x v="1374"/>
    <s v="Cust 5420"/>
    <n v="23.25"/>
    <x v="551"/>
    <d v="2023-05-20T00:00:00"/>
    <s v="Sophie"/>
    <n v="1588"/>
  </r>
  <r>
    <d v="2025-04-24T00:00:00"/>
    <x v="4"/>
    <x v="0"/>
    <n v="10"/>
    <n v="169"/>
    <x v="0"/>
    <s v="Retail"/>
    <n v="0.05"/>
    <x v="1"/>
    <x v="2"/>
    <n v="0"/>
    <x v="1375"/>
    <s v="Cust 7745"/>
    <n v="44.91"/>
    <x v="696"/>
    <d v="2025-04-27T00:00:00"/>
    <s v="Wendy"/>
    <n v="1606"/>
  </r>
  <r>
    <d v="2023-04-23T00:00:00"/>
    <x v="3"/>
    <x v="5"/>
    <n v="9"/>
    <n v="340"/>
    <x v="3"/>
    <s v="Retail"/>
    <n v="0.05"/>
    <x v="3"/>
    <x v="3"/>
    <n v="1"/>
    <x v="1376"/>
    <s v="Cust 4365"/>
    <n v="36.68"/>
    <x v="134"/>
    <d v="2023-05-03T00:00:00"/>
    <s v="Cameron"/>
    <n v="2907"/>
  </r>
  <r>
    <d v="2023-01-18T00:00:00"/>
    <x v="2"/>
    <x v="4"/>
    <n v="1"/>
    <n v="120"/>
    <x v="3"/>
    <s v="Retail"/>
    <n v="0.05"/>
    <x v="3"/>
    <x v="0"/>
    <n v="0"/>
    <x v="1377"/>
    <s v="Cust 3291"/>
    <n v="44.99"/>
    <x v="722"/>
    <d v="2023-01-21T00:00:00"/>
    <s v="Ryan"/>
    <n v="114"/>
  </r>
  <r>
    <d v="2025-05-11T00:00:00"/>
    <x v="2"/>
    <x v="1"/>
    <n v="13"/>
    <n v="169"/>
    <x v="0"/>
    <s v="Wholesale"/>
    <n v="0.15"/>
    <x v="4"/>
    <x v="2"/>
    <n v="0"/>
    <x v="1378"/>
    <s v="Cust 9020"/>
    <n v="6.81"/>
    <x v="15"/>
    <d v="2025-05-21T00:00:00"/>
    <s v="Ryan"/>
    <n v="1867"/>
  </r>
  <r>
    <d v="2024-12-23T00:00:00"/>
    <x v="4"/>
    <x v="5"/>
    <n v="10"/>
    <n v="171"/>
    <x v="1"/>
    <s v="Wholesale"/>
    <n v="0.05"/>
    <x v="2"/>
    <x v="0"/>
    <n v="0"/>
    <x v="1379"/>
    <s v="Cust 2667"/>
    <n v="29.18"/>
    <x v="473"/>
    <d v="2025-01-02T00:00:00"/>
    <s v="Wendy"/>
    <n v="1624"/>
  </r>
  <r>
    <d v="2023-08-20T00:00:00"/>
    <x v="4"/>
    <x v="2"/>
    <n v="9"/>
    <n v="324"/>
    <x v="1"/>
    <s v="Wholesale"/>
    <n v="0.15"/>
    <x v="3"/>
    <x v="3"/>
    <n v="0"/>
    <x v="1380"/>
    <s v="Cust 6158"/>
    <n v="6.36"/>
    <x v="652"/>
    <d v="2023-08-28T00:00:00"/>
    <s v="Wendy"/>
    <n v="2479"/>
  </r>
  <r>
    <d v="2025-03-18T00:00:00"/>
    <x v="3"/>
    <x v="3"/>
    <n v="4"/>
    <n v="482"/>
    <x v="0"/>
    <s v="Wholesale"/>
    <n v="0"/>
    <x v="5"/>
    <x v="0"/>
    <n v="0"/>
    <x v="1381"/>
    <s v="Cust 7404"/>
    <n v="21.92"/>
    <x v="213"/>
    <d v="2025-03-23T00:00:00"/>
    <s v="Cameron"/>
    <n v="1928"/>
  </r>
  <r>
    <d v="2024-01-16T00:00:00"/>
    <x v="3"/>
    <x v="1"/>
    <n v="4"/>
    <n v="78"/>
    <x v="1"/>
    <s v="Retail"/>
    <n v="0"/>
    <x v="3"/>
    <x v="2"/>
    <n v="0"/>
    <x v="1382"/>
    <s v="Cust 8572"/>
    <n v="14.03"/>
    <x v="436"/>
    <d v="2024-01-24T00:00:00"/>
    <s v="Cameron"/>
    <n v="312"/>
  </r>
  <r>
    <d v="2024-05-29T00:00:00"/>
    <x v="0"/>
    <x v="5"/>
    <n v="6"/>
    <n v="57"/>
    <x v="2"/>
    <s v="Wholesale"/>
    <n v="0.1"/>
    <x v="0"/>
    <x v="3"/>
    <n v="0"/>
    <x v="1383"/>
    <s v="Cust 1043"/>
    <n v="26.42"/>
    <x v="723"/>
    <d v="2024-06-08T00:00:00"/>
    <s v="Eric"/>
    <n v="308"/>
  </r>
  <r>
    <d v="2025-03-25T00:00:00"/>
    <x v="1"/>
    <x v="0"/>
    <n v="9"/>
    <n v="455"/>
    <x v="0"/>
    <s v="Wholesale"/>
    <n v="0.15"/>
    <x v="0"/>
    <x v="2"/>
    <n v="0"/>
    <x v="1384"/>
    <s v="Cust 1766"/>
    <n v="40.76"/>
    <x v="287"/>
    <d v="2025-03-27T00:00:00"/>
    <s v="Sophie"/>
    <n v="3481"/>
  </r>
  <r>
    <d v="2025-03-22T00:00:00"/>
    <x v="3"/>
    <x v="2"/>
    <n v="11"/>
    <n v="366"/>
    <x v="3"/>
    <s v="Wholesale"/>
    <n v="0.05"/>
    <x v="5"/>
    <x v="3"/>
    <n v="1"/>
    <x v="1385"/>
    <s v="Cust 4461"/>
    <n v="8.3699999999999992"/>
    <x v="61"/>
    <d v="2025-03-27T00:00:00"/>
    <s v="Cameron"/>
    <n v="3825"/>
  </r>
  <r>
    <d v="2024-08-17T00:00:00"/>
    <x v="0"/>
    <x v="1"/>
    <n v="7"/>
    <n v="107"/>
    <x v="2"/>
    <s v="Retail"/>
    <n v="0.05"/>
    <x v="4"/>
    <x v="4"/>
    <n v="1"/>
    <x v="1386"/>
    <s v="Cust 4390"/>
    <n v="26.12"/>
    <x v="157"/>
    <d v="2024-08-24T00:00:00"/>
    <s v="Eric"/>
    <n v="712"/>
  </r>
  <r>
    <d v="2024-06-02T00:00:00"/>
    <x v="1"/>
    <x v="6"/>
    <n v="2"/>
    <n v="251"/>
    <x v="0"/>
    <s v="Wholesale"/>
    <n v="0.1"/>
    <x v="0"/>
    <x v="0"/>
    <n v="0"/>
    <x v="1387"/>
    <s v="Cust 9451"/>
    <n v="18.8"/>
    <x v="403"/>
    <d v="2024-06-12T00:00:00"/>
    <s v="Sophie"/>
    <n v="452"/>
  </r>
  <r>
    <d v="2023-03-31T00:00:00"/>
    <x v="1"/>
    <x v="4"/>
    <n v="8"/>
    <n v="591"/>
    <x v="2"/>
    <s v="Retail"/>
    <n v="0.1"/>
    <x v="4"/>
    <x v="2"/>
    <n v="1"/>
    <x v="1388"/>
    <s v="Cust 5335"/>
    <n v="45.14"/>
    <x v="714"/>
    <d v="2023-04-10T00:00:00"/>
    <s v="Sophie"/>
    <n v="4255"/>
  </r>
  <r>
    <d v="2024-05-19T00:00:00"/>
    <x v="4"/>
    <x v="4"/>
    <n v="18"/>
    <n v="370"/>
    <x v="1"/>
    <s v="Wholesale"/>
    <n v="0.05"/>
    <x v="0"/>
    <x v="4"/>
    <n v="1"/>
    <x v="1389"/>
    <s v="Cust 3487"/>
    <n v="16.399999999999999"/>
    <x v="539"/>
    <d v="2024-05-23T00:00:00"/>
    <s v="Wendy"/>
    <n v="6327"/>
  </r>
  <r>
    <d v="2023-03-02T00:00:00"/>
    <x v="4"/>
    <x v="2"/>
    <n v="15"/>
    <n v="166"/>
    <x v="3"/>
    <s v="Wholesale"/>
    <n v="0.1"/>
    <x v="4"/>
    <x v="3"/>
    <n v="0"/>
    <x v="1390"/>
    <s v="Cust 7613"/>
    <n v="9.86"/>
    <x v="724"/>
    <d v="2023-03-05T00:00:00"/>
    <s v="Wendy"/>
    <n v="2241"/>
  </r>
  <r>
    <d v="2023-03-13T00:00:00"/>
    <x v="2"/>
    <x v="6"/>
    <n v="12"/>
    <n v="261"/>
    <x v="2"/>
    <s v="Wholesale"/>
    <n v="0.15"/>
    <x v="3"/>
    <x v="0"/>
    <n v="0"/>
    <x v="1391"/>
    <s v="Cust 9436"/>
    <n v="20.92"/>
    <x v="122"/>
    <d v="2023-03-22T00:00:00"/>
    <s v="Ryan"/>
    <n v="2662"/>
  </r>
  <r>
    <d v="2025-04-16T00:00:00"/>
    <x v="4"/>
    <x v="0"/>
    <n v="10"/>
    <n v="349"/>
    <x v="3"/>
    <s v="Wholesale"/>
    <n v="0.05"/>
    <x v="4"/>
    <x v="2"/>
    <n v="1"/>
    <x v="1392"/>
    <s v="Cust 2197"/>
    <n v="42.79"/>
    <x v="454"/>
    <d v="2025-04-18T00:00:00"/>
    <s v="Wendy"/>
    <n v="3316"/>
  </r>
  <r>
    <d v="2024-06-05T00:00:00"/>
    <x v="2"/>
    <x v="3"/>
    <n v="5"/>
    <n v="473"/>
    <x v="1"/>
    <s v="Retail"/>
    <n v="0"/>
    <x v="4"/>
    <x v="2"/>
    <n v="1"/>
    <x v="1393"/>
    <s v="Cust 5620"/>
    <n v="30.69"/>
    <x v="410"/>
    <d v="2024-06-15T00:00:00"/>
    <s v="Ryan"/>
    <n v="2365"/>
  </r>
  <r>
    <d v="2024-09-01T00:00:00"/>
    <x v="2"/>
    <x v="3"/>
    <n v="16"/>
    <n v="402"/>
    <x v="0"/>
    <s v="Retail"/>
    <n v="0"/>
    <x v="0"/>
    <x v="4"/>
    <n v="0"/>
    <x v="1394"/>
    <s v="Cust 4101"/>
    <n v="21.54"/>
    <x v="404"/>
    <d v="2024-09-05T00:00:00"/>
    <s v="Ryan"/>
    <n v="6432"/>
  </r>
  <r>
    <d v="2024-09-21T00:00:00"/>
    <x v="2"/>
    <x v="1"/>
    <n v="10"/>
    <n v="269"/>
    <x v="2"/>
    <s v="Retail"/>
    <n v="0"/>
    <x v="0"/>
    <x v="3"/>
    <n v="0"/>
    <x v="1395"/>
    <s v="Cust 8828"/>
    <n v="14.09"/>
    <x v="367"/>
    <d v="2024-09-30T00:00:00"/>
    <s v="Ryan"/>
    <n v="2690"/>
  </r>
  <r>
    <d v="2025-01-11T00:00:00"/>
    <x v="2"/>
    <x v="2"/>
    <n v="4"/>
    <n v="323"/>
    <x v="2"/>
    <s v="Retail"/>
    <n v="0.05"/>
    <x v="4"/>
    <x v="4"/>
    <n v="0"/>
    <x v="1396"/>
    <s v="Cust 3187"/>
    <n v="19.53"/>
    <x v="405"/>
    <d v="2025-01-16T00:00:00"/>
    <s v="Ryan"/>
    <n v="1227"/>
  </r>
  <r>
    <d v="2023-01-04T00:00:00"/>
    <x v="4"/>
    <x v="4"/>
    <n v="15"/>
    <n v="440"/>
    <x v="3"/>
    <s v="Retail"/>
    <n v="0.15"/>
    <x v="4"/>
    <x v="0"/>
    <n v="0"/>
    <x v="1397"/>
    <s v="Cust 1081"/>
    <n v="49.71"/>
    <x v="725"/>
    <d v="2023-01-08T00:00:00"/>
    <s v="Wendy"/>
    <n v="5610"/>
  </r>
  <r>
    <d v="2023-05-02T00:00:00"/>
    <x v="4"/>
    <x v="4"/>
    <n v="16"/>
    <n v="483"/>
    <x v="2"/>
    <s v="Wholesale"/>
    <n v="0.05"/>
    <x v="1"/>
    <x v="3"/>
    <n v="1"/>
    <x v="1398"/>
    <s v="Cust 5049"/>
    <n v="37.659999999999997"/>
    <x v="210"/>
    <d v="2023-05-05T00:00:00"/>
    <s v="Wendy"/>
    <n v="7342"/>
  </r>
  <r>
    <d v="2023-07-09T00:00:00"/>
    <x v="0"/>
    <x v="1"/>
    <n v="13"/>
    <n v="27"/>
    <x v="0"/>
    <s v="Retail"/>
    <n v="0.15"/>
    <x v="2"/>
    <x v="4"/>
    <n v="0"/>
    <x v="1399"/>
    <s v="Cust 5409"/>
    <n v="22.95"/>
    <x v="657"/>
    <d v="2023-07-14T00:00:00"/>
    <s v="Eric"/>
    <n v="298"/>
  </r>
  <r>
    <d v="2025-02-27T00:00:00"/>
    <x v="0"/>
    <x v="4"/>
    <n v="18"/>
    <n v="433"/>
    <x v="3"/>
    <s v="Retail"/>
    <n v="0.05"/>
    <x v="5"/>
    <x v="2"/>
    <n v="1"/>
    <x v="1400"/>
    <s v="Cust 2372"/>
    <n v="34.19"/>
    <x v="370"/>
    <d v="2025-03-04T00:00:00"/>
    <s v="Eric"/>
    <n v="7404"/>
  </r>
  <r>
    <d v="2024-09-23T00:00:00"/>
    <x v="4"/>
    <x v="6"/>
    <n v="3"/>
    <n v="361"/>
    <x v="0"/>
    <s v="Wholesale"/>
    <n v="0.15"/>
    <x v="4"/>
    <x v="3"/>
    <n v="0"/>
    <x v="1401"/>
    <s v="Cust 2741"/>
    <n v="35.61"/>
    <x v="726"/>
    <d v="2024-09-29T00:00:00"/>
    <s v="Wendy"/>
    <n v="921"/>
  </r>
  <r>
    <d v="2025-06-22T00:00:00"/>
    <x v="0"/>
    <x v="5"/>
    <n v="5"/>
    <n v="415"/>
    <x v="0"/>
    <s v="Retail"/>
    <n v="0.1"/>
    <x v="4"/>
    <x v="1"/>
    <n v="0"/>
    <x v="1402"/>
    <s v="Cust 2571"/>
    <n v="14.98"/>
    <x v="153"/>
    <d v="2025-07-01T00:00:00"/>
    <s v="Eric"/>
    <n v="1868"/>
  </r>
  <r>
    <d v="2025-01-19T00:00:00"/>
    <x v="3"/>
    <x v="5"/>
    <n v="4"/>
    <n v="68"/>
    <x v="2"/>
    <s v="Wholesale"/>
    <n v="0"/>
    <x v="5"/>
    <x v="0"/>
    <n v="0"/>
    <x v="1403"/>
    <s v="Cust 6301"/>
    <n v="18.72"/>
    <x v="423"/>
    <d v="2025-01-28T00:00:00"/>
    <s v="Cameron"/>
    <n v="272"/>
  </r>
  <r>
    <d v="2025-02-03T00:00:00"/>
    <x v="0"/>
    <x v="1"/>
    <n v="10"/>
    <n v="408"/>
    <x v="2"/>
    <s v="Retail"/>
    <n v="0.15"/>
    <x v="0"/>
    <x v="4"/>
    <n v="0"/>
    <x v="1404"/>
    <s v="Cust 7918"/>
    <n v="49.59"/>
    <x v="45"/>
    <d v="2025-02-08T00:00:00"/>
    <s v="Eric"/>
    <n v="3468"/>
  </r>
  <r>
    <d v="2023-11-11T00:00:00"/>
    <x v="0"/>
    <x v="5"/>
    <n v="15"/>
    <n v="275"/>
    <x v="3"/>
    <s v="Retail"/>
    <n v="0"/>
    <x v="0"/>
    <x v="4"/>
    <n v="1"/>
    <x v="1405"/>
    <s v="Cust 3456"/>
    <n v="19.37"/>
    <x v="203"/>
    <d v="2023-11-17T00:00:00"/>
    <s v="Eric"/>
    <n v="4125"/>
  </r>
  <r>
    <d v="2024-05-08T00:00:00"/>
    <x v="0"/>
    <x v="2"/>
    <n v="15"/>
    <n v="32"/>
    <x v="2"/>
    <s v="Wholesale"/>
    <n v="0.15"/>
    <x v="0"/>
    <x v="4"/>
    <n v="0"/>
    <x v="1406"/>
    <s v="Cust 8272"/>
    <n v="23.61"/>
    <x v="336"/>
    <d v="2024-05-10T00:00:00"/>
    <s v="Eric"/>
    <n v="408"/>
  </r>
  <r>
    <d v="2023-09-18T00:00:00"/>
    <x v="1"/>
    <x v="6"/>
    <n v="14"/>
    <n v="268"/>
    <x v="3"/>
    <s v="Retail"/>
    <n v="0"/>
    <x v="2"/>
    <x v="0"/>
    <n v="0"/>
    <x v="1407"/>
    <s v="Cust 7302"/>
    <n v="43.14"/>
    <x v="339"/>
    <d v="2023-09-27T00:00:00"/>
    <s v="Sophie"/>
    <n v="3752"/>
  </r>
  <r>
    <d v="2025-04-05T00:00:00"/>
    <x v="3"/>
    <x v="5"/>
    <n v="19"/>
    <n v="350"/>
    <x v="3"/>
    <s v="Retail"/>
    <n v="0.05"/>
    <x v="1"/>
    <x v="2"/>
    <n v="0"/>
    <x v="1408"/>
    <s v="Cust 6716"/>
    <n v="48.98"/>
    <x v="518"/>
    <d v="2025-04-13T00:00:00"/>
    <s v="Cameron"/>
    <n v="6318"/>
  </r>
  <r>
    <d v="2023-09-13T00:00:00"/>
    <x v="3"/>
    <x v="2"/>
    <n v="9"/>
    <n v="329"/>
    <x v="1"/>
    <s v="Retail"/>
    <n v="0.05"/>
    <x v="4"/>
    <x v="1"/>
    <n v="0"/>
    <x v="1409"/>
    <s v="Cust 5484"/>
    <n v="29.41"/>
    <x v="727"/>
    <d v="2023-09-15T00:00:00"/>
    <s v="Cameron"/>
    <n v="2813"/>
  </r>
  <r>
    <d v="2024-06-28T00:00:00"/>
    <x v="0"/>
    <x v="4"/>
    <n v="1"/>
    <n v="577"/>
    <x v="2"/>
    <s v="Wholesale"/>
    <n v="0.05"/>
    <x v="2"/>
    <x v="0"/>
    <n v="0"/>
    <x v="1410"/>
    <s v="Cust 4652"/>
    <n v="22.97"/>
    <x v="163"/>
    <d v="2024-07-06T00:00:00"/>
    <s v="Eric"/>
    <n v="548"/>
  </r>
  <r>
    <d v="2023-04-06T00:00:00"/>
    <x v="3"/>
    <x v="3"/>
    <n v="6"/>
    <n v="544"/>
    <x v="0"/>
    <s v="Wholesale"/>
    <n v="0.1"/>
    <x v="3"/>
    <x v="4"/>
    <n v="0"/>
    <x v="1411"/>
    <s v="Cust 1222"/>
    <n v="11.52"/>
    <x v="645"/>
    <d v="2023-04-08T00:00:00"/>
    <s v="Cameron"/>
    <n v="2938"/>
  </r>
  <r>
    <d v="2023-05-13T00:00:00"/>
    <x v="1"/>
    <x v="0"/>
    <n v="18"/>
    <n v="331"/>
    <x v="3"/>
    <s v="Retail"/>
    <n v="0.15"/>
    <x v="1"/>
    <x v="4"/>
    <n v="1"/>
    <x v="1412"/>
    <s v="Cust 3559"/>
    <n v="32.92"/>
    <x v="194"/>
    <d v="2023-05-18T00:00:00"/>
    <s v="Sophie"/>
    <n v="5064"/>
  </r>
  <r>
    <d v="2025-05-07T00:00:00"/>
    <x v="0"/>
    <x v="0"/>
    <n v="1"/>
    <n v="421"/>
    <x v="3"/>
    <s v="Retail"/>
    <n v="0.1"/>
    <x v="0"/>
    <x v="3"/>
    <n v="0"/>
    <x v="1413"/>
    <s v="Cust 1287"/>
    <n v="36.340000000000003"/>
    <x v="695"/>
    <d v="2025-05-15T00:00:00"/>
    <s v="Eric"/>
    <n v="379"/>
  </r>
  <r>
    <d v="2025-03-22T00:00:00"/>
    <x v="2"/>
    <x v="5"/>
    <n v="4"/>
    <n v="555"/>
    <x v="0"/>
    <s v="Retail"/>
    <n v="0.1"/>
    <x v="4"/>
    <x v="4"/>
    <n v="0"/>
    <x v="1414"/>
    <s v="Cust 5444"/>
    <n v="45.25"/>
    <x v="61"/>
    <d v="2025-03-27T00:00:00"/>
    <s v="Ryan"/>
    <n v="1998"/>
  </r>
  <r>
    <d v="2024-06-24T00:00:00"/>
    <x v="1"/>
    <x v="0"/>
    <n v="19"/>
    <n v="254"/>
    <x v="2"/>
    <s v="Wholesale"/>
    <n v="0"/>
    <x v="2"/>
    <x v="0"/>
    <n v="1"/>
    <x v="1415"/>
    <s v="Cust 4018"/>
    <n v="11.21"/>
    <x v="503"/>
    <d v="2024-07-02T00:00:00"/>
    <s v="Sophie"/>
    <n v="4826"/>
  </r>
  <r>
    <d v="2025-06-29T00:00:00"/>
    <x v="4"/>
    <x v="5"/>
    <n v="9"/>
    <n v="534"/>
    <x v="3"/>
    <s v="Retail"/>
    <n v="0.15"/>
    <x v="2"/>
    <x v="1"/>
    <n v="0"/>
    <x v="1416"/>
    <s v="Cust 6355"/>
    <n v="34.76"/>
    <x v="176"/>
    <d v="2025-07-03T00:00:00"/>
    <s v="Wendy"/>
    <n v="4085"/>
  </r>
  <r>
    <d v="2024-04-01T00:00:00"/>
    <x v="4"/>
    <x v="2"/>
    <n v="7"/>
    <n v="241"/>
    <x v="0"/>
    <s v="Wholesale"/>
    <n v="0.1"/>
    <x v="4"/>
    <x v="2"/>
    <n v="0"/>
    <x v="1417"/>
    <s v="Cust 6620"/>
    <n v="42.43"/>
    <x v="204"/>
    <d v="2024-04-10T00:00:00"/>
    <s v="Wendy"/>
    <n v="1518"/>
  </r>
  <r>
    <d v="2024-06-04T00:00:00"/>
    <x v="2"/>
    <x v="5"/>
    <n v="11"/>
    <n v="160"/>
    <x v="0"/>
    <s v="Wholesale"/>
    <n v="0.05"/>
    <x v="3"/>
    <x v="4"/>
    <n v="0"/>
    <x v="1418"/>
    <s v="Cust 4092"/>
    <n v="36.049999999999997"/>
    <x v="44"/>
    <d v="2024-06-14T00:00:00"/>
    <s v="Ryan"/>
    <n v="1672"/>
  </r>
  <r>
    <d v="2023-03-30T00:00:00"/>
    <x v="0"/>
    <x v="5"/>
    <n v="1"/>
    <n v="419"/>
    <x v="0"/>
    <s v="Wholesale"/>
    <n v="0.1"/>
    <x v="3"/>
    <x v="1"/>
    <n v="1"/>
    <x v="1419"/>
    <s v="Cust 4812"/>
    <n v="38.81"/>
    <x v="306"/>
    <d v="2023-04-06T00:00:00"/>
    <s v="Eric"/>
    <n v="377"/>
  </r>
  <r>
    <d v="2025-03-26T00:00:00"/>
    <x v="0"/>
    <x v="0"/>
    <n v="13"/>
    <n v="139"/>
    <x v="3"/>
    <s v="Wholesale"/>
    <n v="0.15"/>
    <x v="3"/>
    <x v="4"/>
    <n v="1"/>
    <x v="1420"/>
    <s v="Cust 8389"/>
    <n v="17.89"/>
    <x v="582"/>
    <d v="2025-03-28T00:00:00"/>
    <s v="Eric"/>
    <n v="1536"/>
  </r>
  <r>
    <d v="2023-08-22T00:00:00"/>
    <x v="4"/>
    <x v="4"/>
    <n v="8"/>
    <n v="461"/>
    <x v="0"/>
    <s v="Retail"/>
    <n v="0"/>
    <x v="1"/>
    <x v="0"/>
    <n v="0"/>
    <x v="1421"/>
    <s v="Cust 4529"/>
    <n v="13.62"/>
    <x v="530"/>
    <d v="2023-08-24T00:00:00"/>
    <s v="Wendy"/>
    <n v="3688"/>
  </r>
  <r>
    <d v="2024-04-16T00:00:00"/>
    <x v="1"/>
    <x v="1"/>
    <n v="6"/>
    <n v="524"/>
    <x v="3"/>
    <s v="Retail"/>
    <n v="0.15"/>
    <x v="2"/>
    <x v="4"/>
    <n v="0"/>
    <x v="1422"/>
    <s v="Cust 2365"/>
    <n v="31.04"/>
    <x v="683"/>
    <d v="2024-04-20T00:00:00"/>
    <s v="Sophie"/>
    <n v="2672"/>
  </r>
  <r>
    <d v="2025-05-11T00:00:00"/>
    <x v="3"/>
    <x v="3"/>
    <n v="16"/>
    <n v="305"/>
    <x v="1"/>
    <s v="Wholesale"/>
    <n v="0.1"/>
    <x v="1"/>
    <x v="3"/>
    <n v="0"/>
    <x v="1423"/>
    <s v="Cust 6361"/>
    <n v="33.369999999999997"/>
    <x v="15"/>
    <d v="2025-05-19T00:00:00"/>
    <s v="Cameron"/>
    <n v="4392"/>
  </r>
  <r>
    <d v="2023-12-11T00:00:00"/>
    <x v="2"/>
    <x v="6"/>
    <n v="16"/>
    <n v="439"/>
    <x v="2"/>
    <s v="Retail"/>
    <n v="0"/>
    <x v="1"/>
    <x v="0"/>
    <n v="0"/>
    <x v="1424"/>
    <s v="Cust 4228"/>
    <n v="6.53"/>
    <x v="464"/>
    <d v="2023-12-21T00:00:00"/>
    <s v="Ryan"/>
    <n v="7024"/>
  </r>
  <r>
    <d v="2023-01-16T00:00:00"/>
    <x v="2"/>
    <x v="6"/>
    <n v="10"/>
    <n v="194"/>
    <x v="3"/>
    <s v="Wholesale"/>
    <n v="0.1"/>
    <x v="1"/>
    <x v="1"/>
    <n v="0"/>
    <x v="1425"/>
    <s v="Cust 3940"/>
    <n v="41.3"/>
    <x v="375"/>
    <d v="2023-01-21T00:00:00"/>
    <s v="Ryan"/>
    <n v="1746"/>
  </r>
  <r>
    <d v="2023-05-10T00:00:00"/>
    <x v="0"/>
    <x v="1"/>
    <n v="18"/>
    <n v="580"/>
    <x v="1"/>
    <s v="Wholesale"/>
    <n v="0.05"/>
    <x v="5"/>
    <x v="0"/>
    <n v="0"/>
    <x v="1426"/>
    <s v="Cust 4392"/>
    <n v="37.81"/>
    <x v="2"/>
    <d v="2023-05-17T00:00:00"/>
    <s v="Eric"/>
    <n v="9918"/>
  </r>
  <r>
    <d v="2024-06-22T00:00:00"/>
    <x v="3"/>
    <x v="4"/>
    <n v="18"/>
    <n v="92"/>
    <x v="2"/>
    <s v="Retail"/>
    <n v="0.1"/>
    <x v="1"/>
    <x v="3"/>
    <n v="0"/>
    <x v="1427"/>
    <s v="Cust 4404"/>
    <n v="32.54"/>
    <x v="728"/>
    <d v="2024-06-29T00:00:00"/>
    <s v="Cameron"/>
    <n v="1490"/>
  </r>
  <r>
    <d v="2025-03-29T00:00:00"/>
    <x v="4"/>
    <x v="5"/>
    <n v="13"/>
    <n v="114"/>
    <x v="2"/>
    <s v="Wholesale"/>
    <n v="0.1"/>
    <x v="0"/>
    <x v="0"/>
    <n v="0"/>
    <x v="1428"/>
    <s v="Cust 2981"/>
    <n v="28.07"/>
    <x v="259"/>
    <d v="2025-04-07T00:00:00"/>
    <s v="Wendy"/>
    <n v="1334"/>
  </r>
  <r>
    <d v="2023-04-18T00:00:00"/>
    <x v="2"/>
    <x v="5"/>
    <n v="16"/>
    <n v="478"/>
    <x v="1"/>
    <s v="Wholesale"/>
    <n v="0"/>
    <x v="3"/>
    <x v="2"/>
    <n v="0"/>
    <x v="1429"/>
    <s v="Cust 3571"/>
    <n v="21.89"/>
    <x v="625"/>
    <d v="2023-04-23T00:00:00"/>
    <s v="Ryan"/>
    <n v="7648"/>
  </r>
  <r>
    <d v="2023-02-07T00:00:00"/>
    <x v="3"/>
    <x v="0"/>
    <n v="14"/>
    <n v="306"/>
    <x v="1"/>
    <s v="Retail"/>
    <n v="0.1"/>
    <x v="0"/>
    <x v="4"/>
    <n v="0"/>
    <x v="1430"/>
    <s v="Cust 2592"/>
    <n v="38.729999999999997"/>
    <x v="230"/>
    <d v="2023-02-09T00:00:00"/>
    <s v="Cameron"/>
    <n v="3856"/>
  </r>
  <r>
    <d v="2025-01-22T00:00:00"/>
    <x v="0"/>
    <x v="5"/>
    <n v="17"/>
    <n v="8"/>
    <x v="1"/>
    <s v="Retail"/>
    <n v="0.05"/>
    <x v="0"/>
    <x v="4"/>
    <n v="0"/>
    <x v="1431"/>
    <s v="Cust 6209"/>
    <n v="43.29"/>
    <x v="729"/>
    <d v="2025-01-25T00:00:00"/>
    <s v="Eric"/>
    <n v="129"/>
  </r>
  <r>
    <d v="2023-07-04T00:00:00"/>
    <x v="0"/>
    <x v="1"/>
    <n v="6"/>
    <n v="347"/>
    <x v="2"/>
    <s v="Retail"/>
    <n v="0.05"/>
    <x v="0"/>
    <x v="1"/>
    <n v="0"/>
    <x v="1432"/>
    <s v="Cust 6600"/>
    <n v="29.18"/>
    <x v="250"/>
    <d v="2023-07-12T00:00:00"/>
    <s v="Eric"/>
    <n v="1978"/>
  </r>
  <r>
    <d v="2023-07-31T00:00:00"/>
    <x v="3"/>
    <x v="2"/>
    <n v="14"/>
    <n v="223"/>
    <x v="0"/>
    <s v="Wholesale"/>
    <n v="0.1"/>
    <x v="1"/>
    <x v="2"/>
    <n v="0"/>
    <x v="1433"/>
    <s v="Cust 6899"/>
    <n v="12.88"/>
    <x v="65"/>
    <d v="2023-08-03T00:00:00"/>
    <s v="Cameron"/>
    <n v="2810"/>
  </r>
  <r>
    <d v="2023-04-20T00:00:00"/>
    <x v="2"/>
    <x v="2"/>
    <n v="6"/>
    <n v="529"/>
    <x v="3"/>
    <s v="Wholesale"/>
    <n v="0"/>
    <x v="0"/>
    <x v="3"/>
    <n v="0"/>
    <x v="1434"/>
    <s v="Cust 1563"/>
    <n v="5.13"/>
    <x v="730"/>
    <d v="2023-04-27T00:00:00"/>
    <s v="Ryan"/>
    <n v="3174"/>
  </r>
  <r>
    <d v="2024-10-08T00:00:00"/>
    <x v="3"/>
    <x v="5"/>
    <n v="11"/>
    <n v="97"/>
    <x v="3"/>
    <s v="Wholesale"/>
    <n v="0.1"/>
    <x v="3"/>
    <x v="3"/>
    <n v="0"/>
    <x v="1435"/>
    <s v="Cust 6733"/>
    <n v="10.61"/>
    <x v="485"/>
    <d v="2024-10-11T00:00:00"/>
    <s v="Cameron"/>
    <n v="960"/>
  </r>
  <r>
    <d v="2024-01-25T00:00:00"/>
    <x v="0"/>
    <x v="3"/>
    <n v="11"/>
    <n v="423"/>
    <x v="0"/>
    <s v="Retail"/>
    <n v="0.1"/>
    <x v="2"/>
    <x v="2"/>
    <n v="0"/>
    <x v="1436"/>
    <s v="Cust 7635"/>
    <n v="45.89"/>
    <x v="109"/>
    <d v="2024-01-27T00:00:00"/>
    <s v="Eric"/>
    <n v="4188"/>
  </r>
  <r>
    <d v="2024-12-16T00:00:00"/>
    <x v="1"/>
    <x v="4"/>
    <n v="4"/>
    <n v="557"/>
    <x v="2"/>
    <s v="Wholesale"/>
    <n v="0.05"/>
    <x v="2"/>
    <x v="2"/>
    <n v="0"/>
    <x v="1437"/>
    <s v="Cust 4354"/>
    <n v="32.159999999999997"/>
    <x v="284"/>
    <d v="2024-12-25T00:00:00"/>
    <s v="Sophie"/>
    <n v="2117"/>
  </r>
  <r>
    <d v="2024-10-24T00:00:00"/>
    <x v="3"/>
    <x v="6"/>
    <n v="9"/>
    <n v="460"/>
    <x v="0"/>
    <s v="Retail"/>
    <n v="0.1"/>
    <x v="5"/>
    <x v="1"/>
    <n v="1"/>
    <x v="1438"/>
    <s v="Cust 1462"/>
    <n v="22.24"/>
    <x v="408"/>
    <d v="2024-11-01T00:00:00"/>
    <s v="Cameron"/>
    <n v="3726"/>
  </r>
  <r>
    <d v="2023-11-16T00:00:00"/>
    <x v="4"/>
    <x v="4"/>
    <n v="8"/>
    <n v="493"/>
    <x v="1"/>
    <s v="Retail"/>
    <n v="0.1"/>
    <x v="1"/>
    <x v="4"/>
    <n v="1"/>
    <x v="1439"/>
    <s v="Cust 1376"/>
    <n v="12.86"/>
    <x v="346"/>
    <d v="2023-11-20T00:00:00"/>
    <s v="Wendy"/>
    <n v="3550"/>
  </r>
  <r>
    <d v="2024-03-31T00:00:00"/>
    <x v="1"/>
    <x v="0"/>
    <n v="13"/>
    <n v="429"/>
    <x v="3"/>
    <s v="Retail"/>
    <n v="0"/>
    <x v="5"/>
    <x v="4"/>
    <n v="0"/>
    <x v="1440"/>
    <s v="Cust 6542"/>
    <n v="23.89"/>
    <x v="199"/>
    <d v="2024-04-08T00:00:00"/>
    <s v="Sophie"/>
    <n v="5577"/>
  </r>
  <r>
    <d v="2023-02-13T00:00:00"/>
    <x v="0"/>
    <x v="0"/>
    <n v="7"/>
    <n v="242"/>
    <x v="2"/>
    <s v="Wholesale"/>
    <n v="0.05"/>
    <x v="0"/>
    <x v="3"/>
    <n v="0"/>
    <x v="1441"/>
    <s v="Cust 1186"/>
    <n v="47.19"/>
    <x v="278"/>
    <d v="2023-02-18T00:00:00"/>
    <s v="Eric"/>
    <n v="1609"/>
  </r>
  <r>
    <d v="2023-09-20T00:00:00"/>
    <x v="1"/>
    <x v="5"/>
    <n v="17"/>
    <n v="477"/>
    <x v="2"/>
    <s v="Retail"/>
    <n v="0.05"/>
    <x v="1"/>
    <x v="1"/>
    <n v="0"/>
    <x v="1442"/>
    <s v="Cust 4386"/>
    <n v="35.28"/>
    <x v="567"/>
    <d v="2023-09-27T00:00:00"/>
    <s v="Sophie"/>
    <n v="7704"/>
  </r>
  <r>
    <d v="2023-06-27T00:00:00"/>
    <x v="1"/>
    <x v="3"/>
    <n v="3"/>
    <n v="262"/>
    <x v="3"/>
    <s v="Retail"/>
    <n v="0.05"/>
    <x v="4"/>
    <x v="4"/>
    <n v="0"/>
    <x v="1443"/>
    <s v="Cust 6708"/>
    <n v="42.11"/>
    <x v="161"/>
    <d v="2023-07-07T00:00:00"/>
    <s v="Sophie"/>
    <n v="747"/>
  </r>
  <r>
    <d v="2025-04-02T00:00:00"/>
    <x v="3"/>
    <x v="0"/>
    <n v="6"/>
    <n v="416"/>
    <x v="1"/>
    <s v="Wholesale"/>
    <n v="0.05"/>
    <x v="1"/>
    <x v="4"/>
    <n v="1"/>
    <x v="1444"/>
    <s v="Cust 6354"/>
    <n v="44.14"/>
    <x v="177"/>
    <d v="2025-04-06T00:00:00"/>
    <s v="Cameron"/>
    <n v="2371"/>
  </r>
  <r>
    <d v="2025-04-16T00:00:00"/>
    <x v="2"/>
    <x v="6"/>
    <n v="15"/>
    <n v="100"/>
    <x v="1"/>
    <s v="Wholesale"/>
    <n v="0"/>
    <x v="0"/>
    <x v="4"/>
    <n v="0"/>
    <x v="1445"/>
    <s v="Cust 3477"/>
    <n v="27.55"/>
    <x v="454"/>
    <d v="2025-04-26T00:00:00"/>
    <s v="Ryan"/>
    <n v="1500"/>
  </r>
  <r>
    <d v="2024-07-09T00:00:00"/>
    <x v="3"/>
    <x v="0"/>
    <n v="16"/>
    <n v="56"/>
    <x v="3"/>
    <s v="Wholesale"/>
    <n v="0.15"/>
    <x v="2"/>
    <x v="4"/>
    <n v="1"/>
    <x v="1446"/>
    <s v="Cust 6646"/>
    <n v="17.809999999999999"/>
    <x v="540"/>
    <d v="2024-07-17T00:00:00"/>
    <s v="Cameron"/>
    <n v="762"/>
  </r>
  <r>
    <d v="2025-06-23T00:00:00"/>
    <x v="0"/>
    <x v="1"/>
    <n v="20"/>
    <n v="243"/>
    <x v="1"/>
    <s v="Wholesale"/>
    <n v="0.05"/>
    <x v="1"/>
    <x v="1"/>
    <n v="1"/>
    <x v="1447"/>
    <s v="Cust 4250"/>
    <n v="32.28"/>
    <x v="731"/>
    <d v="2025-07-03T00:00:00"/>
    <s v="Eric"/>
    <n v="4617"/>
  </r>
  <r>
    <d v="2024-06-09T00:00:00"/>
    <x v="0"/>
    <x v="5"/>
    <n v="11"/>
    <n v="186"/>
    <x v="0"/>
    <s v="Retail"/>
    <n v="0.1"/>
    <x v="3"/>
    <x v="1"/>
    <n v="0"/>
    <x v="1448"/>
    <s v="Cust 5351"/>
    <n v="45.19"/>
    <x v="732"/>
    <d v="2024-06-18T00:00:00"/>
    <s v="Eric"/>
    <n v="1841"/>
  </r>
  <r>
    <d v="2023-12-01T00:00:00"/>
    <x v="3"/>
    <x v="2"/>
    <n v="11"/>
    <n v="347"/>
    <x v="2"/>
    <s v="Wholesale"/>
    <n v="0.05"/>
    <x v="0"/>
    <x v="2"/>
    <n v="0"/>
    <x v="1449"/>
    <s v="Cust 6284"/>
    <n v="24.8"/>
    <x v="112"/>
    <d v="2023-12-03T00:00:00"/>
    <s v="Cameron"/>
    <n v="3626"/>
  </r>
  <r>
    <d v="2024-07-24T00:00:00"/>
    <x v="4"/>
    <x v="5"/>
    <n v="15"/>
    <n v="318"/>
    <x v="3"/>
    <s v="Retail"/>
    <n v="0.05"/>
    <x v="4"/>
    <x v="1"/>
    <n v="1"/>
    <x v="1450"/>
    <s v="Cust 9099"/>
    <n v="24.38"/>
    <x v="733"/>
    <d v="2024-07-30T00:00:00"/>
    <s v="Wendy"/>
    <n v="4532"/>
  </r>
  <r>
    <d v="2023-04-12T00:00:00"/>
    <x v="4"/>
    <x v="3"/>
    <n v="15"/>
    <n v="242"/>
    <x v="3"/>
    <s v="Wholesale"/>
    <n v="0.15"/>
    <x v="4"/>
    <x v="4"/>
    <n v="1"/>
    <x v="1451"/>
    <s v="Cust 3944"/>
    <n v="14.92"/>
    <x v="264"/>
    <d v="2023-04-19T00:00:00"/>
    <s v="Wendy"/>
    <n v="3086"/>
  </r>
  <r>
    <d v="2024-12-17T00:00:00"/>
    <x v="2"/>
    <x v="2"/>
    <n v="3"/>
    <n v="82"/>
    <x v="0"/>
    <s v="Retail"/>
    <n v="0.15"/>
    <x v="0"/>
    <x v="1"/>
    <n v="1"/>
    <x v="1452"/>
    <s v="Cust 6124"/>
    <n v="12.63"/>
    <x v="441"/>
    <d v="2024-12-26T00:00:00"/>
    <s v="Ryan"/>
    <n v="209"/>
  </r>
  <r>
    <d v="2024-08-08T00:00:00"/>
    <x v="1"/>
    <x v="4"/>
    <n v="10"/>
    <n v="286"/>
    <x v="3"/>
    <s v="Wholesale"/>
    <n v="0.15"/>
    <x v="0"/>
    <x v="4"/>
    <n v="1"/>
    <x v="1453"/>
    <s v="Cust 8533"/>
    <n v="26.68"/>
    <x v="669"/>
    <d v="2024-08-14T00:00:00"/>
    <s v="Sophie"/>
    <n v="2431"/>
  </r>
  <r>
    <d v="2024-09-15T00:00:00"/>
    <x v="0"/>
    <x v="0"/>
    <n v="17"/>
    <n v="342"/>
    <x v="2"/>
    <s v="Wholesale"/>
    <n v="0.1"/>
    <x v="0"/>
    <x v="2"/>
    <n v="0"/>
    <x v="1454"/>
    <s v="Cust 1135"/>
    <n v="16.670000000000002"/>
    <x v="564"/>
    <d v="2024-09-22T00:00:00"/>
    <s v="Eric"/>
    <n v="5233"/>
  </r>
  <r>
    <d v="2023-10-08T00:00:00"/>
    <x v="1"/>
    <x v="5"/>
    <n v="14"/>
    <n v="216"/>
    <x v="3"/>
    <s v="Wholesale"/>
    <n v="0.1"/>
    <x v="4"/>
    <x v="3"/>
    <n v="0"/>
    <x v="1455"/>
    <s v="Cust 5638"/>
    <n v="40.74"/>
    <x v="734"/>
    <d v="2023-10-10T00:00:00"/>
    <s v="Sophie"/>
    <n v="2722"/>
  </r>
  <r>
    <d v="2025-05-23T00:00:00"/>
    <x v="1"/>
    <x v="1"/>
    <n v="16"/>
    <n v="232"/>
    <x v="0"/>
    <s v="Retail"/>
    <n v="0.15"/>
    <x v="5"/>
    <x v="0"/>
    <n v="1"/>
    <x v="1456"/>
    <s v="Cust 1333"/>
    <n v="9.42"/>
    <x v="549"/>
    <d v="2025-05-27T00:00:00"/>
    <s v="Sophie"/>
    <n v="3155"/>
  </r>
  <r>
    <d v="2023-01-02T00:00:00"/>
    <x v="1"/>
    <x v="0"/>
    <n v="7"/>
    <n v="61"/>
    <x v="2"/>
    <s v="Retail"/>
    <n v="0.15"/>
    <x v="0"/>
    <x v="0"/>
    <n v="0"/>
    <x v="1457"/>
    <s v="Cust 2394"/>
    <n v="14.44"/>
    <x v="735"/>
    <d v="2023-01-12T00:00:00"/>
    <s v="Sophie"/>
    <n v="363"/>
  </r>
  <r>
    <d v="2023-10-19T00:00:00"/>
    <x v="2"/>
    <x v="2"/>
    <n v="15"/>
    <n v="434"/>
    <x v="0"/>
    <s v="Wholesale"/>
    <n v="0"/>
    <x v="5"/>
    <x v="3"/>
    <n v="1"/>
    <x v="1458"/>
    <s v="Cust 8495"/>
    <n v="33.86"/>
    <x v="544"/>
    <d v="2023-10-28T00:00:00"/>
    <s v="Ryan"/>
    <n v="6510"/>
  </r>
  <r>
    <d v="2025-04-25T00:00:00"/>
    <x v="4"/>
    <x v="3"/>
    <n v="16"/>
    <n v="484"/>
    <x v="1"/>
    <s v="Wholesale"/>
    <n v="0"/>
    <x v="1"/>
    <x v="0"/>
    <n v="1"/>
    <x v="1459"/>
    <s v="Cust 3988"/>
    <n v="9.65"/>
    <x v="659"/>
    <d v="2025-05-01T00:00:00"/>
    <s v="Wendy"/>
    <n v="7744"/>
  </r>
  <r>
    <d v="2024-03-31T00:00:00"/>
    <x v="3"/>
    <x v="2"/>
    <n v="2"/>
    <n v="55"/>
    <x v="2"/>
    <s v="Wholesale"/>
    <n v="0"/>
    <x v="2"/>
    <x v="2"/>
    <n v="0"/>
    <x v="1460"/>
    <s v="Cust 4664"/>
    <n v="9.85"/>
    <x v="199"/>
    <d v="2024-04-04T00:00:00"/>
    <s v="Cameron"/>
    <n v="110"/>
  </r>
  <r>
    <d v="2025-01-31T00:00:00"/>
    <x v="2"/>
    <x v="6"/>
    <n v="13"/>
    <n v="223"/>
    <x v="0"/>
    <s v="Retail"/>
    <n v="0.15"/>
    <x v="3"/>
    <x v="2"/>
    <n v="1"/>
    <x v="1461"/>
    <s v="Cust 5086"/>
    <n v="38.46"/>
    <x v="94"/>
    <d v="2025-02-07T00:00:00"/>
    <s v="Ryan"/>
    <n v="2464"/>
  </r>
  <r>
    <d v="2025-03-27T00:00:00"/>
    <x v="0"/>
    <x v="1"/>
    <n v="11"/>
    <n v="548"/>
    <x v="3"/>
    <s v="Wholesale"/>
    <n v="0.05"/>
    <x v="0"/>
    <x v="4"/>
    <n v="0"/>
    <x v="1462"/>
    <s v="Cust 8858"/>
    <n v="25.82"/>
    <x v="166"/>
    <d v="2025-04-06T00:00:00"/>
    <s v="Eric"/>
    <n v="5727"/>
  </r>
  <r>
    <d v="2025-01-19T00:00:00"/>
    <x v="3"/>
    <x v="2"/>
    <n v="11"/>
    <n v="134"/>
    <x v="3"/>
    <s v="Wholesale"/>
    <n v="0"/>
    <x v="4"/>
    <x v="3"/>
    <n v="1"/>
    <x v="1463"/>
    <s v="Cust 8796"/>
    <n v="30.18"/>
    <x v="423"/>
    <d v="2025-01-24T00:00:00"/>
    <s v="Cameron"/>
    <n v="1474"/>
  </r>
  <r>
    <d v="2024-05-16T00:00:00"/>
    <x v="2"/>
    <x v="3"/>
    <n v="19"/>
    <n v="369"/>
    <x v="2"/>
    <s v="Retail"/>
    <n v="0.1"/>
    <x v="5"/>
    <x v="1"/>
    <n v="0"/>
    <x v="1464"/>
    <s v="Cust 2496"/>
    <n v="35.369999999999997"/>
    <x v="494"/>
    <d v="2024-05-21T00:00:00"/>
    <s v="Ryan"/>
    <n v="6310"/>
  </r>
  <r>
    <d v="2023-09-04T00:00:00"/>
    <x v="3"/>
    <x v="3"/>
    <n v="14"/>
    <n v="116"/>
    <x v="1"/>
    <s v="Wholesale"/>
    <n v="0"/>
    <x v="5"/>
    <x v="3"/>
    <n v="0"/>
    <x v="1465"/>
    <s v="Cust 5465"/>
    <n v="31.85"/>
    <x v="736"/>
    <d v="2023-09-06T00:00:00"/>
    <s v="Cameron"/>
    <n v="1624"/>
  </r>
  <r>
    <d v="2023-12-17T00:00:00"/>
    <x v="1"/>
    <x v="4"/>
    <n v="9"/>
    <n v="55"/>
    <x v="0"/>
    <s v="Retail"/>
    <n v="0.15"/>
    <x v="1"/>
    <x v="0"/>
    <n v="0"/>
    <x v="1466"/>
    <s v="Cust 2311"/>
    <n v="31.09"/>
    <x v="737"/>
    <d v="2023-12-23T00:00:00"/>
    <s v="Sophie"/>
    <n v="421"/>
  </r>
  <r>
    <d v="2024-01-15T00:00:00"/>
    <x v="3"/>
    <x v="4"/>
    <n v="4"/>
    <n v="160"/>
    <x v="1"/>
    <s v="Wholesale"/>
    <n v="0.05"/>
    <x v="1"/>
    <x v="2"/>
    <n v="0"/>
    <x v="1467"/>
    <s v="Cust 4575"/>
    <n v="32.36"/>
    <x v="481"/>
    <d v="2024-01-21T00:00:00"/>
    <s v="Cameron"/>
    <n v="608"/>
  </r>
  <r>
    <d v="2024-12-19T00:00:00"/>
    <x v="3"/>
    <x v="0"/>
    <n v="15"/>
    <n v="150"/>
    <x v="2"/>
    <s v="Retail"/>
    <n v="0"/>
    <x v="2"/>
    <x v="0"/>
    <n v="0"/>
    <x v="1468"/>
    <s v="Cust 8054"/>
    <n v="35.94"/>
    <x v="1"/>
    <d v="2024-12-29T00:00:00"/>
    <s v="Cameron"/>
    <n v="2250"/>
  </r>
  <r>
    <d v="2023-12-16T00:00:00"/>
    <x v="2"/>
    <x v="3"/>
    <n v="9"/>
    <n v="58"/>
    <x v="2"/>
    <s v="Wholesale"/>
    <n v="0"/>
    <x v="5"/>
    <x v="1"/>
    <n v="1"/>
    <x v="1469"/>
    <s v="Cust 2553"/>
    <n v="28.73"/>
    <x v="77"/>
    <d v="2023-12-18T00:00:00"/>
    <s v="Ryan"/>
    <n v="522"/>
  </r>
  <r>
    <d v="2025-05-14T00:00:00"/>
    <x v="3"/>
    <x v="0"/>
    <n v="4"/>
    <n v="439"/>
    <x v="3"/>
    <s v="Retail"/>
    <n v="0.05"/>
    <x v="1"/>
    <x v="0"/>
    <n v="0"/>
    <x v="1470"/>
    <s v="Cust 7547"/>
    <n v="5.0999999999999996"/>
    <x v="707"/>
    <d v="2025-05-18T00:00:00"/>
    <s v="Cameron"/>
    <n v="1668"/>
  </r>
  <r>
    <d v="2023-06-30T00:00:00"/>
    <x v="1"/>
    <x v="4"/>
    <n v="6"/>
    <n v="536"/>
    <x v="3"/>
    <s v="Retail"/>
    <n v="0"/>
    <x v="4"/>
    <x v="4"/>
    <n v="0"/>
    <x v="1471"/>
    <s v="Cust 8150"/>
    <n v="35.32"/>
    <x v="43"/>
    <d v="2023-07-02T00:00:00"/>
    <s v="Sophie"/>
    <n v="3216"/>
  </r>
  <r>
    <d v="2025-06-30T00:00:00"/>
    <x v="1"/>
    <x v="1"/>
    <n v="20"/>
    <n v="445"/>
    <x v="0"/>
    <s v="Wholesale"/>
    <n v="0.1"/>
    <x v="4"/>
    <x v="0"/>
    <n v="1"/>
    <x v="1472"/>
    <s v="Cust 5635"/>
    <n v="20.05"/>
    <x v="148"/>
    <d v="2025-07-07T00:00:00"/>
    <s v="Sophie"/>
    <n v="8010"/>
  </r>
  <r>
    <d v="2025-03-14T00:00:00"/>
    <x v="3"/>
    <x v="6"/>
    <n v="10"/>
    <n v="212"/>
    <x v="0"/>
    <s v="Retail"/>
    <n v="0.15"/>
    <x v="0"/>
    <x v="1"/>
    <n v="0"/>
    <x v="1473"/>
    <s v="Cust 4360"/>
    <n v="47.93"/>
    <x v="95"/>
    <d v="2025-03-22T00:00:00"/>
    <s v="Cameron"/>
    <n v="1802"/>
  </r>
  <r>
    <d v="2023-04-18T00:00:00"/>
    <x v="1"/>
    <x v="1"/>
    <n v="9"/>
    <n v="509"/>
    <x v="0"/>
    <s v="Retail"/>
    <n v="0.15"/>
    <x v="0"/>
    <x v="2"/>
    <n v="0"/>
    <x v="1474"/>
    <s v="Cust 1624"/>
    <n v="13"/>
    <x v="625"/>
    <d v="2023-04-27T00:00:00"/>
    <s v="Sophie"/>
    <n v="3894"/>
  </r>
  <r>
    <d v="2024-09-11T00:00:00"/>
    <x v="4"/>
    <x v="4"/>
    <n v="8"/>
    <n v="236"/>
    <x v="2"/>
    <s v="Wholesale"/>
    <n v="0.15"/>
    <x v="2"/>
    <x v="4"/>
    <n v="0"/>
    <x v="1475"/>
    <s v="Cust 6593"/>
    <n v="22.88"/>
    <x v="303"/>
    <d v="2024-09-19T00:00:00"/>
    <s v="Wendy"/>
    <n v="1605"/>
  </r>
  <r>
    <d v="2023-11-21T00:00:00"/>
    <x v="3"/>
    <x v="6"/>
    <n v="1"/>
    <n v="147"/>
    <x v="3"/>
    <s v="Retail"/>
    <n v="0"/>
    <x v="3"/>
    <x v="4"/>
    <n v="1"/>
    <x v="1476"/>
    <s v="Cust 9072"/>
    <n v="40.47"/>
    <x v="283"/>
    <d v="2023-11-28T00:00:00"/>
    <s v="Cameron"/>
    <n v="147"/>
  </r>
  <r>
    <d v="2024-02-29T00:00:00"/>
    <x v="4"/>
    <x v="5"/>
    <n v="8"/>
    <n v="280"/>
    <x v="0"/>
    <s v="Retail"/>
    <n v="0.05"/>
    <x v="1"/>
    <x v="1"/>
    <n v="0"/>
    <x v="1477"/>
    <s v="Cust 1116"/>
    <n v="33.1"/>
    <x v="459"/>
    <d v="2024-03-07T00:00:00"/>
    <s v="Wendy"/>
    <n v="2128"/>
  </r>
  <r>
    <d v="2023-05-11T00:00:00"/>
    <x v="4"/>
    <x v="0"/>
    <n v="3"/>
    <n v="305"/>
    <x v="0"/>
    <s v="Wholesale"/>
    <n v="0.05"/>
    <x v="5"/>
    <x v="4"/>
    <n v="0"/>
    <x v="1478"/>
    <s v="Cust 8458"/>
    <n v="47.14"/>
    <x v="738"/>
    <d v="2023-05-15T00:00:00"/>
    <s v="Wendy"/>
    <n v="869"/>
  </r>
  <r>
    <d v="2024-09-11T00:00:00"/>
    <x v="1"/>
    <x v="5"/>
    <n v="9"/>
    <n v="238"/>
    <x v="2"/>
    <s v="Retail"/>
    <n v="0"/>
    <x v="4"/>
    <x v="4"/>
    <n v="1"/>
    <x v="1479"/>
    <s v="Cust 5409"/>
    <n v="8.5"/>
    <x v="303"/>
    <d v="2024-09-20T00:00:00"/>
    <s v="Sophie"/>
    <n v="2142"/>
  </r>
  <r>
    <d v="2024-08-16T00:00:00"/>
    <x v="4"/>
    <x v="6"/>
    <n v="16"/>
    <n v="483"/>
    <x v="0"/>
    <s v="Retail"/>
    <n v="0.1"/>
    <x v="1"/>
    <x v="3"/>
    <n v="0"/>
    <x v="1480"/>
    <s v="Cust 8847"/>
    <n v="42.52"/>
    <x v="739"/>
    <d v="2024-08-22T00:00:00"/>
    <s v="Wendy"/>
    <n v="6955"/>
  </r>
  <r>
    <d v="2025-05-30T00:00:00"/>
    <x v="2"/>
    <x v="4"/>
    <n v="6"/>
    <n v="160"/>
    <x v="1"/>
    <s v="Retail"/>
    <n v="0.05"/>
    <x v="5"/>
    <x v="1"/>
    <n v="0"/>
    <x v="1481"/>
    <s v="Cust 7857"/>
    <n v="48.6"/>
    <x v="740"/>
    <d v="2025-06-07T00:00:00"/>
    <s v="Ryan"/>
    <n v="912"/>
  </r>
  <r>
    <d v="2023-08-22T00:00:00"/>
    <x v="0"/>
    <x v="2"/>
    <n v="19"/>
    <n v="281"/>
    <x v="1"/>
    <s v="Wholesale"/>
    <n v="0.1"/>
    <x v="2"/>
    <x v="1"/>
    <n v="0"/>
    <x v="1482"/>
    <s v="Cust 7810"/>
    <n v="35.94"/>
    <x v="530"/>
    <d v="2023-08-28T00:00:00"/>
    <s v="Eric"/>
    <n v="4805"/>
  </r>
  <r>
    <d v="2024-01-23T00:00:00"/>
    <x v="0"/>
    <x v="5"/>
    <n v="2"/>
    <n v="390"/>
    <x v="3"/>
    <s v="Wholesale"/>
    <n v="0.05"/>
    <x v="3"/>
    <x v="3"/>
    <n v="1"/>
    <x v="1483"/>
    <s v="Cust 5665"/>
    <n v="24.55"/>
    <x v="145"/>
    <d v="2024-01-25T00:00:00"/>
    <s v="Eric"/>
    <n v="741"/>
  </r>
  <r>
    <d v="2023-03-16T00:00:00"/>
    <x v="2"/>
    <x v="4"/>
    <n v="17"/>
    <n v="485"/>
    <x v="3"/>
    <s v="Retail"/>
    <n v="0.15"/>
    <x v="4"/>
    <x v="4"/>
    <n v="0"/>
    <x v="1484"/>
    <s v="Cust 8015"/>
    <n v="37.94"/>
    <x v="399"/>
    <d v="2023-03-23T00:00:00"/>
    <s v="Ryan"/>
    <n v="7008"/>
  </r>
  <r>
    <d v="2025-05-16T00:00:00"/>
    <x v="1"/>
    <x v="0"/>
    <n v="4"/>
    <n v="472"/>
    <x v="3"/>
    <s v="Retail"/>
    <n v="0"/>
    <x v="1"/>
    <x v="1"/>
    <n v="1"/>
    <x v="1485"/>
    <s v="Cust 7211"/>
    <n v="6.78"/>
    <x v="120"/>
    <d v="2025-05-21T00:00:00"/>
    <s v="Sophie"/>
    <n v="1888"/>
  </r>
  <r>
    <d v="2023-05-23T00:00:00"/>
    <x v="0"/>
    <x v="4"/>
    <n v="8"/>
    <n v="144"/>
    <x v="3"/>
    <s v="Wholesale"/>
    <n v="0"/>
    <x v="1"/>
    <x v="4"/>
    <n v="0"/>
    <x v="1486"/>
    <s v="Cust 8705"/>
    <n v="9.1"/>
    <x v="515"/>
    <d v="2023-05-29T00:00:00"/>
    <s v="Eric"/>
    <n v="1152"/>
  </r>
  <r>
    <d v="2024-06-16T00:00:00"/>
    <x v="2"/>
    <x v="3"/>
    <n v="5"/>
    <n v="160"/>
    <x v="0"/>
    <s v="Wholesale"/>
    <n v="0"/>
    <x v="3"/>
    <x v="4"/>
    <n v="0"/>
    <x v="1487"/>
    <s v="Cust 2905"/>
    <n v="10.86"/>
    <x v="40"/>
    <d v="2024-06-23T00:00:00"/>
    <s v="Ryan"/>
    <n v="800"/>
  </r>
  <r>
    <d v="2025-01-28T00:00:00"/>
    <x v="3"/>
    <x v="4"/>
    <n v="13"/>
    <n v="447"/>
    <x v="1"/>
    <s v="Wholesale"/>
    <n v="0.05"/>
    <x v="2"/>
    <x v="4"/>
    <n v="0"/>
    <x v="1488"/>
    <s v="Cust 5777"/>
    <n v="38.93"/>
    <x v="741"/>
    <d v="2025-02-04T00:00:00"/>
    <s v="Cameron"/>
    <n v="5520"/>
  </r>
  <r>
    <d v="2024-11-27T00:00:00"/>
    <x v="1"/>
    <x v="1"/>
    <n v="13"/>
    <n v="197"/>
    <x v="0"/>
    <s v="Retail"/>
    <n v="0.1"/>
    <x v="4"/>
    <x v="4"/>
    <n v="0"/>
    <x v="1489"/>
    <s v="Cust 6695"/>
    <n v="10.119999999999999"/>
    <x v="742"/>
    <d v="2024-12-07T00:00:00"/>
    <s v="Sophie"/>
    <n v="2305"/>
  </r>
  <r>
    <d v="2023-10-09T00:00:00"/>
    <x v="3"/>
    <x v="3"/>
    <n v="3"/>
    <n v="486"/>
    <x v="1"/>
    <s v="Wholesale"/>
    <n v="0.1"/>
    <x v="0"/>
    <x v="3"/>
    <n v="0"/>
    <x v="1490"/>
    <s v="Cust 1977"/>
    <n v="19.46"/>
    <x v="743"/>
    <d v="2023-10-11T00:00:00"/>
    <s v="Cameron"/>
    <n v="1312"/>
  </r>
  <r>
    <d v="2024-07-21T00:00:00"/>
    <x v="4"/>
    <x v="1"/>
    <n v="16"/>
    <n v="184"/>
    <x v="1"/>
    <s v="Wholesale"/>
    <n v="0.05"/>
    <x v="5"/>
    <x v="1"/>
    <n v="0"/>
    <x v="1491"/>
    <s v="Cust 7979"/>
    <n v="6.56"/>
    <x v="744"/>
    <d v="2024-07-31T00:00:00"/>
    <s v="Wendy"/>
    <n v="2797"/>
  </r>
  <r>
    <d v="2024-07-03T00:00:00"/>
    <x v="0"/>
    <x v="4"/>
    <n v="2"/>
    <n v="373"/>
    <x v="1"/>
    <s v="Retail"/>
    <n v="0.05"/>
    <x v="4"/>
    <x v="2"/>
    <n v="0"/>
    <x v="1492"/>
    <s v="Cust 2437"/>
    <n v="26.9"/>
    <x v="691"/>
    <d v="2024-07-07T00:00:00"/>
    <s v="Eric"/>
    <n v="709"/>
  </r>
  <r>
    <d v="2024-09-24T00:00:00"/>
    <x v="4"/>
    <x v="4"/>
    <n v="17"/>
    <n v="528"/>
    <x v="0"/>
    <s v="Wholesale"/>
    <n v="0"/>
    <x v="4"/>
    <x v="1"/>
    <n v="0"/>
    <x v="1493"/>
    <s v="Cust 2516"/>
    <n v="29.19"/>
    <x v="745"/>
    <d v="2024-10-02T00:00:00"/>
    <s v="Wendy"/>
    <n v="8976"/>
  </r>
  <r>
    <d v="2025-01-14T00:00:00"/>
    <x v="0"/>
    <x v="5"/>
    <n v="5"/>
    <n v="201"/>
    <x v="3"/>
    <s v="Wholesale"/>
    <n v="0"/>
    <x v="3"/>
    <x v="0"/>
    <n v="0"/>
    <x v="1494"/>
    <s v="Cust 6791"/>
    <n v="49.13"/>
    <x v="679"/>
    <d v="2025-01-21T00:00:00"/>
    <s v="Eric"/>
    <n v="1005"/>
  </r>
  <r>
    <d v="2025-02-17T00:00:00"/>
    <x v="4"/>
    <x v="2"/>
    <n v="13"/>
    <n v="135"/>
    <x v="3"/>
    <s v="Retail"/>
    <n v="0.05"/>
    <x v="3"/>
    <x v="2"/>
    <n v="0"/>
    <x v="1495"/>
    <s v="Cust 5227"/>
    <n v="35.630000000000003"/>
    <x v="130"/>
    <d v="2025-02-22T00:00:00"/>
    <s v="Wendy"/>
    <n v="1667"/>
  </r>
  <r>
    <d v="2024-01-11T00:00:00"/>
    <x v="1"/>
    <x v="3"/>
    <n v="18"/>
    <n v="210"/>
    <x v="2"/>
    <s v="Wholesale"/>
    <n v="0.15"/>
    <x v="2"/>
    <x v="3"/>
    <n v="0"/>
    <x v="1496"/>
    <s v="Cust 5559"/>
    <n v="45.93"/>
    <x v="746"/>
    <d v="2024-01-17T00:00:00"/>
    <s v="Sophie"/>
    <n v="3213"/>
  </r>
  <r>
    <d v="2024-07-27T00:00:00"/>
    <x v="0"/>
    <x v="2"/>
    <n v="1"/>
    <n v="272"/>
    <x v="1"/>
    <s v="Wholesale"/>
    <n v="0"/>
    <x v="0"/>
    <x v="1"/>
    <n v="0"/>
    <x v="1497"/>
    <s v="Cust 8981"/>
    <n v="35.56"/>
    <x v="480"/>
    <d v="2024-08-03T00:00:00"/>
    <s v="Eric"/>
    <n v="272"/>
  </r>
  <r>
    <d v="2024-12-03T00:00:00"/>
    <x v="3"/>
    <x v="4"/>
    <n v="14"/>
    <n v="263"/>
    <x v="1"/>
    <s v="Retail"/>
    <n v="0.05"/>
    <x v="3"/>
    <x v="1"/>
    <n v="0"/>
    <x v="1498"/>
    <s v="Cust 1824"/>
    <n v="24.53"/>
    <x v="581"/>
    <d v="2024-12-10T00:00:00"/>
    <s v="Cameron"/>
    <n v="3498"/>
  </r>
  <r>
    <d v="2025-05-09T00:00:00"/>
    <x v="4"/>
    <x v="3"/>
    <n v="13"/>
    <n v="221"/>
    <x v="3"/>
    <s v="Wholesale"/>
    <n v="0"/>
    <x v="2"/>
    <x v="3"/>
    <n v="1"/>
    <x v="1499"/>
    <s v="Cust 1935"/>
    <n v="21.05"/>
    <x v="589"/>
    <d v="2025-05-13T00:00:00"/>
    <s v="Wendy"/>
    <n v="287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6348C2-5CBD-4815-B8B5-6FB9C98E057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M4:N9" firstHeaderRow="1" firstDataRow="1" firstDataCol="1"/>
  <pivotFields count="22">
    <pivotField numFmtId="14" showAll="0"/>
    <pivotField showAll="0"/>
    <pivotField showAll="0">
      <items count="8">
        <item x="3"/>
        <item x="2"/>
        <item x="0"/>
        <item x="4"/>
        <item x="1"/>
        <item x="6"/>
        <item x="5"/>
        <item t="default"/>
      </items>
    </pivotField>
    <pivotField showAll="0"/>
    <pivotField showAll="0"/>
    <pivotField showAll="0"/>
    <pivotField showAll="0"/>
    <pivotField showAll="0"/>
    <pivotField showAll="0"/>
    <pivotField showAll="0">
      <items count="6">
        <item x="4"/>
        <item h="1" x="2"/>
        <item h="1" x="3"/>
        <item h="1" x="1"/>
        <item h="1" x="0"/>
        <item t="default"/>
      </items>
    </pivotField>
    <pivotField showAll="0"/>
    <pivotField showAll="0"/>
    <pivotField showAll="0"/>
    <pivotField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items>
    </pivotField>
    <pivotField showAll="0">
      <items count="6">
        <item h="1" x="0"/>
        <item x="1"/>
        <item x="2"/>
        <item x="3"/>
        <item h="1" x="4"/>
        <item t="default"/>
      </items>
    </pivotField>
    <pivotField dragToRow="0" dragToCol="0" dragToPage="0" showAll="0" defaultSubtotal="0"/>
  </pivotFields>
  <rowFields count="1">
    <field x="19"/>
  </rowFields>
  <rowItems count="5">
    <i>
      <x v="1"/>
    </i>
    <i>
      <x v="2"/>
    </i>
    <i>
      <x v="3"/>
    </i>
    <i>
      <x v="4"/>
    </i>
    <i t="grand">
      <x/>
    </i>
  </rowItems>
  <colItems count="1">
    <i/>
  </colItems>
  <dataFields count="1">
    <dataField name="Sum of Sales" fld="17" baseField="0" baseItem="0"/>
  </dataFields>
  <chartFormats count="4">
    <chartFormat chart="14"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DDB2B5-083F-43A2-999B-BB25FA8C978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4:E11" firstHeaderRow="1" firstDataRow="1" firstDataCol="1"/>
  <pivotFields count="22">
    <pivotField numFmtId="14" showAll="0"/>
    <pivotField showAll="0"/>
    <pivotField showAll="0">
      <items count="8">
        <item x="3"/>
        <item x="2"/>
        <item x="0"/>
        <item x="4"/>
        <item x="1"/>
        <item x="6"/>
        <item x="5"/>
        <item t="default"/>
      </items>
    </pivotField>
    <pivotField showAll="0"/>
    <pivotField showAll="0"/>
    <pivotField showAll="0"/>
    <pivotField showAll="0"/>
    <pivotField showAll="0"/>
    <pivotField axis="axisRow" showAll="0">
      <items count="7">
        <item x="1"/>
        <item x="5"/>
        <item x="3"/>
        <item x="4"/>
        <item x="0"/>
        <item x="2"/>
        <item t="default"/>
      </items>
    </pivotField>
    <pivotField showAll="0">
      <items count="6">
        <item x="4"/>
        <item h="1" x="2"/>
        <item h="1" x="3"/>
        <item h="1" x="1"/>
        <item h="1" x="0"/>
        <item t="default"/>
      </items>
    </pivotField>
    <pivotField showAll="0"/>
    <pivotField showAll="0"/>
    <pivotField showAll="0"/>
    <pivotField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x="1"/>
        <item x="2"/>
        <item x="3"/>
        <item h="1" x="4"/>
        <item t="default"/>
      </items>
    </pivotField>
    <pivotField dragToRow="0" dragToCol="0" dragToPage="0" showAll="0" defaultSubtotal="0"/>
  </pivotFields>
  <rowFields count="1">
    <field x="8"/>
  </rowFields>
  <rowItems count="7">
    <i>
      <x/>
    </i>
    <i>
      <x v="1"/>
    </i>
    <i>
      <x v="2"/>
    </i>
    <i>
      <x v="3"/>
    </i>
    <i>
      <x v="4"/>
    </i>
    <i>
      <x v="5"/>
    </i>
    <i t="grand">
      <x/>
    </i>
  </rowItems>
  <colItems count="1">
    <i/>
  </colItems>
  <dataFields count="1">
    <dataField name="Sum of Sales" fld="17" baseField="0" baseItem="0"/>
  </dataFields>
  <chartFormats count="2">
    <chartFormat chart="2" format="3"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71CCA3-B72A-4B5B-8E62-0FA00B9EAFE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4:Q12" firstHeaderRow="1" firstDataRow="1" firstDataCol="1"/>
  <pivotFields count="22">
    <pivotField numFmtId="14" showAll="0"/>
    <pivotField showAll="0"/>
    <pivotField axis="axisRow" showAll="0">
      <items count="8">
        <item x="3"/>
        <item x="2"/>
        <item x="0"/>
        <item x="4"/>
        <item x="1"/>
        <item x="6"/>
        <item x="5"/>
        <item t="default"/>
      </items>
    </pivotField>
    <pivotField dataField="1" showAll="0"/>
    <pivotField showAll="0"/>
    <pivotField showAll="0"/>
    <pivotField showAll="0"/>
    <pivotField showAll="0"/>
    <pivotField showAll="0"/>
    <pivotField showAll="0">
      <items count="6">
        <item x="4"/>
        <item h="1" x="2"/>
        <item h="1" x="3"/>
        <item h="1" x="1"/>
        <item h="1" x="0"/>
        <item t="default"/>
      </items>
    </pivotField>
    <pivotField showAll="0"/>
    <pivotField showAll="0"/>
    <pivotField showAll="0"/>
    <pivotField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sd="0" x="1"/>
        <item sd="0" x="2"/>
        <item sd="0" x="3"/>
        <item h="1" sd="0" x="4"/>
        <item t="default"/>
      </items>
    </pivotField>
    <pivotField dragToRow="0" dragToCol="0" dragToPage="0" showAll="0" defaultSubtotal="0"/>
  </pivotFields>
  <rowFields count="1">
    <field x="2"/>
  </rowFields>
  <rowItems count="8">
    <i>
      <x/>
    </i>
    <i>
      <x v="1"/>
    </i>
    <i>
      <x v="2"/>
    </i>
    <i>
      <x v="3"/>
    </i>
    <i>
      <x v="4"/>
    </i>
    <i>
      <x v="5"/>
    </i>
    <i>
      <x v="6"/>
    </i>
    <i t="grand">
      <x/>
    </i>
  </rowItems>
  <colItems count="1">
    <i/>
  </colItems>
  <dataFields count="1">
    <dataField name="Sum of Quantit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9FF8DD-2D79-45C2-A982-DBF342DDA12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B10" firstHeaderRow="1" firstDataRow="1" firstDataCol="1"/>
  <pivotFields count="22">
    <pivotField numFmtId="14" showAll="0"/>
    <pivotField axis="axisRow" showAll="0">
      <items count="6">
        <item x="3"/>
        <item x="0"/>
        <item x="2"/>
        <item x="1"/>
        <item x="4"/>
        <item t="default"/>
      </items>
    </pivotField>
    <pivotField showAll="0">
      <items count="8">
        <item x="3"/>
        <item x="2"/>
        <item x="0"/>
        <item x="4"/>
        <item x="1"/>
        <item x="6"/>
        <item x="5"/>
        <item t="default"/>
      </items>
    </pivotField>
    <pivotField showAll="0"/>
    <pivotField showAll="0"/>
    <pivotField showAll="0"/>
    <pivotField showAll="0"/>
    <pivotField showAll="0"/>
    <pivotField showAll="0"/>
    <pivotField showAll="0">
      <items count="6">
        <item x="4"/>
        <item h="1" x="2"/>
        <item h="1" x="3"/>
        <item h="1" x="1"/>
        <item h="1" x="0"/>
        <item t="default"/>
      </items>
    </pivotField>
    <pivotField showAll="0"/>
    <pivotField showAll="0"/>
    <pivotField showAll="0"/>
    <pivotField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x="1"/>
        <item x="2"/>
        <item x="3"/>
        <item h="1" x="4"/>
        <item t="default"/>
      </items>
    </pivotField>
    <pivotField dragToRow="0" dragToCol="0" dragToPage="0" showAll="0" defaultSubtotal="0"/>
  </pivotFields>
  <rowFields count="1">
    <field x="1"/>
  </rowFields>
  <rowItems count="6">
    <i>
      <x/>
    </i>
    <i>
      <x v="1"/>
    </i>
    <i>
      <x v="2"/>
    </i>
    <i>
      <x v="3"/>
    </i>
    <i>
      <x v="4"/>
    </i>
    <i t="grand">
      <x/>
    </i>
  </rowItems>
  <colItems count="1">
    <i/>
  </colItems>
  <dataFields count="1">
    <dataField name="Sum of Sales" fld="17" baseField="0" baseItem="0"/>
  </dataFields>
  <chartFormats count="3">
    <chartFormat chart="2"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08F2D6-7C7A-4137-B7C6-3760538810B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V4:W9" firstHeaderRow="1" firstDataRow="1" firstDataCol="1"/>
  <pivotFields count="22">
    <pivotField numFmtId="14" showAll="0"/>
    <pivotField showAll="0"/>
    <pivotField showAll="0">
      <items count="8">
        <item x="3"/>
        <item x="2"/>
        <item x="0"/>
        <item x="4"/>
        <item x="1"/>
        <item x="6"/>
        <item x="5"/>
        <item t="default"/>
      </items>
    </pivotField>
    <pivotField dataField="1" showAll="0"/>
    <pivotField showAll="0"/>
    <pivotField axis="axisRow" showAll="0">
      <items count="5">
        <item x="1"/>
        <item x="0"/>
        <item x="2"/>
        <item x="3"/>
        <item t="default"/>
      </items>
    </pivotField>
    <pivotField showAll="0"/>
    <pivotField showAll="0"/>
    <pivotField showAll="0"/>
    <pivotField showAll="0">
      <items count="6">
        <item x="4"/>
        <item h="1" x="2"/>
        <item h="1" x="3"/>
        <item h="1" x="1"/>
        <item h="1" x="0"/>
        <item t="default"/>
      </items>
    </pivotField>
    <pivotField showAll="0"/>
    <pivotField showAll="0"/>
    <pivotField showAll="0"/>
    <pivotField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sd="0" x="1"/>
        <item sd="0" x="2"/>
        <item sd="0" x="3"/>
        <item h="1" sd="0" x="4"/>
        <item t="default"/>
      </items>
    </pivotField>
    <pivotField dragToRow="0" dragToCol="0" dragToPage="0" showAll="0" defaultSubtotal="0"/>
  </pivotFields>
  <rowFields count="1">
    <field x="5"/>
  </rowFields>
  <rowItems count="5">
    <i>
      <x/>
    </i>
    <i>
      <x v="1"/>
    </i>
    <i>
      <x v="2"/>
    </i>
    <i>
      <x v="3"/>
    </i>
    <i t="grand">
      <x/>
    </i>
  </rowItems>
  <colItems count="1">
    <i/>
  </colItems>
  <dataFields count="1">
    <dataField name="Sum of Quantity" fld="3" baseField="0" baseItem="0"/>
  </dataFields>
  <chartFormats count="20">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5" count="1" selected="0">
            <x v="0"/>
          </reference>
        </references>
      </pivotArea>
    </chartFormat>
    <chartFormat chart="2" format="3">
      <pivotArea type="data" outline="0" fieldPosition="0">
        <references count="2">
          <reference field="4294967294" count="1" selected="0">
            <x v="0"/>
          </reference>
          <reference field="5" count="1" selected="0">
            <x v="1"/>
          </reference>
        </references>
      </pivotArea>
    </chartFormat>
    <chartFormat chart="2" format="4">
      <pivotArea type="data" outline="0" fieldPosition="0">
        <references count="2">
          <reference field="4294967294" count="1" selected="0">
            <x v="0"/>
          </reference>
          <reference field="5" count="1" selected="0">
            <x v="2"/>
          </reference>
        </references>
      </pivotArea>
    </chartFormat>
    <chartFormat chart="2" format="5">
      <pivotArea type="data" outline="0" fieldPosition="0">
        <references count="2">
          <reference field="4294967294" count="1" selected="0">
            <x v="0"/>
          </reference>
          <reference field="5" count="1" selected="0">
            <x v="3"/>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5" count="1" selected="0">
            <x v="0"/>
          </reference>
        </references>
      </pivotArea>
    </chartFormat>
    <chartFormat chart="3" format="8">
      <pivotArea type="data" outline="0" fieldPosition="0">
        <references count="2">
          <reference field="4294967294" count="1" selected="0">
            <x v="0"/>
          </reference>
          <reference field="5" count="1" selected="0">
            <x v="1"/>
          </reference>
        </references>
      </pivotArea>
    </chartFormat>
    <chartFormat chart="3" format="9">
      <pivotArea type="data" outline="0" fieldPosition="0">
        <references count="2">
          <reference field="4294967294" count="1" selected="0">
            <x v="0"/>
          </reference>
          <reference field="5" count="1" selected="0">
            <x v="2"/>
          </reference>
        </references>
      </pivotArea>
    </chartFormat>
    <chartFormat chart="3" format="10">
      <pivotArea type="data" outline="0" fieldPosition="0">
        <references count="2">
          <reference field="4294967294" count="1" selected="0">
            <x v="0"/>
          </reference>
          <reference field="5" count="1" selected="0">
            <x v="3"/>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5" count="1" selected="0">
            <x v="0"/>
          </reference>
        </references>
      </pivotArea>
    </chartFormat>
    <chartFormat chart="4" format="8">
      <pivotArea type="data" outline="0" fieldPosition="0">
        <references count="2">
          <reference field="4294967294" count="1" selected="0">
            <x v="0"/>
          </reference>
          <reference field="5" count="1" selected="0">
            <x v="1"/>
          </reference>
        </references>
      </pivotArea>
    </chartFormat>
    <chartFormat chart="4" format="9">
      <pivotArea type="data" outline="0" fieldPosition="0">
        <references count="2">
          <reference field="4294967294" count="1" selected="0">
            <x v="0"/>
          </reference>
          <reference field="5" count="1" selected="0">
            <x v="2"/>
          </reference>
        </references>
      </pivotArea>
    </chartFormat>
    <chartFormat chart="4" format="10">
      <pivotArea type="data" outline="0" fieldPosition="0">
        <references count="2">
          <reference field="4294967294" count="1" selected="0">
            <x v="0"/>
          </reference>
          <reference field="5" count="1" selected="0">
            <x v="3"/>
          </reference>
        </references>
      </pivotArea>
    </chartFormat>
    <chartFormat chart="1" format="1">
      <pivotArea type="data" outline="0" fieldPosition="0">
        <references count="2">
          <reference field="4294967294" count="1" selected="0">
            <x v="0"/>
          </reference>
          <reference field="5" count="1" selected="0">
            <x v="0"/>
          </reference>
        </references>
      </pivotArea>
    </chartFormat>
    <chartFormat chart="1" format="2">
      <pivotArea type="data" outline="0" fieldPosition="0">
        <references count="2">
          <reference field="4294967294" count="1" selected="0">
            <x v="0"/>
          </reference>
          <reference field="5" count="1" selected="0">
            <x v="1"/>
          </reference>
        </references>
      </pivotArea>
    </chartFormat>
    <chartFormat chart="1" format="3">
      <pivotArea type="data" outline="0" fieldPosition="0">
        <references count="2">
          <reference field="4294967294" count="1" selected="0">
            <x v="0"/>
          </reference>
          <reference field="5" count="1" selected="0">
            <x v="2"/>
          </reference>
        </references>
      </pivotArea>
    </chartFormat>
    <chartFormat chart="1" format="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4468C4-30DC-4AA3-99E0-2BDEA0E3C62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S4:T12" firstHeaderRow="1" firstDataRow="1" firstDataCol="1"/>
  <pivotFields count="22">
    <pivotField numFmtId="14" showAll="0"/>
    <pivotField showAll="0"/>
    <pivotField axis="axisRow" showAll="0">
      <items count="8">
        <item x="3"/>
        <item x="2"/>
        <item x="0"/>
        <item x="4"/>
        <item x="1"/>
        <item x="6"/>
        <item x="5"/>
        <item t="default"/>
      </items>
    </pivotField>
    <pivotField showAll="0"/>
    <pivotField showAll="0"/>
    <pivotField showAll="0"/>
    <pivotField showAll="0"/>
    <pivotField showAll="0"/>
    <pivotField showAll="0"/>
    <pivotField showAll="0">
      <items count="6">
        <item x="4"/>
        <item h="1" x="2"/>
        <item h="1" x="3"/>
        <item h="1" x="1"/>
        <item h="1" x="0"/>
        <item t="default"/>
      </items>
    </pivotField>
    <pivotField showAll="0"/>
    <pivotField dataField="1" showAll="0"/>
    <pivotField showAll="0"/>
    <pivotField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sd="0" x="1"/>
        <item sd="0" x="2"/>
        <item sd="0" x="3"/>
        <item h="1" sd="0" x="4"/>
        <item t="default"/>
      </items>
    </pivotField>
    <pivotField dragToRow="0" dragToCol="0" dragToPage="0" showAll="0" defaultSubtotal="0"/>
  </pivotFields>
  <rowFields count="1">
    <field x="2"/>
  </rowFields>
  <rowItems count="8">
    <i>
      <x/>
    </i>
    <i>
      <x v="1"/>
    </i>
    <i>
      <x v="2"/>
    </i>
    <i>
      <x v="3"/>
    </i>
    <i>
      <x v="4"/>
    </i>
    <i>
      <x v="5"/>
    </i>
    <i>
      <x v="6"/>
    </i>
    <i t="grand">
      <x/>
    </i>
  </rowItems>
  <colItems count="1">
    <i/>
  </colItems>
  <dataFields count="1">
    <dataField name="Count of OrderID"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3620F14-8730-4514-95AC-47B0707F3CE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J4:K10" firstHeaderRow="1" firstDataRow="1" firstDataCol="1"/>
  <pivotFields count="22">
    <pivotField numFmtId="14" showAll="0"/>
    <pivotField showAll="0"/>
    <pivotField showAll="0">
      <items count="8">
        <item x="3"/>
        <item x="2"/>
        <item x="0"/>
        <item x="4"/>
        <item x="1"/>
        <item x="6"/>
        <item x="5"/>
        <item t="default"/>
      </items>
    </pivotField>
    <pivotField showAll="0"/>
    <pivotField showAll="0"/>
    <pivotField showAll="0"/>
    <pivotField showAll="0"/>
    <pivotField showAll="0"/>
    <pivotField showAll="0"/>
    <pivotField axis="axisRow" showAll="0">
      <items count="6">
        <item x="4"/>
        <item x="2"/>
        <item x="3"/>
        <item x="1"/>
        <item x="0"/>
        <item t="default"/>
      </items>
    </pivotField>
    <pivotField showAll="0"/>
    <pivotField showAll="0"/>
    <pivotField showAll="0"/>
    <pivotField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x="1"/>
        <item x="2"/>
        <item x="3"/>
        <item h="1" x="4"/>
        <item t="default"/>
      </items>
    </pivotField>
    <pivotField dragToRow="0" dragToCol="0" dragToPage="0" showAll="0" defaultSubtotal="0"/>
  </pivotFields>
  <rowFields count="1">
    <field x="9"/>
  </rowFields>
  <rowItems count="6">
    <i>
      <x/>
    </i>
    <i>
      <x v="1"/>
    </i>
    <i>
      <x v="2"/>
    </i>
    <i>
      <x v="3"/>
    </i>
    <i>
      <x v="4"/>
    </i>
    <i t="grand">
      <x/>
    </i>
  </rowItems>
  <colItems count="1">
    <i/>
  </colItems>
  <dataFields count="1">
    <dataField name="Sum of Sales" fld="17" baseField="0" baseItem="0"/>
  </dataFields>
  <chartFormats count="2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9" count="1" selected="0">
            <x v="0"/>
          </reference>
        </references>
      </pivotArea>
    </chartFormat>
    <chartFormat chart="1" format="2">
      <pivotArea type="data" outline="0" fieldPosition="0">
        <references count="2">
          <reference field="4294967294" count="1" selected="0">
            <x v="0"/>
          </reference>
          <reference field="9" count="1" selected="0">
            <x v="1"/>
          </reference>
        </references>
      </pivotArea>
    </chartFormat>
    <chartFormat chart="1" format="3">
      <pivotArea type="data" outline="0" fieldPosition="0">
        <references count="2">
          <reference field="4294967294" count="1" selected="0">
            <x v="0"/>
          </reference>
          <reference field="9" count="1" selected="0">
            <x v="2"/>
          </reference>
        </references>
      </pivotArea>
    </chartFormat>
    <chartFormat chart="1" format="4">
      <pivotArea type="data" outline="0" fieldPosition="0">
        <references count="2">
          <reference field="4294967294" count="1" selected="0">
            <x v="0"/>
          </reference>
          <reference field="9" count="1" selected="0">
            <x v="3"/>
          </reference>
        </references>
      </pivotArea>
    </chartFormat>
    <chartFormat chart="1" format="5">
      <pivotArea type="data" outline="0" fieldPosition="0">
        <references count="2">
          <reference field="4294967294" count="1" selected="0">
            <x v="0"/>
          </reference>
          <reference field="9" count="1" selected="0">
            <x v="4"/>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9" count="1" selected="0">
            <x v="0"/>
          </reference>
        </references>
      </pivotArea>
    </chartFormat>
    <chartFormat chart="9" format="8">
      <pivotArea type="data" outline="0" fieldPosition="0">
        <references count="2">
          <reference field="4294967294" count="1" selected="0">
            <x v="0"/>
          </reference>
          <reference field="9" count="1" selected="0">
            <x v="1"/>
          </reference>
        </references>
      </pivotArea>
    </chartFormat>
    <chartFormat chart="9" format="9">
      <pivotArea type="data" outline="0" fieldPosition="0">
        <references count="2">
          <reference field="4294967294" count="1" selected="0">
            <x v="0"/>
          </reference>
          <reference field="9" count="1" selected="0">
            <x v="2"/>
          </reference>
        </references>
      </pivotArea>
    </chartFormat>
    <chartFormat chart="9" format="10">
      <pivotArea type="data" outline="0" fieldPosition="0">
        <references count="2">
          <reference field="4294967294" count="1" selected="0">
            <x v="0"/>
          </reference>
          <reference field="9" count="1" selected="0">
            <x v="3"/>
          </reference>
        </references>
      </pivotArea>
    </chartFormat>
    <chartFormat chart="9" format="11">
      <pivotArea type="data" outline="0" fieldPosition="0">
        <references count="2">
          <reference field="4294967294" count="1" selected="0">
            <x v="0"/>
          </reference>
          <reference field="9" count="1" selected="0">
            <x v="4"/>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9" count="1" selected="0">
            <x v="0"/>
          </reference>
        </references>
      </pivotArea>
    </chartFormat>
    <chartFormat chart="10" format="14">
      <pivotArea type="data" outline="0" fieldPosition="0">
        <references count="2">
          <reference field="4294967294" count="1" selected="0">
            <x v="0"/>
          </reference>
          <reference field="9" count="1" selected="0">
            <x v="1"/>
          </reference>
        </references>
      </pivotArea>
    </chartFormat>
    <chartFormat chart="10" format="15">
      <pivotArea type="data" outline="0" fieldPosition="0">
        <references count="2">
          <reference field="4294967294" count="1" selected="0">
            <x v="0"/>
          </reference>
          <reference field="9" count="1" selected="0">
            <x v="2"/>
          </reference>
        </references>
      </pivotArea>
    </chartFormat>
    <chartFormat chart="10" format="16">
      <pivotArea type="data" outline="0" fieldPosition="0">
        <references count="2">
          <reference field="4294967294" count="1" selected="0">
            <x v="0"/>
          </reference>
          <reference field="9" count="1" selected="0">
            <x v="3"/>
          </reference>
        </references>
      </pivotArea>
    </chartFormat>
    <chartFormat chart="10" format="17">
      <pivotArea type="data" outline="0" fieldPosition="0">
        <references count="2">
          <reference field="4294967294" count="1" selected="0">
            <x v="0"/>
          </reference>
          <reference field="9" count="1" selected="0">
            <x v="4"/>
          </reference>
        </references>
      </pivotArea>
    </chartFormat>
    <chartFormat chart="11" format="12" series="1">
      <pivotArea type="data" outline="0" fieldPosition="0">
        <references count="1">
          <reference field="4294967294" count="1" selected="0">
            <x v="0"/>
          </reference>
        </references>
      </pivotArea>
    </chartFormat>
    <chartFormat chart="11" format="13">
      <pivotArea type="data" outline="0" fieldPosition="0">
        <references count="2">
          <reference field="4294967294" count="1" selected="0">
            <x v="0"/>
          </reference>
          <reference field="9" count="1" selected="0">
            <x v="0"/>
          </reference>
        </references>
      </pivotArea>
    </chartFormat>
    <chartFormat chart="11" format="14">
      <pivotArea type="data" outline="0" fieldPosition="0">
        <references count="2">
          <reference field="4294967294" count="1" selected="0">
            <x v="0"/>
          </reference>
          <reference field="9" count="1" selected="0">
            <x v="1"/>
          </reference>
        </references>
      </pivotArea>
    </chartFormat>
    <chartFormat chart="11" format="15">
      <pivotArea type="data" outline="0" fieldPosition="0">
        <references count="2">
          <reference field="4294967294" count="1" selected="0">
            <x v="0"/>
          </reference>
          <reference field="9" count="1" selected="0">
            <x v="2"/>
          </reference>
        </references>
      </pivotArea>
    </chartFormat>
    <chartFormat chart="11" format="16">
      <pivotArea type="data" outline="0" fieldPosition="0">
        <references count="2">
          <reference field="4294967294" count="1" selected="0">
            <x v="0"/>
          </reference>
          <reference field="9" count="1" selected="0">
            <x v="3"/>
          </reference>
        </references>
      </pivotArea>
    </chartFormat>
    <chartFormat chart="11" format="17">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5D9FAC50-E72D-49D8-B1ED-8F511161711B}" autoFormatId="16" applyNumberFormats="0" applyBorderFormats="0" applyFontFormats="0" applyPatternFormats="0" applyAlignmentFormats="0" applyWidthHeightFormats="0">
  <queryTableRefresh nextId="21">
    <queryTableFields count="18">
      <queryTableField id="1" name="Date" tableColumnId="1"/>
      <queryTableField id="2" name="Region" tableColumnId="2"/>
      <queryTableField id="3" name="Product" tableColumnId="3"/>
      <queryTableField id="4" name="Quantity" tableColumnId="4"/>
      <queryTableField id="5" name="UnitPrice" tableColumnId="5"/>
      <queryTableField id="6" name="StoreLocation" tableColumnId="6"/>
      <queryTableField id="7" name="CustomerType" tableColumnId="7"/>
      <queryTableField id="8" name="Discount" tableColumnId="8"/>
      <queryTableField id="9" name="Salesperson" tableColumnId="9"/>
      <queryTableField id="11" name="PaymentMethod" tableColumnId="11"/>
      <queryTableField id="13" name="Returned" tableColumnId="13"/>
      <queryTableField id="14" name="OrderID" tableColumnId="14"/>
      <queryTableField id="15" name="CustomerName" tableColumnId="15"/>
      <queryTableField id="16" name="ShippingCost" tableColumnId="16"/>
      <queryTableField id="17" name="OrderDate" tableColumnId="17"/>
      <queryTableField id="18" name="DeliveryDate" tableColumnId="18"/>
      <queryTableField id="19" name="RegionManager" tableColumnId="19"/>
      <queryTableField id="20" name="Sales"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EF30D0E-8B3D-4BA7-A4F7-23D3F63D9D54}" sourceName="Product">
  <pivotTables>
    <pivotTable tabId="3" name="PivotTable1"/>
    <pivotTable tabId="3" name="PivotTable2"/>
    <pivotTable tabId="3" name="PivotTable3"/>
    <pivotTable tabId="3" name="PivotTable5"/>
    <pivotTable tabId="3" name="PivotTable6"/>
    <pivotTable tabId="3" name="PivotTable7"/>
    <pivotTable tabId="3" name="PivotTable4"/>
  </pivotTables>
  <data>
    <tabular pivotCacheId="638939086">
      <items count="7">
        <i x="3" s="1"/>
        <i x="2" s="1"/>
        <i x="0" s="1"/>
        <i x="4" s="1"/>
        <i x="1" s="1"/>
        <i x="6" s="1"/>
        <i x="5"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Date" xr10:uid="{EE6B2A72-8F17-45E7-901C-1D2E027C8442}" sourceName="Years (OrderDate)">
  <pivotTables>
    <pivotTable tabId="3" name="PivotTable6"/>
    <pivotTable tabId="3" name="PivotTable1"/>
    <pivotTable tabId="3" name="PivotTable2"/>
    <pivotTable tabId="3" name="PivotTable3"/>
    <pivotTable tabId="3" name="PivotTable4"/>
    <pivotTable tabId="3" name="PivotTable5"/>
    <pivotTable tabId="3" name="PivotTable7"/>
  </pivotTables>
  <data>
    <tabular pivotCacheId="638939086">
      <items count="5">
        <i x="1" s="1"/>
        <i x="2" s="1"/>
        <i x="3" s="1"/>
        <i x="0" nd="1"/>
        <i x="4"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0CCABC73-4F5B-4873-B79D-F3B5A3CCDC2C}" cache="Slicer_Product" caption="Product" columnCount="2" style="SlicerStyleLight1" rowHeight="241300"/>
  <slicer name="Years (OrderDate)" xr10:uid="{F55B8C6E-2F68-483A-9782-AED68B8B677D}" cache="Slicer_Years__OrderDate" caption="Years (OrderDate)" style="SlicerStyleLight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4CA5D5FE-F0DA-4225-B3B4-D1D09DB6A1F0}" cache="Slicer_Product" caption="Product" columnCount="2" rowHeight="288000"/>
  <slicer name="Years (OrderDate) 1" xr10:uid="{11CB0F3D-B58D-4F52-9848-971D5E6A3C03}" cache="Slicer_Years__OrderDate" caption="Years (OrderDat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4CBDD1-7212-4511-B336-5DC9E5D6ED9E}" name="Sheet13" displayName="Sheet13" ref="A1:R1501" tableType="queryTable" totalsRowShown="0">
  <autoFilter ref="A1:R1501" xr:uid="{604CBDD1-7212-4511-B336-5DC9E5D6ED9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7AFEE7E2-98FA-46FA-9DCA-54BF7ACF327A}" uniqueName="1" name="Date" queryTableFieldId="1" dataDxfId="12"/>
    <tableColumn id="2" xr3:uid="{BC2B77DE-829D-4022-B4B1-23C6800A7913}" uniqueName="2" name="Region" queryTableFieldId="2" dataDxfId="11"/>
    <tableColumn id="3" xr3:uid="{DE182A49-BD22-4B19-BC6F-DF44F897F995}" uniqueName="3" name="Product" queryTableFieldId="3" dataDxfId="10"/>
    <tableColumn id="4" xr3:uid="{B4DE9CBA-DE31-4B0E-B5AA-65BC3F1A0ABD}" uniqueName="4" name="Quantity" queryTableFieldId="4"/>
    <tableColumn id="5" xr3:uid="{C93D4DE3-FA84-48B7-8FED-83B31F2E25EE}" uniqueName="5" name="UnitPrice" queryTableFieldId="5"/>
    <tableColumn id="6" xr3:uid="{778B5DA6-715B-4587-8EB7-43C4CB9EDC90}" uniqueName="6" name="StoreLocation" queryTableFieldId="6" dataDxfId="9"/>
    <tableColumn id="7" xr3:uid="{F5759ABF-848B-4A97-9FF9-EE4F34796C7F}" uniqueName="7" name="CustomerType" queryTableFieldId="7" dataDxfId="8"/>
    <tableColumn id="8" xr3:uid="{BF97A0B1-CF4A-4AC9-BF09-70E4BBBED96E}" uniqueName="8" name="Discount" queryTableFieldId="8"/>
    <tableColumn id="9" xr3:uid="{C812C251-5BAD-4200-96CD-BA53F019D68F}" uniqueName="9" name="Salesperson" queryTableFieldId="9" dataDxfId="7"/>
    <tableColumn id="11" xr3:uid="{2079D3E1-D3F5-4A6F-B164-548A7633603C}" uniqueName="11" name="PaymentMethod" queryTableFieldId="11" dataDxfId="6"/>
    <tableColumn id="13" xr3:uid="{03FE86A3-1892-42E2-AD57-D76B5F63D4E9}" uniqueName="13" name="Returned" queryTableFieldId="13"/>
    <tableColumn id="14" xr3:uid="{5FEC8043-D799-42F2-BA6A-F2785B2C9368}" uniqueName="14" name="OrderID" queryTableFieldId="14" dataDxfId="5"/>
    <tableColumn id="15" xr3:uid="{CAA9AEC8-9922-4883-A46F-9217A71D0E21}" uniqueName="15" name="CustomerName" queryTableFieldId="15" dataDxfId="4"/>
    <tableColumn id="16" xr3:uid="{B4210665-A1CC-435F-9CB0-7669EBC118F3}" uniqueName="16" name="ShippingCost" queryTableFieldId="16"/>
    <tableColumn id="17" xr3:uid="{442EEB1D-BBFF-4C95-8856-1CD5B86867F5}" uniqueName="17" name="OrderDate" queryTableFieldId="17" dataDxfId="3"/>
    <tableColumn id="18" xr3:uid="{B8D8DDDF-252D-4E3F-A1EC-CE96343D0DC8}" uniqueName="18" name="DeliveryDate" queryTableFieldId="18" dataDxfId="2"/>
    <tableColumn id="19" xr3:uid="{D9092EEF-E83A-440F-8FAC-2E0E9D78B4A9}" uniqueName="19" name="RegionManager" queryTableFieldId="19" dataDxfId="1"/>
    <tableColumn id="20" xr3:uid="{2C859D4E-D20B-4B31-B62B-AD47DAC3452C}" uniqueName="20" name="Sales" queryTableFieldId="2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209D2-FEAB-4FF2-99BD-6DD31A74046F}">
  <dimension ref="A1:U1501"/>
  <sheetViews>
    <sheetView tabSelected="1" workbookViewId="0">
      <selection activeCell="R2" sqref="R2"/>
    </sheetView>
  </sheetViews>
  <sheetFormatPr defaultRowHeight="15" x14ac:dyDescent="0.25"/>
  <cols>
    <col min="1" max="1" width="10.42578125" bestFit="1" customWidth="1"/>
    <col min="2" max="2" width="9.42578125" bestFit="1" customWidth="1"/>
    <col min="3" max="3" width="10.140625" bestFit="1" customWidth="1"/>
    <col min="4" max="4" width="11" bestFit="1" customWidth="1"/>
    <col min="5" max="5" width="11.5703125" bestFit="1" customWidth="1"/>
    <col min="6" max="6" width="15.5703125" bestFit="1" customWidth="1"/>
    <col min="7" max="7" width="16.28515625" bestFit="1" customWidth="1"/>
    <col min="8" max="8" width="11" bestFit="1" customWidth="1"/>
    <col min="9" max="9" width="14" bestFit="1" customWidth="1"/>
    <col min="10" max="10" width="18.42578125" bestFit="1" customWidth="1"/>
    <col min="11" max="11" width="11.5703125" bestFit="1" customWidth="1"/>
    <col min="12" max="12" width="10.42578125" bestFit="1" customWidth="1"/>
    <col min="13" max="13" width="17.28515625" bestFit="1" customWidth="1"/>
    <col min="14" max="14" width="14.85546875" bestFit="1" customWidth="1"/>
    <col min="15" max="15" width="12.5703125" bestFit="1" customWidth="1"/>
    <col min="16" max="16" width="14.85546875" bestFit="1" customWidth="1"/>
    <col min="17" max="17" width="17.42578125" bestFit="1" customWidth="1"/>
    <col min="18" max="18" width="7.85546875" bestFit="1" customWidth="1"/>
    <col min="19" max="19" width="8" bestFit="1" customWidth="1"/>
    <col min="20" max="20" width="17.42578125" bestFit="1"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2922</v>
      </c>
    </row>
    <row r="2" spans="1:21" x14ac:dyDescent="0.25">
      <c r="A2" s="1">
        <v>44980</v>
      </c>
      <c r="B2" s="2" t="s">
        <v>17</v>
      </c>
      <c r="C2" s="2" t="s">
        <v>18</v>
      </c>
      <c r="D2">
        <v>14</v>
      </c>
      <c r="E2">
        <v>164</v>
      </c>
      <c r="F2" s="2" t="s">
        <v>19</v>
      </c>
      <c r="G2" s="2" t="s">
        <v>20</v>
      </c>
      <c r="H2">
        <v>0</v>
      </c>
      <c r="I2" s="2" t="s">
        <v>21</v>
      </c>
      <c r="J2" s="2" t="s">
        <v>22</v>
      </c>
      <c r="K2">
        <v>0</v>
      </c>
      <c r="L2" s="2" t="s">
        <v>23</v>
      </c>
      <c r="M2" s="2" t="s">
        <v>24</v>
      </c>
      <c r="N2">
        <v>43.34</v>
      </c>
      <c r="O2" s="1">
        <v>44980</v>
      </c>
      <c r="P2" s="1">
        <v>44984</v>
      </c>
      <c r="Q2" s="2" t="s">
        <v>25</v>
      </c>
      <c r="R2" s="2">
        <v>2296</v>
      </c>
      <c r="T2">
        <f>COUNTA(Sheet13[OrderID])</f>
        <v>1500</v>
      </c>
    </row>
    <row r="3" spans="1:21" x14ac:dyDescent="0.25">
      <c r="A3" s="1">
        <v>45645</v>
      </c>
      <c r="B3" s="2" t="s">
        <v>26</v>
      </c>
      <c r="C3" s="2" t="s">
        <v>27</v>
      </c>
      <c r="D3">
        <v>1</v>
      </c>
      <c r="E3">
        <v>544</v>
      </c>
      <c r="F3" s="2" t="s">
        <v>28</v>
      </c>
      <c r="G3" s="2" t="s">
        <v>29</v>
      </c>
      <c r="H3">
        <v>0</v>
      </c>
      <c r="I3" s="2" t="s">
        <v>30</v>
      </c>
      <c r="J3" s="2" t="s">
        <v>31</v>
      </c>
      <c r="K3">
        <v>0</v>
      </c>
      <c r="L3" s="2" t="s">
        <v>32</v>
      </c>
      <c r="M3" s="2" t="s">
        <v>33</v>
      </c>
      <c r="N3">
        <v>5.3</v>
      </c>
      <c r="O3" s="1">
        <v>45645</v>
      </c>
      <c r="P3" s="1">
        <v>45654</v>
      </c>
      <c r="Q3" s="2" t="s">
        <v>34</v>
      </c>
      <c r="R3" s="2">
        <v>544</v>
      </c>
      <c r="T3">
        <f>COUNTA(Sheet13[OrderID])</f>
        <v>1500</v>
      </c>
    </row>
    <row r="4" spans="1:21" x14ac:dyDescent="0.25">
      <c r="A4" s="1">
        <v>45056</v>
      </c>
      <c r="B4" s="2" t="s">
        <v>35</v>
      </c>
      <c r="C4" s="2" t="s">
        <v>36</v>
      </c>
      <c r="D4">
        <v>14</v>
      </c>
      <c r="E4">
        <v>346</v>
      </c>
      <c r="F4" s="2" t="s">
        <v>19</v>
      </c>
      <c r="G4" s="2" t="s">
        <v>20</v>
      </c>
      <c r="H4">
        <v>0.1</v>
      </c>
      <c r="I4" s="2" t="s">
        <v>30</v>
      </c>
      <c r="J4" s="2" t="s">
        <v>22</v>
      </c>
      <c r="K4">
        <v>0</v>
      </c>
      <c r="L4" s="2" t="s">
        <v>37</v>
      </c>
      <c r="M4" s="2" t="s">
        <v>38</v>
      </c>
      <c r="N4">
        <v>20.46</v>
      </c>
      <c r="O4" s="1">
        <v>45056</v>
      </c>
      <c r="P4" s="1">
        <v>45065</v>
      </c>
      <c r="Q4" s="2" t="s">
        <v>39</v>
      </c>
      <c r="R4" s="2">
        <v>4360</v>
      </c>
    </row>
    <row r="5" spans="1:21" x14ac:dyDescent="0.25">
      <c r="A5" s="1">
        <v>45714</v>
      </c>
      <c r="B5" s="2" t="s">
        <v>40</v>
      </c>
      <c r="C5" s="2" t="s">
        <v>41</v>
      </c>
      <c r="D5">
        <v>18</v>
      </c>
      <c r="E5">
        <v>385</v>
      </c>
      <c r="F5" s="2" t="s">
        <v>28</v>
      </c>
      <c r="G5" s="2" t="s">
        <v>20</v>
      </c>
      <c r="H5">
        <v>0.15</v>
      </c>
      <c r="I5" s="2" t="s">
        <v>42</v>
      </c>
      <c r="J5" s="2" t="s">
        <v>31</v>
      </c>
      <c r="K5">
        <v>0</v>
      </c>
      <c r="L5" s="2" t="s">
        <v>43</v>
      </c>
      <c r="M5" s="2" t="s">
        <v>44</v>
      </c>
      <c r="N5">
        <v>27.95</v>
      </c>
      <c r="O5" s="1">
        <v>45714</v>
      </c>
      <c r="P5" s="1">
        <v>45718</v>
      </c>
      <c r="Q5" s="2" t="s">
        <v>45</v>
      </c>
      <c r="R5" s="2">
        <v>5890</v>
      </c>
      <c r="U5">
        <f>COUNTA(Sheet13[OrderID])/SUM(Sheet13[Returned])</f>
        <v>4.032258064516129</v>
      </c>
    </row>
    <row r="6" spans="1:21" x14ac:dyDescent="0.25">
      <c r="A6" s="1">
        <v>45101</v>
      </c>
      <c r="B6" s="2" t="s">
        <v>17</v>
      </c>
      <c r="C6" s="2" t="s">
        <v>36</v>
      </c>
      <c r="D6">
        <v>18</v>
      </c>
      <c r="E6">
        <v>238</v>
      </c>
      <c r="F6" s="2" t="s">
        <v>46</v>
      </c>
      <c r="G6" s="2" t="s">
        <v>29</v>
      </c>
      <c r="H6">
        <v>0</v>
      </c>
      <c r="I6" s="2" t="s">
        <v>47</v>
      </c>
      <c r="J6" s="2" t="s">
        <v>22</v>
      </c>
      <c r="K6">
        <v>0</v>
      </c>
      <c r="L6" s="2" t="s">
        <v>48</v>
      </c>
      <c r="M6" s="2" t="s">
        <v>49</v>
      </c>
      <c r="N6">
        <v>5.73</v>
      </c>
      <c r="O6" s="1">
        <v>45101</v>
      </c>
      <c r="P6" s="1">
        <v>45104</v>
      </c>
      <c r="Q6" s="2" t="s">
        <v>25</v>
      </c>
      <c r="R6" s="2">
        <v>4284</v>
      </c>
    </row>
    <row r="7" spans="1:21" x14ac:dyDescent="0.25">
      <c r="A7" s="1">
        <v>45342</v>
      </c>
      <c r="B7" s="2" t="s">
        <v>40</v>
      </c>
      <c r="C7" s="2" t="s">
        <v>50</v>
      </c>
      <c r="D7">
        <v>2</v>
      </c>
      <c r="E7">
        <v>385</v>
      </c>
      <c r="F7" s="2" t="s">
        <v>51</v>
      </c>
      <c r="G7" s="2" t="s">
        <v>20</v>
      </c>
      <c r="H7">
        <v>0.15</v>
      </c>
      <c r="I7" s="2" t="s">
        <v>52</v>
      </c>
      <c r="J7" s="2" t="s">
        <v>53</v>
      </c>
      <c r="K7">
        <v>0</v>
      </c>
      <c r="L7" s="2" t="s">
        <v>54</v>
      </c>
      <c r="M7" s="2" t="s">
        <v>55</v>
      </c>
      <c r="N7">
        <v>11.92</v>
      </c>
      <c r="O7" s="1">
        <v>45342</v>
      </c>
      <c r="P7" s="1">
        <v>45352</v>
      </c>
      <c r="Q7" s="2" t="s">
        <v>45</v>
      </c>
      <c r="R7" s="2">
        <v>654</v>
      </c>
    </row>
    <row r="8" spans="1:21" x14ac:dyDescent="0.25">
      <c r="A8" s="1">
        <v>44937</v>
      </c>
      <c r="B8" s="2" t="s">
        <v>26</v>
      </c>
      <c r="C8" s="2" t="s">
        <v>41</v>
      </c>
      <c r="D8">
        <v>7</v>
      </c>
      <c r="E8">
        <v>18</v>
      </c>
      <c r="F8" s="2" t="s">
        <v>46</v>
      </c>
      <c r="G8" s="2" t="s">
        <v>29</v>
      </c>
      <c r="H8">
        <v>0.1</v>
      </c>
      <c r="I8" s="2" t="s">
        <v>30</v>
      </c>
      <c r="J8" s="2" t="s">
        <v>56</v>
      </c>
      <c r="K8">
        <v>0</v>
      </c>
      <c r="L8" s="2" t="s">
        <v>57</v>
      </c>
      <c r="M8" s="2" t="s">
        <v>58</v>
      </c>
      <c r="N8">
        <v>5.0199999999999996</v>
      </c>
      <c r="O8" s="1">
        <v>44937</v>
      </c>
      <c r="P8" s="1">
        <v>44940</v>
      </c>
      <c r="Q8" s="2" t="s">
        <v>34</v>
      </c>
      <c r="R8" s="2">
        <v>113</v>
      </c>
    </row>
    <row r="9" spans="1:21" x14ac:dyDescent="0.25">
      <c r="A9" s="1">
        <v>44935</v>
      </c>
      <c r="B9" s="2" t="s">
        <v>40</v>
      </c>
      <c r="C9" s="2" t="s">
        <v>41</v>
      </c>
      <c r="D9">
        <v>3</v>
      </c>
      <c r="E9">
        <v>330</v>
      </c>
      <c r="F9" s="2" t="s">
        <v>46</v>
      </c>
      <c r="G9" s="2" t="s">
        <v>20</v>
      </c>
      <c r="H9">
        <v>0.15</v>
      </c>
      <c r="I9" s="2" t="s">
        <v>47</v>
      </c>
      <c r="J9" s="2" t="s">
        <v>59</v>
      </c>
      <c r="K9">
        <v>0</v>
      </c>
      <c r="L9" s="2" t="s">
        <v>60</v>
      </c>
      <c r="M9" s="2" t="s">
        <v>61</v>
      </c>
      <c r="N9">
        <v>48.01</v>
      </c>
      <c r="O9" s="1">
        <v>44935</v>
      </c>
      <c r="P9" s="1">
        <v>44937</v>
      </c>
      <c r="Q9" s="2" t="s">
        <v>45</v>
      </c>
      <c r="R9" s="2">
        <v>842</v>
      </c>
    </row>
    <row r="10" spans="1:21" x14ac:dyDescent="0.25">
      <c r="A10" s="1">
        <v>45581</v>
      </c>
      <c r="B10" s="2" t="s">
        <v>26</v>
      </c>
      <c r="C10" s="2" t="s">
        <v>41</v>
      </c>
      <c r="D10">
        <v>3</v>
      </c>
      <c r="E10">
        <v>432</v>
      </c>
      <c r="F10" s="2" t="s">
        <v>51</v>
      </c>
      <c r="G10" s="2" t="s">
        <v>20</v>
      </c>
      <c r="H10">
        <v>0.05</v>
      </c>
      <c r="I10" s="2" t="s">
        <v>62</v>
      </c>
      <c r="J10" s="2" t="s">
        <v>56</v>
      </c>
      <c r="K10">
        <v>1</v>
      </c>
      <c r="L10" s="2" t="s">
        <v>63</v>
      </c>
      <c r="M10" s="2" t="s">
        <v>64</v>
      </c>
      <c r="N10">
        <v>42.11</v>
      </c>
      <c r="O10" s="1">
        <v>45581</v>
      </c>
      <c r="P10" s="1">
        <v>45583</v>
      </c>
      <c r="Q10" s="2" t="s">
        <v>34</v>
      </c>
      <c r="R10" s="2">
        <v>1231</v>
      </c>
    </row>
    <row r="11" spans="1:21" x14ac:dyDescent="0.25">
      <c r="A11" s="1">
        <v>45721</v>
      </c>
      <c r="B11" s="2" t="s">
        <v>65</v>
      </c>
      <c r="C11" s="2" t="s">
        <v>36</v>
      </c>
      <c r="D11">
        <v>5</v>
      </c>
      <c r="E11">
        <v>323</v>
      </c>
      <c r="F11" s="2" t="s">
        <v>51</v>
      </c>
      <c r="G11" s="2" t="s">
        <v>29</v>
      </c>
      <c r="H11">
        <v>0.1</v>
      </c>
      <c r="I11" s="2" t="s">
        <v>42</v>
      </c>
      <c r="J11" s="2" t="s">
        <v>31</v>
      </c>
      <c r="K11">
        <v>0</v>
      </c>
      <c r="L11" s="2" t="s">
        <v>66</v>
      </c>
      <c r="M11" s="2" t="s">
        <v>67</v>
      </c>
      <c r="N11">
        <v>41.1</v>
      </c>
      <c r="O11" s="1">
        <v>45721</v>
      </c>
      <c r="P11" s="1">
        <v>45729</v>
      </c>
      <c r="Q11" s="2" t="s">
        <v>68</v>
      </c>
      <c r="R11" s="2">
        <v>1454</v>
      </c>
    </row>
    <row r="12" spans="1:21" x14ac:dyDescent="0.25">
      <c r="A12" s="1">
        <v>45392</v>
      </c>
      <c r="B12" s="2" t="s">
        <v>35</v>
      </c>
      <c r="C12" s="2" t="s">
        <v>36</v>
      </c>
      <c r="D12">
        <v>15</v>
      </c>
      <c r="E12">
        <v>523</v>
      </c>
      <c r="F12" s="2" t="s">
        <v>19</v>
      </c>
      <c r="G12" s="2" t="s">
        <v>20</v>
      </c>
      <c r="H12">
        <v>0.15</v>
      </c>
      <c r="I12" s="2" t="s">
        <v>21</v>
      </c>
      <c r="J12" s="2" t="s">
        <v>56</v>
      </c>
      <c r="K12">
        <v>0</v>
      </c>
      <c r="L12" s="2" t="s">
        <v>69</v>
      </c>
      <c r="M12" s="2" t="s">
        <v>70</v>
      </c>
      <c r="N12">
        <v>12.14</v>
      </c>
      <c r="O12" s="1">
        <v>45392</v>
      </c>
      <c r="P12" s="1">
        <v>45399</v>
      </c>
      <c r="Q12" s="2" t="s">
        <v>39</v>
      </c>
      <c r="R12" s="2">
        <v>6668</v>
      </c>
    </row>
    <row r="13" spans="1:21" x14ac:dyDescent="0.25">
      <c r="A13" s="1">
        <v>45485</v>
      </c>
      <c r="B13" s="2" t="s">
        <v>17</v>
      </c>
      <c r="C13" s="2" t="s">
        <v>27</v>
      </c>
      <c r="D13">
        <v>19</v>
      </c>
      <c r="E13">
        <v>207</v>
      </c>
      <c r="F13" s="2" t="s">
        <v>51</v>
      </c>
      <c r="G13" s="2" t="s">
        <v>29</v>
      </c>
      <c r="H13">
        <v>0.1</v>
      </c>
      <c r="I13" s="2" t="s">
        <v>21</v>
      </c>
      <c r="J13" s="2" t="s">
        <v>31</v>
      </c>
      <c r="K13">
        <v>1</v>
      </c>
      <c r="L13" s="2" t="s">
        <v>71</v>
      </c>
      <c r="M13" s="2" t="s">
        <v>72</v>
      </c>
      <c r="N13">
        <v>44.89</v>
      </c>
      <c r="O13" s="1">
        <v>45485</v>
      </c>
      <c r="P13" s="1">
        <v>45491</v>
      </c>
      <c r="Q13" s="2" t="s">
        <v>25</v>
      </c>
      <c r="R13" s="2">
        <v>3540</v>
      </c>
    </row>
    <row r="14" spans="1:21" x14ac:dyDescent="0.25">
      <c r="A14" s="1">
        <v>45128</v>
      </c>
      <c r="B14" s="2" t="s">
        <v>40</v>
      </c>
      <c r="C14" s="2" t="s">
        <v>27</v>
      </c>
      <c r="D14">
        <v>1</v>
      </c>
      <c r="E14">
        <v>121</v>
      </c>
      <c r="F14" s="2" t="s">
        <v>19</v>
      </c>
      <c r="G14" s="2" t="s">
        <v>29</v>
      </c>
      <c r="H14">
        <v>0.05</v>
      </c>
      <c r="I14" s="2" t="s">
        <v>52</v>
      </c>
      <c r="J14" s="2" t="s">
        <v>59</v>
      </c>
      <c r="K14">
        <v>0</v>
      </c>
      <c r="L14" s="2" t="s">
        <v>73</v>
      </c>
      <c r="M14" s="2" t="s">
        <v>74</v>
      </c>
      <c r="N14">
        <v>20.350000000000001</v>
      </c>
      <c r="O14" s="1">
        <v>45128</v>
      </c>
      <c r="P14" s="1">
        <v>45138</v>
      </c>
      <c r="Q14" s="2" t="s">
        <v>45</v>
      </c>
      <c r="R14" s="2">
        <v>115</v>
      </c>
    </row>
    <row r="15" spans="1:21" x14ac:dyDescent="0.25">
      <c r="A15" s="1">
        <v>45675</v>
      </c>
      <c r="B15" s="2" t="s">
        <v>65</v>
      </c>
      <c r="C15" s="2" t="s">
        <v>75</v>
      </c>
      <c r="D15">
        <v>1</v>
      </c>
      <c r="E15">
        <v>158</v>
      </c>
      <c r="F15" s="2" t="s">
        <v>28</v>
      </c>
      <c r="G15" s="2" t="s">
        <v>20</v>
      </c>
      <c r="H15">
        <v>0.15</v>
      </c>
      <c r="I15" s="2" t="s">
        <v>47</v>
      </c>
      <c r="J15" s="2" t="s">
        <v>56</v>
      </c>
      <c r="K15">
        <v>0</v>
      </c>
      <c r="L15" s="2" t="s">
        <v>76</v>
      </c>
      <c r="M15" s="2" t="s">
        <v>77</v>
      </c>
      <c r="N15">
        <v>42.82</v>
      </c>
      <c r="O15" s="1">
        <v>45675</v>
      </c>
      <c r="P15" s="1">
        <v>45679</v>
      </c>
      <c r="Q15" s="2" t="s">
        <v>68</v>
      </c>
      <c r="R15" s="2">
        <v>134</v>
      </c>
    </row>
    <row r="16" spans="1:21" x14ac:dyDescent="0.25">
      <c r="A16" s="1">
        <v>45634</v>
      </c>
      <c r="B16" s="2" t="s">
        <v>35</v>
      </c>
      <c r="C16" s="2" t="s">
        <v>36</v>
      </c>
      <c r="D16">
        <v>15</v>
      </c>
      <c r="E16">
        <v>220</v>
      </c>
      <c r="F16" s="2" t="s">
        <v>19</v>
      </c>
      <c r="G16" s="2" t="s">
        <v>29</v>
      </c>
      <c r="H16">
        <v>0.15</v>
      </c>
      <c r="I16" s="2" t="s">
        <v>52</v>
      </c>
      <c r="J16" s="2" t="s">
        <v>56</v>
      </c>
      <c r="K16">
        <v>0</v>
      </c>
      <c r="L16" s="2" t="s">
        <v>78</v>
      </c>
      <c r="M16" s="2" t="s">
        <v>79</v>
      </c>
      <c r="N16">
        <v>39.659999999999997</v>
      </c>
      <c r="O16" s="1">
        <v>45634</v>
      </c>
      <c r="P16" s="1">
        <v>45641</v>
      </c>
      <c r="Q16" s="2" t="s">
        <v>39</v>
      </c>
      <c r="R16" s="2">
        <v>2805</v>
      </c>
    </row>
    <row r="17" spans="1:18" x14ac:dyDescent="0.25">
      <c r="A17" s="1">
        <v>45788</v>
      </c>
      <c r="B17" s="2" t="s">
        <v>65</v>
      </c>
      <c r="C17" s="2" t="s">
        <v>41</v>
      </c>
      <c r="D17">
        <v>17</v>
      </c>
      <c r="E17">
        <v>163</v>
      </c>
      <c r="F17" s="2" t="s">
        <v>28</v>
      </c>
      <c r="G17" s="2" t="s">
        <v>20</v>
      </c>
      <c r="H17">
        <v>0.05</v>
      </c>
      <c r="I17" s="2" t="s">
        <v>21</v>
      </c>
      <c r="J17" s="2" t="s">
        <v>31</v>
      </c>
      <c r="K17">
        <v>0</v>
      </c>
      <c r="L17" s="2" t="s">
        <v>80</v>
      </c>
      <c r="M17" s="2" t="s">
        <v>81</v>
      </c>
      <c r="N17">
        <v>8.11</v>
      </c>
      <c r="O17" s="1">
        <v>45788</v>
      </c>
      <c r="P17" s="1">
        <v>45794</v>
      </c>
      <c r="Q17" s="2" t="s">
        <v>68</v>
      </c>
      <c r="R17" s="2">
        <v>2632</v>
      </c>
    </row>
    <row r="18" spans="1:18" x14ac:dyDescent="0.25">
      <c r="A18" s="1">
        <v>44983</v>
      </c>
      <c r="B18" s="2" t="s">
        <v>65</v>
      </c>
      <c r="C18" s="2" t="s">
        <v>18</v>
      </c>
      <c r="D18">
        <v>19</v>
      </c>
      <c r="E18">
        <v>236</v>
      </c>
      <c r="F18" s="2" t="s">
        <v>51</v>
      </c>
      <c r="G18" s="2" t="s">
        <v>20</v>
      </c>
      <c r="H18">
        <v>0</v>
      </c>
      <c r="I18" s="2" t="s">
        <v>62</v>
      </c>
      <c r="J18" s="2" t="s">
        <v>22</v>
      </c>
      <c r="K18">
        <v>0</v>
      </c>
      <c r="L18" s="2" t="s">
        <v>82</v>
      </c>
      <c r="M18" s="2" t="s">
        <v>83</v>
      </c>
      <c r="N18">
        <v>34.11</v>
      </c>
      <c r="O18" s="1">
        <v>44983</v>
      </c>
      <c r="P18" s="1">
        <v>44989</v>
      </c>
      <c r="Q18" s="2" t="s">
        <v>68</v>
      </c>
      <c r="R18" s="2">
        <v>4484</v>
      </c>
    </row>
    <row r="19" spans="1:18" x14ac:dyDescent="0.25">
      <c r="A19" s="1">
        <v>45440</v>
      </c>
      <c r="B19" s="2" t="s">
        <v>40</v>
      </c>
      <c r="C19" s="2" t="s">
        <v>36</v>
      </c>
      <c r="D19">
        <v>11</v>
      </c>
      <c r="E19">
        <v>573</v>
      </c>
      <c r="F19" s="2" t="s">
        <v>51</v>
      </c>
      <c r="G19" s="2" t="s">
        <v>29</v>
      </c>
      <c r="H19">
        <v>0.05</v>
      </c>
      <c r="I19" s="2" t="s">
        <v>52</v>
      </c>
      <c r="J19" s="2" t="s">
        <v>59</v>
      </c>
      <c r="K19">
        <v>0</v>
      </c>
      <c r="L19" s="2" t="s">
        <v>84</v>
      </c>
      <c r="M19" s="2" t="s">
        <v>85</v>
      </c>
      <c r="N19">
        <v>34.71</v>
      </c>
      <c r="O19" s="1">
        <v>45440</v>
      </c>
      <c r="P19" s="1">
        <v>45444</v>
      </c>
      <c r="Q19" s="2" t="s">
        <v>45</v>
      </c>
      <c r="R19" s="2">
        <v>5988</v>
      </c>
    </row>
    <row r="20" spans="1:18" x14ac:dyDescent="0.25">
      <c r="A20" s="1">
        <v>45260</v>
      </c>
      <c r="B20" s="2" t="s">
        <v>17</v>
      </c>
      <c r="C20" s="2" t="s">
        <v>27</v>
      </c>
      <c r="D20">
        <v>20</v>
      </c>
      <c r="E20">
        <v>519</v>
      </c>
      <c r="F20" s="2" t="s">
        <v>19</v>
      </c>
      <c r="G20" s="2" t="s">
        <v>29</v>
      </c>
      <c r="H20">
        <v>0.15</v>
      </c>
      <c r="I20" s="2" t="s">
        <v>47</v>
      </c>
      <c r="J20" s="2" t="s">
        <v>31</v>
      </c>
      <c r="K20">
        <v>0</v>
      </c>
      <c r="L20" s="2" t="s">
        <v>86</v>
      </c>
      <c r="M20" s="2" t="s">
        <v>87</v>
      </c>
      <c r="N20">
        <v>19.43</v>
      </c>
      <c r="O20" s="1">
        <v>45260</v>
      </c>
      <c r="P20" s="1">
        <v>45268</v>
      </c>
      <c r="Q20" s="2" t="s">
        <v>25</v>
      </c>
      <c r="R20" s="2">
        <v>8823</v>
      </c>
    </row>
    <row r="21" spans="1:18" x14ac:dyDescent="0.25">
      <c r="A21" s="1">
        <v>45099</v>
      </c>
      <c r="B21" s="2" t="s">
        <v>65</v>
      </c>
      <c r="C21" s="2" t="s">
        <v>36</v>
      </c>
      <c r="D21">
        <v>14</v>
      </c>
      <c r="E21">
        <v>31</v>
      </c>
      <c r="F21" s="2" t="s">
        <v>19</v>
      </c>
      <c r="G21" s="2" t="s">
        <v>29</v>
      </c>
      <c r="H21">
        <v>0</v>
      </c>
      <c r="I21" s="2" t="s">
        <v>47</v>
      </c>
      <c r="J21" s="2" t="s">
        <v>22</v>
      </c>
      <c r="K21">
        <v>1</v>
      </c>
      <c r="L21" s="2" t="s">
        <v>88</v>
      </c>
      <c r="M21" s="2" t="s">
        <v>89</v>
      </c>
      <c r="N21">
        <v>7.1</v>
      </c>
      <c r="O21" s="1">
        <v>45099</v>
      </c>
      <c r="P21" s="1">
        <v>45109</v>
      </c>
      <c r="Q21" s="2" t="s">
        <v>68</v>
      </c>
      <c r="R21" s="2">
        <v>434</v>
      </c>
    </row>
    <row r="22" spans="1:18" x14ac:dyDescent="0.25">
      <c r="A22" s="1">
        <v>45813</v>
      </c>
      <c r="B22" s="2" t="s">
        <v>65</v>
      </c>
      <c r="C22" s="2" t="s">
        <v>27</v>
      </c>
      <c r="D22">
        <v>10</v>
      </c>
      <c r="E22">
        <v>319</v>
      </c>
      <c r="F22" s="2" t="s">
        <v>51</v>
      </c>
      <c r="G22" s="2" t="s">
        <v>20</v>
      </c>
      <c r="H22">
        <v>0</v>
      </c>
      <c r="I22" s="2" t="s">
        <v>52</v>
      </c>
      <c r="J22" s="2" t="s">
        <v>22</v>
      </c>
      <c r="K22">
        <v>0</v>
      </c>
      <c r="L22" s="2" t="s">
        <v>90</v>
      </c>
      <c r="M22" s="2" t="s">
        <v>91</v>
      </c>
      <c r="N22">
        <v>28.43</v>
      </c>
      <c r="O22" s="1">
        <v>45813</v>
      </c>
      <c r="P22" s="1">
        <v>45816</v>
      </c>
      <c r="Q22" s="2" t="s">
        <v>68</v>
      </c>
      <c r="R22" s="2">
        <v>3190</v>
      </c>
    </row>
    <row r="23" spans="1:18" x14ac:dyDescent="0.25">
      <c r="A23" s="1">
        <v>44988</v>
      </c>
      <c r="B23" s="2" t="s">
        <v>40</v>
      </c>
      <c r="C23" s="2" t="s">
        <v>41</v>
      </c>
      <c r="D23">
        <v>14</v>
      </c>
      <c r="E23">
        <v>313</v>
      </c>
      <c r="F23" s="2" t="s">
        <v>28</v>
      </c>
      <c r="G23" s="2" t="s">
        <v>29</v>
      </c>
      <c r="H23">
        <v>0.05</v>
      </c>
      <c r="I23" s="2" t="s">
        <v>62</v>
      </c>
      <c r="J23" s="2" t="s">
        <v>22</v>
      </c>
      <c r="K23">
        <v>1</v>
      </c>
      <c r="L23" s="2" t="s">
        <v>92</v>
      </c>
      <c r="M23" s="2" t="s">
        <v>93</v>
      </c>
      <c r="N23">
        <v>46.83</v>
      </c>
      <c r="O23" s="1">
        <v>44988</v>
      </c>
      <c r="P23" s="1">
        <v>44993</v>
      </c>
      <c r="Q23" s="2" t="s">
        <v>45</v>
      </c>
      <c r="R23" s="2">
        <v>4163</v>
      </c>
    </row>
    <row r="24" spans="1:18" x14ac:dyDescent="0.25">
      <c r="A24" s="1">
        <v>45340</v>
      </c>
      <c r="B24" s="2" t="s">
        <v>35</v>
      </c>
      <c r="C24" s="2" t="s">
        <v>18</v>
      </c>
      <c r="D24">
        <v>14</v>
      </c>
      <c r="E24">
        <v>395</v>
      </c>
      <c r="F24" s="2" t="s">
        <v>46</v>
      </c>
      <c r="G24" s="2" t="s">
        <v>29</v>
      </c>
      <c r="H24">
        <v>0</v>
      </c>
      <c r="I24" s="2" t="s">
        <v>47</v>
      </c>
      <c r="J24" s="2" t="s">
        <v>59</v>
      </c>
      <c r="K24">
        <v>1</v>
      </c>
      <c r="L24" s="2" t="s">
        <v>94</v>
      </c>
      <c r="M24" s="2" t="s">
        <v>95</v>
      </c>
      <c r="N24">
        <v>36.450000000000003</v>
      </c>
      <c r="O24" s="1">
        <v>45340</v>
      </c>
      <c r="P24" s="1">
        <v>45344</v>
      </c>
      <c r="Q24" s="2" t="s">
        <v>39</v>
      </c>
      <c r="R24" s="2">
        <v>5530</v>
      </c>
    </row>
    <row r="25" spans="1:18" x14ac:dyDescent="0.25">
      <c r="A25" s="1">
        <v>45144</v>
      </c>
      <c r="B25" s="2" t="s">
        <v>40</v>
      </c>
      <c r="C25" s="2" t="s">
        <v>18</v>
      </c>
      <c r="D25">
        <v>12</v>
      </c>
      <c r="E25">
        <v>473</v>
      </c>
      <c r="F25" s="2" t="s">
        <v>51</v>
      </c>
      <c r="G25" s="2" t="s">
        <v>29</v>
      </c>
      <c r="H25">
        <v>0.15</v>
      </c>
      <c r="I25" s="2" t="s">
        <v>52</v>
      </c>
      <c r="J25" s="2" t="s">
        <v>53</v>
      </c>
      <c r="K25">
        <v>0</v>
      </c>
      <c r="L25" s="2" t="s">
        <v>96</v>
      </c>
      <c r="M25" s="2" t="s">
        <v>97</v>
      </c>
      <c r="N25">
        <v>27.97</v>
      </c>
      <c r="O25" s="1">
        <v>45144</v>
      </c>
      <c r="P25" s="1">
        <v>45152</v>
      </c>
      <c r="Q25" s="2" t="s">
        <v>45</v>
      </c>
      <c r="R25" s="2">
        <v>4825</v>
      </c>
    </row>
    <row r="26" spans="1:18" x14ac:dyDescent="0.25">
      <c r="A26" s="1">
        <v>45435</v>
      </c>
      <c r="B26" s="2" t="s">
        <v>35</v>
      </c>
      <c r="C26" s="2" t="s">
        <v>36</v>
      </c>
      <c r="D26">
        <v>5</v>
      </c>
      <c r="E26">
        <v>288</v>
      </c>
      <c r="F26" s="2" t="s">
        <v>28</v>
      </c>
      <c r="G26" s="2" t="s">
        <v>20</v>
      </c>
      <c r="H26">
        <v>0</v>
      </c>
      <c r="I26" s="2" t="s">
        <v>21</v>
      </c>
      <c r="J26" s="2" t="s">
        <v>53</v>
      </c>
      <c r="K26">
        <v>0</v>
      </c>
      <c r="L26" s="2" t="s">
        <v>98</v>
      </c>
      <c r="M26" s="2" t="s">
        <v>99</v>
      </c>
      <c r="N26">
        <v>46.69</v>
      </c>
      <c r="O26" s="1">
        <v>45435</v>
      </c>
      <c r="P26" s="1">
        <v>45442</v>
      </c>
      <c r="Q26" s="2" t="s">
        <v>39</v>
      </c>
      <c r="R26" s="2">
        <v>1440</v>
      </c>
    </row>
    <row r="27" spans="1:18" x14ac:dyDescent="0.25">
      <c r="A27" s="1">
        <v>45222</v>
      </c>
      <c r="B27" s="2" t="s">
        <v>17</v>
      </c>
      <c r="C27" s="2" t="s">
        <v>27</v>
      </c>
      <c r="D27">
        <v>13</v>
      </c>
      <c r="E27">
        <v>562</v>
      </c>
      <c r="F27" s="2" t="s">
        <v>51</v>
      </c>
      <c r="G27" s="2" t="s">
        <v>29</v>
      </c>
      <c r="H27">
        <v>0</v>
      </c>
      <c r="I27" s="2" t="s">
        <v>52</v>
      </c>
      <c r="J27" s="2" t="s">
        <v>31</v>
      </c>
      <c r="K27">
        <v>0</v>
      </c>
      <c r="L27" s="2" t="s">
        <v>100</v>
      </c>
      <c r="M27" s="2" t="s">
        <v>101</v>
      </c>
      <c r="N27">
        <v>38.130000000000003</v>
      </c>
      <c r="O27" s="1">
        <v>45222</v>
      </c>
      <c r="P27" s="1">
        <v>45227</v>
      </c>
      <c r="Q27" s="2" t="s">
        <v>25</v>
      </c>
      <c r="R27" s="2">
        <v>7306</v>
      </c>
    </row>
    <row r="28" spans="1:18" x14ac:dyDescent="0.25">
      <c r="A28" s="1">
        <v>45824</v>
      </c>
      <c r="B28" s="2" t="s">
        <v>65</v>
      </c>
      <c r="C28" s="2" t="s">
        <v>27</v>
      </c>
      <c r="D28">
        <v>1</v>
      </c>
      <c r="E28">
        <v>102</v>
      </c>
      <c r="F28" s="2" t="s">
        <v>51</v>
      </c>
      <c r="G28" s="2" t="s">
        <v>29</v>
      </c>
      <c r="H28">
        <v>0</v>
      </c>
      <c r="I28" s="2" t="s">
        <v>42</v>
      </c>
      <c r="J28" s="2" t="s">
        <v>56</v>
      </c>
      <c r="K28">
        <v>0</v>
      </c>
      <c r="L28" s="2" t="s">
        <v>102</v>
      </c>
      <c r="M28" s="2" t="s">
        <v>103</v>
      </c>
      <c r="N28">
        <v>11.59</v>
      </c>
      <c r="O28" s="1">
        <v>45824</v>
      </c>
      <c r="P28" s="1">
        <v>45833</v>
      </c>
      <c r="Q28" s="2" t="s">
        <v>68</v>
      </c>
      <c r="R28" s="2">
        <v>102</v>
      </c>
    </row>
    <row r="29" spans="1:18" x14ac:dyDescent="0.25">
      <c r="A29" s="1">
        <v>44988</v>
      </c>
      <c r="B29" s="2" t="s">
        <v>35</v>
      </c>
      <c r="C29" s="2" t="s">
        <v>27</v>
      </c>
      <c r="D29">
        <v>4</v>
      </c>
      <c r="E29">
        <v>279</v>
      </c>
      <c r="F29" s="2" t="s">
        <v>19</v>
      </c>
      <c r="G29" s="2" t="s">
        <v>29</v>
      </c>
      <c r="H29">
        <v>0</v>
      </c>
      <c r="I29" s="2" t="s">
        <v>52</v>
      </c>
      <c r="J29" s="2" t="s">
        <v>53</v>
      </c>
      <c r="K29">
        <v>0</v>
      </c>
      <c r="L29" s="2" t="s">
        <v>104</v>
      </c>
      <c r="M29" s="2" t="s">
        <v>105</v>
      </c>
      <c r="N29">
        <v>24.78</v>
      </c>
      <c r="O29" s="1">
        <v>44988</v>
      </c>
      <c r="P29" s="1">
        <v>44993</v>
      </c>
      <c r="Q29" s="2" t="s">
        <v>39</v>
      </c>
      <c r="R29" s="2">
        <v>1116</v>
      </c>
    </row>
    <row r="30" spans="1:18" x14ac:dyDescent="0.25">
      <c r="A30" s="1">
        <v>45614</v>
      </c>
      <c r="B30" s="2" t="s">
        <v>26</v>
      </c>
      <c r="C30" s="2" t="s">
        <v>18</v>
      </c>
      <c r="D30">
        <v>1</v>
      </c>
      <c r="E30">
        <v>179</v>
      </c>
      <c r="F30" s="2" t="s">
        <v>28</v>
      </c>
      <c r="G30" s="2" t="s">
        <v>29</v>
      </c>
      <c r="H30">
        <v>0.15</v>
      </c>
      <c r="I30" s="2" t="s">
        <v>47</v>
      </c>
      <c r="J30" s="2" t="s">
        <v>56</v>
      </c>
      <c r="K30">
        <v>1</v>
      </c>
      <c r="L30" s="2" t="s">
        <v>106</v>
      </c>
      <c r="M30" s="2" t="s">
        <v>107</v>
      </c>
      <c r="N30">
        <v>7.61</v>
      </c>
      <c r="O30" s="1">
        <v>45614</v>
      </c>
      <c r="P30" s="1">
        <v>45617</v>
      </c>
      <c r="Q30" s="2" t="s">
        <v>34</v>
      </c>
      <c r="R30" s="2">
        <v>152</v>
      </c>
    </row>
    <row r="31" spans="1:18" x14ac:dyDescent="0.25">
      <c r="A31" s="1">
        <v>45055</v>
      </c>
      <c r="B31" s="2" t="s">
        <v>40</v>
      </c>
      <c r="C31" s="2" t="s">
        <v>75</v>
      </c>
      <c r="D31">
        <v>1</v>
      </c>
      <c r="E31">
        <v>472</v>
      </c>
      <c r="F31" s="2" t="s">
        <v>28</v>
      </c>
      <c r="G31" s="2" t="s">
        <v>20</v>
      </c>
      <c r="H31">
        <v>0.1</v>
      </c>
      <c r="I31" s="2" t="s">
        <v>47</v>
      </c>
      <c r="J31" s="2" t="s">
        <v>22</v>
      </c>
      <c r="K31">
        <v>0</v>
      </c>
      <c r="L31" s="2" t="s">
        <v>108</v>
      </c>
      <c r="M31" s="2" t="s">
        <v>109</v>
      </c>
      <c r="N31">
        <v>33.17</v>
      </c>
      <c r="O31" s="1">
        <v>45055</v>
      </c>
      <c r="P31" s="1">
        <v>45063</v>
      </c>
      <c r="Q31" s="2" t="s">
        <v>45</v>
      </c>
      <c r="R31" s="2">
        <v>425</v>
      </c>
    </row>
    <row r="32" spans="1:18" x14ac:dyDescent="0.25">
      <c r="A32" s="1">
        <v>45633</v>
      </c>
      <c r="B32" s="2" t="s">
        <v>35</v>
      </c>
      <c r="C32" s="2" t="s">
        <v>75</v>
      </c>
      <c r="D32">
        <v>12</v>
      </c>
      <c r="E32">
        <v>306</v>
      </c>
      <c r="F32" s="2" t="s">
        <v>51</v>
      </c>
      <c r="G32" s="2" t="s">
        <v>29</v>
      </c>
      <c r="H32">
        <v>0</v>
      </c>
      <c r="I32" s="2" t="s">
        <v>42</v>
      </c>
      <c r="J32" s="2" t="s">
        <v>56</v>
      </c>
      <c r="K32">
        <v>0</v>
      </c>
      <c r="L32" s="2" t="s">
        <v>110</v>
      </c>
      <c r="M32" s="2" t="s">
        <v>111</v>
      </c>
      <c r="N32">
        <v>37.380000000000003</v>
      </c>
      <c r="O32" s="1">
        <v>45633</v>
      </c>
      <c r="P32" s="1">
        <v>45640</v>
      </c>
      <c r="Q32" s="2" t="s">
        <v>39</v>
      </c>
      <c r="R32" s="2">
        <v>3672</v>
      </c>
    </row>
    <row r="33" spans="1:18" x14ac:dyDescent="0.25">
      <c r="A33" s="1">
        <v>45335</v>
      </c>
      <c r="B33" s="2" t="s">
        <v>35</v>
      </c>
      <c r="C33" s="2" t="s">
        <v>27</v>
      </c>
      <c r="D33">
        <v>7</v>
      </c>
      <c r="E33">
        <v>435</v>
      </c>
      <c r="F33" s="2" t="s">
        <v>46</v>
      </c>
      <c r="G33" s="2" t="s">
        <v>29</v>
      </c>
      <c r="H33">
        <v>0.15</v>
      </c>
      <c r="I33" s="2" t="s">
        <v>42</v>
      </c>
      <c r="J33" s="2" t="s">
        <v>22</v>
      </c>
      <c r="K33">
        <v>0</v>
      </c>
      <c r="L33" s="2" t="s">
        <v>112</v>
      </c>
      <c r="M33" s="2" t="s">
        <v>113</v>
      </c>
      <c r="N33">
        <v>12.35</v>
      </c>
      <c r="O33" s="1">
        <v>45335</v>
      </c>
      <c r="P33" s="1">
        <v>45337</v>
      </c>
      <c r="Q33" s="2" t="s">
        <v>39</v>
      </c>
      <c r="R33" s="2">
        <v>2588</v>
      </c>
    </row>
    <row r="34" spans="1:18" x14ac:dyDescent="0.25">
      <c r="A34" s="1">
        <v>45725</v>
      </c>
      <c r="B34" s="2" t="s">
        <v>26</v>
      </c>
      <c r="C34" s="2" t="s">
        <v>36</v>
      </c>
      <c r="D34">
        <v>6</v>
      </c>
      <c r="E34">
        <v>65</v>
      </c>
      <c r="F34" s="2" t="s">
        <v>46</v>
      </c>
      <c r="G34" s="2" t="s">
        <v>29</v>
      </c>
      <c r="H34">
        <v>0</v>
      </c>
      <c r="I34" s="2" t="s">
        <v>47</v>
      </c>
      <c r="J34" s="2" t="s">
        <v>56</v>
      </c>
      <c r="K34">
        <v>0</v>
      </c>
      <c r="L34" s="2" t="s">
        <v>114</v>
      </c>
      <c r="M34" s="2" t="s">
        <v>115</v>
      </c>
      <c r="N34">
        <v>21.25</v>
      </c>
      <c r="O34" s="1">
        <v>45725</v>
      </c>
      <c r="P34" s="1">
        <v>45731</v>
      </c>
      <c r="Q34" s="2" t="s">
        <v>34</v>
      </c>
      <c r="R34" s="2">
        <v>390</v>
      </c>
    </row>
    <row r="35" spans="1:18" x14ac:dyDescent="0.25">
      <c r="A35" s="1">
        <v>45021</v>
      </c>
      <c r="B35" s="2" t="s">
        <v>40</v>
      </c>
      <c r="C35" s="2" t="s">
        <v>36</v>
      </c>
      <c r="D35">
        <v>17</v>
      </c>
      <c r="E35">
        <v>476</v>
      </c>
      <c r="F35" s="2" t="s">
        <v>51</v>
      </c>
      <c r="G35" s="2" t="s">
        <v>29</v>
      </c>
      <c r="H35">
        <v>0</v>
      </c>
      <c r="I35" s="2" t="s">
        <v>30</v>
      </c>
      <c r="J35" s="2" t="s">
        <v>31</v>
      </c>
      <c r="K35">
        <v>0</v>
      </c>
      <c r="L35" s="2" t="s">
        <v>116</v>
      </c>
      <c r="M35" s="2" t="s">
        <v>117</v>
      </c>
      <c r="N35">
        <v>17.91</v>
      </c>
      <c r="O35" s="1">
        <v>45021</v>
      </c>
      <c r="P35" s="1">
        <v>45027</v>
      </c>
      <c r="Q35" s="2" t="s">
        <v>45</v>
      </c>
      <c r="R35" s="2">
        <v>8092</v>
      </c>
    </row>
    <row r="36" spans="1:18" x14ac:dyDescent="0.25">
      <c r="A36" s="1">
        <v>45785</v>
      </c>
      <c r="B36" s="2" t="s">
        <v>35</v>
      </c>
      <c r="C36" s="2" t="s">
        <v>50</v>
      </c>
      <c r="D36">
        <v>4</v>
      </c>
      <c r="E36">
        <v>560</v>
      </c>
      <c r="F36" s="2" t="s">
        <v>51</v>
      </c>
      <c r="G36" s="2" t="s">
        <v>29</v>
      </c>
      <c r="H36">
        <v>0.15</v>
      </c>
      <c r="I36" s="2" t="s">
        <v>52</v>
      </c>
      <c r="J36" s="2" t="s">
        <v>22</v>
      </c>
      <c r="K36">
        <v>0</v>
      </c>
      <c r="L36" s="2" t="s">
        <v>118</v>
      </c>
      <c r="M36" s="2" t="s">
        <v>119</v>
      </c>
      <c r="N36">
        <v>41.91</v>
      </c>
      <c r="O36" s="1">
        <v>45785</v>
      </c>
      <c r="P36" s="1">
        <v>45789</v>
      </c>
      <c r="Q36" s="2" t="s">
        <v>39</v>
      </c>
      <c r="R36" s="2">
        <v>1904</v>
      </c>
    </row>
    <row r="37" spans="1:18" x14ac:dyDescent="0.25">
      <c r="A37" s="1">
        <v>45172</v>
      </c>
      <c r="B37" s="2" t="s">
        <v>35</v>
      </c>
      <c r="C37" s="2" t="s">
        <v>75</v>
      </c>
      <c r="D37">
        <v>14</v>
      </c>
      <c r="E37">
        <v>82</v>
      </c>
      <c r="F37" s="2" t="s">
        <v>46</v>
      </c>
      <c r="G37" s="2" t="s">
        <v>29</v>
      </c>
      <c r="H37">
        <v>0</v>
      </c>
      <c r="I37" s="2" t="s">
        <v>30</v>
      </c>
      <c r="J37" s="2" t="s">
        <v>53</v>
      </c>
      <c r="K37">
        <v>0</v>
      </c>
      <c r="L37" s="2" t="s">
        <v>120</v>
      </c>
      <c r="M37" s="2" t="s">
        <v>121</v>
      </c>
      <c r="N37">
        <v>12.57</v>
      </c>
      <c r="O37" s="1">
        <v>45172</v>
      </c>
      <c r="P37" s="1">
        <v>45180</v>
      </c>
      <c r="Q37" s="2" t="s">
        <v>39</v>
      </c>
      <c r="R37" s="2">
        <v>1148</v>
      </c>
    </row>
    <row r="38" spans="1:18" x14ac:dyDescent="0.25">
      <c r="A38" s="1">
        <v>45737</v>
      </c>
      <c r="B38" s="2" t="s">
        <v>40</v>
      </c>
      <c r="C38" s="2" t="s">
        <v>41</v>
      </c>
      <c r="D38">
        <v>9</v>
      </c>
      <c r="E38">
        <v>343</v>
      </c>
      <c r="F38" s="2" t="s">
        <v>28</v>
      </c>
      <c r="G38" s="2" t="s">
        <v>29</v>
      </c>
      <c r="H38">
        <v>0.05</v>
      </c>
      <c r="I38" s="2" t="s">
        <v>47</v>
      </c>
      <c r="J38" s="2" t="s">
        <v>56</v>
      </c>
      <c r="K38">
        <v>0</v>
      </c>
      <c r="L38" s="2" t="s">
        <v>122</v>
      </c>
      <c r="M38" s="2" t="s">
        <v>123</v>
      </c>
      <c r="N38">
        <v>40.29</v>
      </c>
      <c r="O38" s="1">
        <v>45737</v>
      </c>
      <c r="P38" s="1">
        <v>45744</v>
      </c>
      <c r="Q38" s="2" t="s">
        <v>45</v>
      </c>
      <c r="R38" s="2">
        <v>2933</v>
      </c>
    </row>
    <row r="39" spans="1:18" x14ac:dyDescent="0.25">
      <c r="A39" s="1">
        <v>45828</v>
      </c>
      <c r="B39" s="2" t="s">
        <v>26</v>
      </c>
      <c r="C39" s="2" t="s">
        <v>41</v>
      </c>
      <c r="D39">
        <v>7</v>
      </c>
      <c r="E39">
        <v>301</v>
      </c>
      <c r="F39" s="2" t="s">
        <v>19</v>
      </c>
      <c r="G39" s="2" t="s">
        <v>29</v>
      </c>
      <c r="H39">
        <v>0.15</v>
      </c>
      <c r="I39" s="2" t="s">
        <v>52</v>
      </c>
      <c r="J39" s="2" t="s">
        <v>59</v>
      </c>
      <c r="K39">
        <v>1</v>
      </c>
      <c r="L39" s="2" t="s">
        <v>124</v>
      </c>
      <c r="M39" s="2" t="s">
        <v>125</v>
      </c>
      <c r="N39">
        <v>34.97</v>
      </c>
      <c r="O39" s="1">
        <v>45828</v>
      </c>
      <c r="P39" s="1">
        <v>45838</v>
      </c>
      <c r="Q39" s="2" t="s">
        <v>34</v>
      </c>
      <c r="R39" s="2">
        <v>1791</v>
      </c>
    </row>
    <row r="40" spans="1:18" x14ac:dyDescent="0.25">
      <c r="A40" s="1">
        <v>45337</v>
      </c>
      <c r="B40" s="2" t="s">
        <v>40</v>
      </c>
      <c r="C40" s="2" t="s">
        <v>126</v>
      </c>
      <c r="D40">
        <v>14</v>
      </c>
      <c r="E40">
        <v>428</v>
      </c>
      <c r="F40" s="2" t="s">
        <v>46</v>
      </c>
      <c r="G40" s="2" t="s">
        <v>29</v>
      </c>
      <c r="H40">
        <v>0.1</v>
      </c>
      <c r="I40" s="2" t="s">
        <v>62</v>
      </c>
      <c r="J40" s="2" t="s">
        <v>59</v>
      </c>
      <c r="K40">
        <v>1</v>
      </c>
      <c r="L40" s="2" t="s">
        <v>127</v>
      </c>
      <c r="M40" s="2" t="s">
        <v>128</v>
      </c>
      <c r="N40">
        <v>24.77</v>
      </c>
      <c r="O40" s="1">
        <v>45337</v>
      </c>
      <c r="P40" s="1">
        <v>45347</v>
      </c>
      <c r="Q40" s="2" t="s">
        <v>45</v>
      </c>
      <c r="R40" s="2">
        <v>5393</v>
      </c>
    </row>
    <row r="41" spans="1:18" x14ac:dyDescent="0.25">
      <c r="A41" s="1">
        <v>45086</v>
      </c>
      <c r="B41" s="2" t="s">
        <v>40</v>
      </c>
      <c r="C41" s="2" t="s">
        <v>18</v>
      </c>
      <c r="D41">
        <v>2</v>
      </c>
      <c r="E41">
        <v>503</v>
      </c>
      <c r="F41" s="2" t="s">
        <v>51</v>
      </c>
      <c r="G41" s="2" t="s">
        <v>29</v>
      </c>
      <c r="H41">
        <v>0.15</v>
      </c>
      <c r="I41" s="2" t="s">
        <v>30</v>
      </c>
      <c r="J41" s="2" t="s">
        <v>31</v>
      </c>
      <c r="K41">
        <v>0</v>
      </c>
      <c r="L41" s="2" t="s">
        <v>129</v>
      </c>
      <c r="M41" s="2" t="s">
        <v>130</v>
      </c>
      <c r="N41">
        <v>34.79</v>
      </c>
      <c r="O41" s="1">
        <v>45086</v>
      </c>
      <c r="P41" s="1">
        <v>45094</v>
      </c>
      <c r="Q41" s="2" t="s">
        <v>45</v>
      </c>
      <c r="R41" s="2">
        <v>855</v>
      </c>
    </row>
    <row r="42" spans="1:18" x14ac:dyDescent="0.25">
      <c r="A42" s="1">
        <v>45148</v>
      </c>
      <c r="B42" s="2" t="s">
        <v>26</v>
      </c>
      <c r="C42" s="2" t="s">
        <v>126</v>
      </c>
      <c r="D42">
        <v>5</v>
      </c>
      <c r="E42">
        <v>470</v>
      </c>
      <c r="F42" s="2" t="s">
        <v>28</v>
      </c>
      <c r="G42" s="2" t="s">
        <v>29</v>
      </c>
      <c r="H42">
        <v>0.1</v>
      </c>
      <c r="I42" s="2" t="s">
        <v>21</v>
      </c>
      <c r="J42" s="2" t="s">
        <v>56</v>
      </c>
      <c r="K42">
        <v>0</v>
      </c>
      <c r="L42" s="2" t="s">
        <v>131</v>
      </c>
      <c r="M42" s="2" t="s">
        <v>132</v>
      </c>
      <c r="N42">
        <v>17.77</v>
      </c>
      <c r="O42" s="1">
        <v>45148</v>
      </c>
      <c r="P42" s="1">
        <v>45152</v>
      </c>
      <c r="Q42" s="2" t="s">
        <v>34</v>
      </c>
      <c r="R42" s="2">
        <v>2115</v>
      </c>
    </row>
    <row r="43" spans="1:18" x14ac:dyDescent="0.25">
      <c r="A43" s="1">
        <v>45459</v>
      </c>
      <c r="B43" s="2" t="s">
        <v>40</v>
      </c>
      <c r="C43" s="2" t="s">
        <v>126</v>
      </c>
      <c r="D43">
        <v>20</v>
      </c>
      <c r="E43">
        <v>65</v>
      </c>
      <c r="F43" s="2" t="s">
        <v>46</v>
      </c>
      <c r="G43" s="2" t="s">
        <v>20</v>
      </c>
      <c r="H43">
        <v>0.05</v>
      </c>
      <c r="I43" s="2" t="s">
        <v>21</v>
      </c>
      <c r="J43" s="2" t="s">
        <v>31</v>
      </c>
      <c r="K43">
        <v>0</v>
      </c>
      <c r="L43" s="2" t="s">
        <v>133</v>
      </c>
      <c r="M43" s="2" t="s">
        <v>134</v>
      </c>
      <c r="N43">
        <v>21.72</v>
      </c>
      <c r="O43" s="1">
        <v>45459</v>
      </c>
      <c r="P43" s="1">
        <v>45468</v>
      </c>
      <c r="Q43" s="2" t="s">
        <v>45</v>
      </c>
      <c r="R43" s="2">
        <v>1235</v>
      </c>
    </row>
    <row r="44" spans="1:18" x14ac:dyDescent="0.25">
      <c r="A44" s="1">
        <v>45130</v>
      </c>
      <c r="B44" s="2" t="s">
        <v>26</v>
      </c>
      <c r="C44" s="2" t="s">
        <v>18</v>
      </c>
      <c r="D44">
        <v>12</v>
      </c>
      <c r="E44">
        <v>36</v>
      </c>
      <c r="F44" s="2" t="s">
        <v>28</v>
      </c>
      <c r="G44" s="2" t="s">
        <v>29</v>
      </c>
      <c r="H44">
        <v>0</v>
      </c>
      <c r="I44" s="2" t="s">
        <v>21</v>
      </c>
      <c r="J44" s="2" t="s">
        <v>22</v>
      </c>
      <c r="K44">
        <v>0</v>
      </c>
      <c r="L44" s="2" t="s">
        <v>135</v>
      </c>
      <c r="M44" s="2" t="s">
        <v>136</v>
      </c>
      <c r="N44">
        <v>34.85</v>
      </c>
      <c r="O44" s="1">
        <v>45130</v>
      </c>
      <c r="P44" s="1">
        <v>45133</v>
      </c>
      <c r="Q44" s="2" t="s">
        <v>34</v>
      </c>
      <c r="R44" s="2">
        <v>432</v>
      </c>
    </row>
    <row r="45" spans="1:18" x14ac:dyDescent="0.25">
      <c r="A45" s="1">
        <v>45066</v>
      </c>
      <c r="B45" s="2" t="s">
        <v>40</v>
      </c>
      <c r="C45" s="2" t="s">
        <v>126</v>
      </c>
      <c r="D45">
        <v>4</v>
      </c>
      <c r="E45">
        <v>459</v>
      </c>
      <c r="F45" s="2" t="s">
        <v>51</v>
      </c>
      <c r="G45" s="2" t="s">
        <v>20</v>
      </c>
      <c r="H45">
        <v>0.15</v>
      </c>
      <c r="I45" s="2" t="s">
        <v>47</v>
      </c>
      <c r="J45" s="2" t="s">
        <v>31</v>
      </c>
      <c r="K45">
        <v>1</v>
      </c>
      <c r="L45" s="2" t="s">
        <v>137</v>
      </c>
      <c r="M45" s="2" t="s">
        <v>138</v>
      </c>
      <c r="N45">
        <v>27.39</v>
      </c>
      <c r="O45" s="1">
        <v>45066</v>
      </c>
      <c r="P45" s="1">
        <v>45073</v>
      </c>
      <c r="Q45" s="2" t="s">
        <v>45</v>
      </c>
      <c r="R45" s="2">
        <v>1561</v>
      </c>
    </row>
    <row r="46" spans="1:18" x14ac:dyDescent="0.25">
      <c r="A46" s="1">
        <v>45107</v>
      </c>
      <c r="B46" s="2" t="s">
        <v>26</v>
      </c>
      <c r="C46" s="2" t="s">
        <v>18</v>
      </c>
      <c r="D46">
        <v>2</v>
      </c>
      <c r="E46">
        <v>416</v>
      </c>
      <c r="F46" s="2" t="s">
        <v>51</v>
      </c>
      <c r="G46" s="2" t="s">
        <v>29</v>
      </c>
      <c r="H46">
        <v>0.05</v>
      </c>
      <c r="I46" s="2" t="s">
        <v>21</v>
      </c>
      <c r="J46" s="2" t="s">
        <v>56</v>
      </c>
      <c r="K46">
        <v>0</v>
      </c>
      <c r="L46" s="2" t="s">
        <v>139</v>
      </c>
      <c r="M46" s="2" t="s">
        <v>140</v>
      </c>
      <c r="N46">
        <v>11.62</v>
      </c>
      <c r="O46" s="1">
        <v>45107</v>
      </c>
      <c r="P46" s="1">
        <v>45111</v>
      </c>
      <c r="Q46" s="2" t="s">
        <v>34</v>
      </c>
      <c r="R46" s="2">
        <v>790</v>
      </c>
    </row>
    <row r="47" spans="1:18" x14ac:dyDescent="0.25">
      <c r="A47" s="1">
        <v>45447</v>
      </c>
      <c r="B47" s="2" t="s">
        <v>26</v>
      </c>
      <c r="C47" s="2" t="s">
        <v>75</v>
      </c>
      <c r="D47">
        <v>16</v>
      </c>
      <c r="E47">
        <v>303</v>
      </c>
      <c r="F47" s="2" t="s">
        <v>51</v>
      </c>
      <c r="G47" s="2" t="s">
        <v>29</v>
      </c>
      <c r="H47">
        <v>0</v>
      </c>
      <c r="I47" s="2" t="s">
        <v>30</v>
      </c>
      <c r="J47" s="2" t="s">
        <v>22</v>
      </c>
      <c r="K47">
        <v>1</v>
      </c>
      <c r="L47" s="2" t="s">
        <v>141</v>
      </c>
      <c r="M47" s="2" t="s">
        <v>142</v>
      </c>
      <c r="N47">
        <v>20.76</v>
      </c>
      <c r="O47" s="1">
        <v>45447</v>
      </c>
      <c r="P47" s="1">
        <v>45457</v>
      </c>
      <c r="Q47" s="2" t="s">
        <v>34</v>
      </c>
      <c r="R47" s="2">
        <v>4848</v>
      </c>
    </row>
    <row r="48" spans="1:18" x14ac:dyDescent="0.25">
      <c r="A48" s="1">
        <v>45691</v>
      </c>
      <c r="B48" s="2" t="s">
        <v>65</v>
      </c>
      <c r="C48" s="2" t="s">
        <v>41</v>
      </c>
      <c r="D48">
        <v>11</v>
      </c>
      <c r="E48">
        <v>33</v>
      </c>
      <c r="F48" s="2" t="s">
        <v>28</v>
      </c>
      <c r="G48" s="2" t="s">
        <v>29</v>
      </c>
      <c r="H48">
        <v>0.15</v>
      </c>
      <c r="I48" s="2" t="s">
        <v>42</v>
      </c>
      <c r="J48" s="2" t="s">
        <v>22</v>
      </c>
      <c r="K48">
        <v>0</v>
      </c>
      <c r="L48" s="2" t="s">
        <v>143</v>
      </c>
      <c r="M48" s="2" t="s">
        <v>144</v>
      </c>
      <c r="N48">
        <v>24.95</v>
      </c>
      <c r="O48" s="1">
        <v>45691</v>
      </c>
      <c r="P48" s="1">
        <v>45693</v>
      </c>
      <c r="Q48" s="2" t="s">
        <v>68</v>
      </c>
      <c r="R48" s="2">
        <v>309</v>
      </c>
    </row>
    <row r="49" spans="1:18" x14ac:dyDescent="0.25">
      <c r="A49" s="1">
        <v>45300</v>
      </c>
      <c r="B49" s="2" t="s">
        <v>17</v>
      </c>
      <c r="C49" s="2" t="s">
        <v>75</v>
      </c>
      <c r="D49">
        <v>8</v>
      </c>
      <c r="E49">
        <v>583</v>
      </c>
      <c r="F49" s="2" t="s">
        <v>51</v>
      </c>
      <c r="G49" s="2" t="s">
        <v>29</v>
      </c>
      <c r="H49">
        <v>0.15</v>
      </c>
      <c r="I49" s="2" t="s">
        <v>42</v>
      </c>
      <c r="J49" s="2" t="s">
        <v>31</v>
      </c>
      <c r="K49">
        <v>0</v>
      </c>
      <c r="L49" s="2" t="s">
        <v>145</v>
      </c>
      <c r="M49" s="2" t="s">
        <v>146</v>
      </c>
      <c r="N49">
        <v>6.47</v>
      </c>
      <c r="O49" s="1">
        <v>45300</v>
      </c>
      <c r="P49" s="1">
        <v>45304</v>
      </c>
      <c r="Q49" s="2" t="s">
        <v>25</v>
      </c>
      <c r="R49" s="2">
        <v>3964</v>
      </c>
    </row>
    <row r="50" spans="1:18" x14ac:dyDescent="0.25">
      <c r="A50" s="1">
        <v>45365</v>
      </c>
      <c r="B50" s="2" t="s">
        <v>35</v>
      </c>
      <c r="C50" s="2" t="s">
        <v>36</v>
      </c>
      <c r="D50">
        <v>5</v>
      </c>
      <c r="E50">
        <v>165</v>
      </c>
      <c r="F50" s="2" t="s">
        <v>28</v>
      </c>
      <c r="G50" s="2" t="s">
        <v>29</v>
      </c>
      <c r="H50">
        <v>0.1</v>
      </c>
      <c r="I50" s="2" t="s">
        <v>21</v>
      </c>
      <c r="J50" s="2" t="s">
        <v>31</v>
      </c>
      <c r="K50">
        <v>0</v>
      </c>
      <c r="L50" s="2" t="s">
        <v>147</v>
      </c>
      <c r="M50" s="2" t="s">
        <v>148</v>
      </c>
      <c r="N50">
        <v>20.57</v>
      </c>
      <c r="O50" s="1">
        <v>45365</v>
      </c>
      <c r="P50" s="1">
        <v>45367</v>
      </c>
      <c r="Q50" s="2" t="s">
        <v>39</v>
      </c>
      <c r="R50" s="2">
        <v>742</v>
      </c>
    </row>
    <row r="51" spans="1:18" x14ac:dyDescent="0.25">
      <c r="A51" s="1">
        <v>45541</v>
      </c>
      <c r="B51" s="2" t="s">
        <v>65</v>
      </c>
      <c r="C51" s="2" t="s">
        <v>50</v>
      </c>
      <c r="D51">
        <v>14</v>
      </c>
      <c r="E51">
        <v>243</v>
      </c>
      <c r="F51" s="2" t="s">
        <v>51</v>
      </c>
      <c r="G51" s="2" t="s">
        <v>20</v>
      </c>
      <c r="H51">
        <v>0.15</v>
      </c>
      <c r="I51" s="2" t="s">
        <v>30</v>
      </c>
      <c r="J51" s="2" t="s">
        <v>59</v>
      </c>
      <c r="K51">
        <v>1</v>
      </c>
      <c r="L51" s="2" t="s">
        <v>149</v>
      </c>
      <c r="M51" s="2" t="s">
        <v>150</v>
      </c>
      <c r="N51">
        <v>20.71</v>
      </c>
      <c r="O51" s="1">
        <v>45541</v>
      </c>
      <c r="P51" s="1">
        <v>45548</v>
      </c>
      <c r="Q51" s="2" t="s">
        <v>68</v>
      </c>
      <c r="R51" s="2">
        <v>2892</v>
      </c>
    </row>
    <row r="52" spans="1:18" x14ac:dyDescent="0.25">
      <c r="A52" s="1">
        <v>45002</v>
      </c>
      <c r="B52" s="2" t="s">
        <v>17</v>
      </c>
      <c r="C52" s="2" t="s">
        <v>50</v>
      </c>
      <c r="D52">
        <v>13</v>
      </c>
      <c r="E52">
        <v>66</v>
      </c>
      <c r="F52" s="2" t="s">
        <v>28</v>
      </c>
      <c r="G52" s="2" t="s">
        <v>20</v>
      </c>
      <c r="H52">
        <v>0.1</v>
      </c>
      <c r="I52" s="2" t="s">
        <v>42</v>
      </c>
      <c r="J52" s="2" t="s">
        <v>59</v>
      </c>
      <c r="K52">
        <v>0</v>
      </c>
      <c r="L52" s="2" t="s">
        <v>151</v>
      </c>
      <c r="M52" s="2" t="s">
        <v>152</v>
      </c>
      <c r="N52">
        <v>12.87</v>
      </c>
      <c r="O52" s="1">
        <v>45002</v>
      </c>
      <c r="P52" s="1">
        <v>45005</v>
      </c>
      <c r="Q52" s="2" t="s">
        <v>25</v>
      </c>
      <c r="R52" s="2">
        <v>772</v>
      </c>
    </row>
    <row r="53" spans="1:18" x14ac:dyDescent="0.25">
      <c r="A53" s="1">
        <v>45674</v>
      </c>
      <c r="B53" s="2" t="s">
        <v>65</v>
      </c>
      <c r="C53" s="2" t="s">
        <v>41</v>
      </c>
      <c r="D53">
        <v>2</v>
      </c>
      <c r="E53">
        <v>252</v>
      </c>
      <c r="F53" s="2" t="s">
        <v>46</v>
      </c>
      <c r="G53" s="2" t="s">
        <v>20</v>
      </c>
      <c r="H53">
        <v>0</v>
      </c>
      <c r="I53" s="2" t="s">
        <v>30</v>
      </c>
      <c r="J53" s="2" t="s">
        <v>56</v>
      </c>
      <c r="K53">
        <v>0</v>
      </c>
      <c r="L53" s="2" t="s">
        <v>153</v>
      </c>
      <c r="M53" s="2" t="s">
        <v>154</v>
      </c>
      <c r="N53">
        <v>42.49</v>
      </c>
      <c r="O53" s="1">
        <v>45674</v>
      </c>
      <c r="P53" s="1">
        <v>45681</v>
      </c>
      <c r="Q53" s="2" t="s">
        <v>68</v>
      </c>
      <c r="R53" s="2">
        <v>504</v>
      </c>
    </row>
    <row r="54" spans="1:18" x14ac:dyDescent="0.25">
      <c r="A54" s="1">
        <v>45547</v>
      </c>
      <c r="B54" s="2" t="s">
        <v>26</v>
      </c>
      <c r="C54" s="2" t="s">
        <v>18</v>
      </c>
      <c r="D54">
        <v>1</v>
      </c>
      <c r="E54">
        <v>269</v>
      </c>
      <c r="F54" s="2" t="s">
        <v>19</v>
      </c>
      <c r="G54" s="2" t="s">
        <v>20</v>
      </c>
      <c r="H54">
        <v>0.1</v>
      </c>
      <c r="I54" s="2" t="s">
        <v>21</v>
      </c>
      <c r="J54" s="2" t="s">
        <v>59</v>
      </c>
      <c r="K54">
        <v>1</v>
      </c>
      <c r="L54" s="2" t="s">
        <v>155</v>
      </c>
      <c r="M54" s="2" t="s">
        <v>156</v>
      </c>
      <c r="N54">
        <v>19.22</v>
      </c>
      <c r="O54" s="1">
        <v>45547</v>
      </c>
      <c r="P54" s="1">
        <v>45553</v>
      </c>
      <c r="Q54" s="2" t="s">
        <v>34</v>
      </c>
      <c r="R54" s="2">
        <v>242</v>
      </c>
    </row>
    <row r="55" spans="1:18" x14ac:dyDescent="0.25">
      <c r="A55" s="1">
        <v>45296</v>
      </c>
      <c r="B55" s="2" t="s">
        <v>26</v>
      </c>
      <c r="C55" s="2" t="s">
        <v>50</v>
      </c>
      <c r="D55">
        <v>2</v>
      </c>
      <c r="E55">
        <v>371</v>
      </c>
      <c r="F55" s="2" t="s">
        <v>19</v>
      </c>
      <c r="G55" s="2" t="s">
        <v>20</v>
      </c>
      <c r="H55">
        <v>0.05</v>
      </c>
      <c r="I55" s="2" t="s">
        <v>62</v>
      </c>
      <c r="J55" s="2" t="s">
        <v>53</v>
      </c>
      <c r="K55">
        <v>0</v>
      </c>
      <c r="L55" s="2" t="s">
        <v>157</v>
      </c>
      <c r="M55" s="2" t="s">
        <v>158</v>
      </c>
      <c r="N55">
        <v>36.51</v>
      </c>
      <c r="O55" s="1">
        <v>45296</v>
      </c>
      <c r="P55" s="1">
        <v>45306</v>
      </c>
      <c r="Q55" s="2" t="s">
        <v>34</v>
      </c>
      <c r="R55" s="2">
        <v>705</v>
      </c>
    </row>
    <row r="56" spans="1:18" x14ac:dyDescent="0.25">
      <c r="A56" s="1">
        <v>45401</v>
      </c>
      <c r="B56" s="2" t="s">
        <v>65</v>
      </c>
      <c r="C56" s="2" t="s">
        <v>75</v>
      </c>
      <c r="D56">
        <v>11</v>
      </c>
      <c r="E56">
        <v>288</v>
      </c>
      <c r="F56" s="2" t="s">
        <v>28</v>
      </c>
      <c r="G56" s="2" t="s">
        <v>20</v>
      </c>
      <c r="H56">
        <v>0.15</v>
      </c>
      <c r="I56" s="2" t="s">
        <v>52</v>
      </c>
      <c r="J56" s="2" t="s">
        <v>22</v>
      </c>
      <c r="K56">
        <v>0</v>
      </c>
      <c r="L56" s="2" t="s">
        <v>159</v>
      </c>
      <c r="M56" s="2" t="s">
        <v>160</v>
      </c>
      <c r="N56">
        <v>37.39</v>
      </c>
      <c r="O56" s="1">
        <v>45401</v>
      </c>
      <c r="P56" s="1">
        <v>45407</v>
      </c>
      <c r="Q56" s="2" t="s">
        <v>68</v>
      </c>
      <c r="R56" s="2">
        <v>2693</v>
      </c>
    </row>
    <row r="57" spans="1:18" x14ac:dyDescent="0.25">
      <c r="A57" s="1">
        <v>45819</v>
      </c>
      <c r="B57" s="2" t="s">
        <v>40</v>
      </c>
      <c r="C57" s="2" t="s">
        <v>75</v>
      </c>
      <c r="D57">
        <v>11</v>
      </c>
      <c r="E57">
        <v>233</v>
      </c>
      <c r="F57" s="2" t="s">
        <v>51</v>
      </c>
      <c r="G57" s="2" t="s">
        <v>20</v>
      </c>
      <c r="H57">
        <v>0.05</v>
      </c>
      <c r="I57" s="2" t="s">
        <v>21</v>
      </c>
      <c r="J57" s="2" t="s">
        <v>53</v>
      </c>
      <c r="K57">
        <v>0</v>
      </c>
      <c r="L57" s="2" t="s">
        <v>161</v>
      </c>
      <c r="M57" s="2" t="s">
        <v>162</v>
      </c>
      <c r="N57">
        <v>36.33</v>
      </c>
      <c r="O57" s="1">
        <v>45819</v>
      </c>
      <c r="P57" s="1">
        <v>45829</v>
      </c>
      <c r="Q57" s="2" t="s">
        <v>45</v>
      </c>
      <c r="R57" s="2">
        <v>2435</v>
      </c>
    </row>
    <row r="58" spans="1:18" x14ac:dyDescent="0.25">
      <c r="A58" s="1">
        <v>45722</v>
      </c>
      <c r="B58" s="2" t="s">
        <v>17</v>
      </c>
      <c r="C58" s="2" t="s">
        <v>27</v>
      </c>
      <c r="D58">
        <v>17</v>
      </c>
      <c r="E58">
        <v>146</v>
      </c>
      <c r="F58" s="2" t="s">
        <v>19</v>
      </c>
      <c r="G58" s="2" t="s">
        <v>29</v>
      </c>
      <c r="H58">
        <v>0.15</v>
      </c>
      <c r="I58" s="2" t="s">
        <v>47</v>
      </c>
      <c r="J58" s="2" t="s">
        <v>59</v>
      </c>
      <c r="K58">
        <v>0</v>
      </c>
      <c r="L58" s="2" t="s">
        <v>163</v>
      </c>
      <c r="M58" s="2" t="s">
        <v>164</v>
      </c>
      <c r="N58">
        <v>7.84</v>
      </c>
      <c r="O58" s="1">
        <v>45722</v>
      </c>
      <c r="P58" s="1">
        <v>45731</v>
      </c>
      <c r="Q58" s="2" t="s">
        <v>25</v>
      </c>
      <c r="R58" s="2">
        <v>2110</v>
      </c>
    </row>
    <row r="59" spans="1:18" x14ac:dyDescent="0.25">
      <c r="A59" s="1">
        <v>45070</v>
      </c>
      <c r="B59" s="2" t="s">
        <v>17</v>
      </c>
      <c r="C59" s="2" t="s">
        <v>41</v>
      </c>
      <c r="D59">
        <v>5</v>
      </c>
      <c r="E59">
        <v>100</v>
      </c>
      <c r="F59" s="2" t="s">
        <v>46</v>
      </c>
      <c r="G59" s="2" t="s">
        <v>29</v>
      </c>
      <c r="H59">
        <v>0.1</v>
      </c>
      <c r="I59" s="2" t="s">
        <v>21</v>
      </c>
      <c r="J59" s="2" t="s">
        <v>31</v>
      </c>
      <c r="K59">
        <v>1</v>
      </c>
      <c r="L59" s="2" t="s">
        <v>165</v>
      </c>
      <c r="M59" s="2" t="s">
        <v>166</v>
      </c>
      <c r="N59">
        <v>18.350000000000001</v>
      </c>
      <c r="O59" s="1">
        <v>45070</v>
      </c>
      <c r="P59" s="1">
        <v>45072</v>
      </c>
      <c r="Q59" s="2" t="s">
        <v>25</v>
      </c>
      <c r="R59" s="2">
        <v>450</v>
      </c>
    </row>
    <row r="60" spans="1:18" x14ac:dyDescent="0.25">
      <c r="A60" s="1">
        <v>44953</v>
      </c>
      <c r="B60" s="2" t="s">
        <v>26</v>
      </c>
      <c r="C60" s="2" t="s">
        <v>27</v>
      </c>
      <c r="D60">
        <v>11</v>
      </c>
      <c r="E60">
        <v>375</v>
      </c>
      <c r="F60" s="2" t="s">
        <v>19</v>
      </c>
      <c r="G60" s="2" t="s">
        <v>29</v>
      </c>
      <c r="H60">
        <v>0.05</v>
      </c>
      <c r="I60" s="2" t="s">
        <v>62</v>
      </c>
      <c r="J60" s="2" t="s">
        <v>56</v>
      </c>
      <c r="K60">
        <v>0</v>
      </c>
      <c r="L60" s="2" t="s">
        <v>167</v>
      </c>
      <c r="M60" s="2" t="s">
        <v>168</v>
      </c>
      <c r="N60">
        <v>15.95</v>
      </c>
      <c r="O60" s="1">
        <v>44953</v>
      </c>
      <c r="P60" s="1">
        <v>44960</v>
      </c>
      <c r="Q60" s="2" t="s">
        <v>34</v>
      </c>
      <c r="R60" s="2">
        <v>3919</v>
      </c>
    </row>
    <row r="61" spans="1:18" x14ac:dyDescent="0.25">
      <c r="A61" s="1">
        <v>45372</v>
      </c>
      <c r="B61" s="2" t="s">
        <v>26</v>
      </c>
      <c r="C61" s="2" t="s">
        <v>18</v>
      </c>
      <c r="D61">
        <v>18</v>
      </c>
      <c r="E61">
        <v>317</v>
      </c>
      <c r="F61" s="2" t="s">
        <v>19</v>
      </c>
      <c r="G61" s="2" t="s">
        <v>20</v>
      </c>
      <c r="H61">
        <v>0.05</v>
      </c>
      <c r="I61" s="2" t="s">
        <v>62</v>
      </c>
      <c r="J61" s="2" t="s">
        <v>59</v>
      </c>
      <c r="K61">
        <v>0</v>
      </c>
      <c r="L61" s="2" t="s">
        <v>169</v>
      </c>
      <c r="M61" s="2" t="s">
        <v>170</v>
      </c>
      <c r="N61">
        <v>15.69</v>
      </c>
      <c r="O61" s="1">
        <v>45372</v>
      </c>
      <c r="P61" s="1">
        <v>45378</v>
      </c>
      <c r="Q61" s="2" t="s">
        <v>34</v>
      </c>
      <c r="R61" s="2">
        <v>5421</v>
      </c>
    </row>
    <row r="62" spans="1:18" x14ac:dyDescent="0.25">
      <c r="A62" s="1">
        <v>45682</v>
      </c>
      <c r="B62" s="2" t="s">
        <v>65</v>
      </c>
      <c r="C62" s="2" t="s">
        <v>18</v>
      </c>
      <c r="D62">
        <v>20</v>
      </c>
      <c r="E62">
        <v>295</v>
      </c>
      <c r="F62" s="2" t="s">
        <v>51</v>
      </c>
      <c r="G62" s="2" t="s">
        <v>29</v>
      </c>
      <c r="H62">
        <v>0.15</v>
      </c>
      <c r="I62" s="2" t="s">
        <v>42</v>
      </c>
      <c r="J62" s="2" t="s">
        <v>22</v>
      </c>
      <c r="K62">
        <v>1</v>
      </c>
      <c r="L62" s="2" t="s">
        <v>171</v>
      </c>
      <c r="M62" s="2" t="s">
        <v>172</v>
      </c>
      <c r="N62">
        <v>13.66</v>
      </c>
      <c r="O62" s="1">
        <v>45682</v>
      </c>
      <c r="P62" s="1">
        <v>45688</v>
      </c>
      <c r="Q62" s="2" t="s">
        <v>68</v>
      </c>
      <c r="R62" s="2">
        <v>5015</v>
      </c>
    </row>
    <row r="63" spans="1:18" x14ac:dyDescent="0.25">
      <c r="A63" s="1">
        <v>45089</v>
      </c>
      <c r="B63" s="2" t="s">
        <v>40</v>
      </c>
      <c r="C63" s="2" t="s">
        <v>27</v>
      </c>
      <c r="D63">
        <v>8</v>
      </c>
      <c r="E63">
        <v>302</v>
      </c>
      <c r="F63" s="2" t="s">
        <v>51</v>
      </c>
      <c r="G63" s="2" t="s">
        <v>29</v>
      </c>
      <c r="H63">
        <v>0</v>
      </c>
      <c r="I63" s="2" t="s">
        <v>21</v>
      </c>
      <c r="J63" s="2" t="s">
        <v>59</v>
      </c>
      <c r="K63">
        <v>0</v>
      </c>
      <c r="L63" s="2" t="s">
        <v>173</v>
      </c>
      <c r="M63" s="2" t="s">
        <v>174</v>
      </c>
      <c r="N63">
        <v>36.54</v>
      </c>
      <c r="O63" s="1">
        <v>45089</v>
      </c>
      <c r="P63" s="1">
        <v>45098</v>
      </c>
      <c r="Q63" s="2" t="s">
        <v>45</v>
      </c>
      <c r="R63" s="2">
        <v>2416</v>
      </c>
    </row>
    <row r="64" spans="1:18" x14ac:dyDescent="0.25">
      <c r="A64" s="1">
        <v>45738</v>
      </c>
      <c r="B64" s="2" t="s">
        <v>40</v>
      </c>
      <c r="C64" s="2" t="s">
        <v>41</v>
      </c>
      <c r="D64">
        <v>3</v>
      </c>
      <c r="E64">
        <v>475</v>
      </c>
      <c r="F64" s="2" t="s">
        <v>19</v>
      </c>
      <c r="G64" s="2" t="s">
        <v>29</v>
      </c>
      <c r="H64">
        <v>0.1</v>
      </c>
      <c r="I64" s="2" t="s">
        <v>30</v>
      </c>
      <c r="J64" s="2" t="s">
        <v>31</v>
      </c>
      <c r="K64">
        <v>0</v>
      </c>
      <c r="L64" s="2" t="s">
        <v>175</v>
      </c>
      <c r="M64" s="2" t="s">
        <v>176</v>
      </c>
      <c r="N64">
        <v>15.62</v>
      </c>
      <c r="O64" s="1">
        <v>45738</v>
      </c>
      <c r="P64" s="1">
        <v>45742</v>
      </c>
      <c r="Q64" s="2" t="s">
        <v>45</v>
      </c>
      <c r="R64" s="2">
        <v>1282</v>
      </c>
    </row>
    <row r="65" spans="1:18" x14ac:dyDescent="0.25">
      <c r="A65" s="1">
        <v>45346</v>
      </c>
      <c r="B65" s="2" t="s">
        <v>40</v>
      </c>
      <c r="C65" s="2" t="s">
        <v>36</v>
      </c>
      <c r="D65">
        <v>16</v>
      </c>
      <c r="E65">
        <v>47</v>
      </c>
      <c r="F65" s="2" t="s">
        <v>51</v>
      </c>
      <c r="G65" s="2" t="s">
        <v>29</v>
      </c>
      <c r="H65">
        <v>0.15</v>
      </c>
      <c r="I65" s="2" t="s">
        <v>62</v>
      </c>
      <c r="J65" s="2" t="s">
        <v>56</v>
      </c>
      <c r="K65">
        <v>0</v>
      </c>
      <c r="L65" s="2" t="s">
        <v>177</v>
      </c>
      <c r="M65" s="2" t="s">
        <v>178</v>
      </c>
      <c r="N65">
        <v>29.5</v>
      </c>
      <c r="O65" s="1">
        <v>45346</v>
      </c>
      <c r="P65" s="1">
        <v>45349</v>
      </c>
      <c r="Q65" s="2" t="s">
        <v>45</v>
      </c>
      <c r="R65" s="2">
        <v>639</v>
      </c>
    </row>
    <row r="66" spans="1:18" x14ac:dyDescent="0.25">
      <c r="A66" s="1">
        <v>45269</v>
      </c>
      <c r="B66" s="2" t="s">
        <v>26</v>
      </c>
      <c r="C66" s="2" t="s">
        <v>41</v>
      </c>
      <c r="D66">
        <v>15</v>
      </c>
      <c r="E66">
        <v>511</v>
      </c>
      <c r="F66" s="2" t="s">
        <v>19</v>
      </c>
      <c r="G66" s="2" t="s">
        <v>20</v>
      </c>
      <c r="H66">
        <v>0</v>
      </c>
      <c r="I66" s="2" t="s">
        <v>42</v>
      </c>
      <c r="J66" s="2" t="s">
        <v>22</v>
      </c>
      <c r="K66">
        <v>0</v>
      </c>
      <c r="L66" s="2" t="s">
        <v>179</v>
      </c>
      <c r="M66" s="2" t="s">
        <v>180</v>
      </c>
      <c r="N66">
        <v>21.77</v>
      </c>
      <c r="O66" s="1">
        <v>45269</v>
      </c>
      <c r="P66" s="1">
        <v>45272</v>
      </c>
      <c r="Q66" s="2" t="s">
        <v>34</v>
      </c>
      <c r="R66" s="2">
        <v>7665</v>
      </c>
    </row>
    <row r="67" spans="1:18" x14ac:dyDescent="0.25">
      <c r="A67" s="1">
        <v>45200</v>
      </c>
      <c r="B67" s="2" t="s">
        <v>40</v>
      </c>
      <c r="C67" s="2" t="s">
        <v>50</v>
      </c>
      <c r="D67">
        <v>3</v>
      </c>
      <c r="E67">
        <v>67</v>
      </c>
      <c r="F67" s="2" t="s">
        <v>19</v>
      </c>
      <c r="G67" s="2" t="s">
        <v>29</v>
      </c>
      <c r="H67">
        <v>0.1</v>
      </c>
      <c r="I67" s="2" t="s">
        <v>42</v>
      </c>
      <c r="J67" s="2" t="s">
        <v>56</v>
      </c>
      <c r="K67">
        <v>0</v>
      </c>
      <c r="L67" s="2" t="s">
        <v>181</v>
      </c>
      <c r="M67" s="2" t="s">
        <v>182</v>
      </c>
      <c r="N67">
        <v>22.43</v>
      </c>
      <c r="O67" s="1">
        <v>45200</v>
      </c>
      <c r="P67" s="1">
        <v>45204</v>
      </c>
      <c r="Q67" s="2" t="s">
        <v>45</v>
      </c>
      <c r="R67" s="2">
        <v>181</v>
      </c>
    </row>
    <row r="68" spans="1:18" x14ac:dyDescent="0.25">
      <c r="A68" s="1">
        <v>45138</v>
      </c>
      <c r="B68" s="2" t="s">
        <v>65</v>
      </c>
      <c r="C68" s="2" t="s">
        <v>75</v>
      </c>
      <c r="D68">
        <v>5</v>
      </c>
      <c r="E68">
        <v>491</v>
      </c>
      <c r="F68" s="2" t="s">
        <v>51</v>
      </c>
      <c r="G68" s="2" t="s">
        <v>20</v>
      </c>
      <c r="H68">
        <v>0.05</v>
      </c>
      <c r="I68" s="2" t="s">
        <v>42</v>
      </c>
      <c r="J68" s="2" t="s">
        <v>22</v>
      </c>
      <c r="K68">
        <v>0</v>
      </c>
      <c r="L68" s="2" t="s">
        <v>183</v>
      </c>
      <c r="M68" s="2" t="s">
        <v>184</v>
      </c>
      <c r="N68">
        <v>12.24</v>
      </c>
      <c r="O68" s="1">
        <v>45138</v>
      </c>
      <c r="P68" s="1">
        <v>45145</v>
      </c>
      <c r="Q68" s="2" t="s">
        <v>68</v>
      </c>
      <c r="R68" s="2">
        <v>2332</v>
      </c>
    </row>
    <row r="69" spans="1:18" x14ac:dyDescent="0.25">
      <c r="A69" s="1">
        <v>45650</v>
      </c>
      <c r="B69" s="2" t="s">
        <v>26</v>
      </c>
      <c r="C69" s="2" t="s">
        <v>41</v>
      </c>
      <c r="D69">
        <v>8</v>
      </c>
      <c r="E69">
        <v>406</v>
      </c>
      <c r="F69" s="2" t="s">
        <v>28</v>
      </c>
      <c r="G69" s="2" t="s">
        <v>20</v>
      </c>
      <c r="H69">
        <v>0.05</v>
      </c>
      <c r="I69" s="2" t="s">
        <v>47</v>
      </c>
      <c r="J69" s="2" t="s">
        <v>53</v>
      </c>
      <c r="K69">
        <v>0</v>
      </c>
      <c r="L69" s="2" t="s">
        <v>185</v>
      </c>
      <c r="M69" s="2" t="s">
        <v>186</v>
      </c>
      <c r="N69">
        <v>41.27</v>
      </c>
      <c r="O69" s="1">
        <v>45650</v>
      </c>
      <c r="P69" s="1">
        <v>45657</v>
      </c>
      <c r="Q69" s="2" t="s">
        <v>34</v>
      </c>
      <c r="R69" s="2">
        <v>3086</v>
      </c>
    </row>
    <row r="70" spans="1:18" x14ac:dyDescent="0.25">
      <c r="A70" s="1">
        <v>45611</v>
      </c>
      <c r="B70" s="2" t="s">
        <v>35</v>
      </c>
      <c r="C70" s="2" t="s">
        <v>27</v>
      </c>
      <c r="D70">
        <v>1</v>
      </c>
      <c r="E70">
        <v>159</v>
      </c>
      <c r="F70" s="2" t="s">
        <v>19</v>
      </c>
      <c r="G70" s="2" t="s">
        <v>29</v>
      </c>
      <c r="H70">
        <v>0.1</v>
      </c>
      <c r="I70" s="2" t="s">
        <v>62</v>
      </c>
      <c r="J70" s="2" t="s">
        <v>53</v>
      </c>
      <c r="K70">
        <v>0</v>
      </c>
      <c r="L70" s="2" t="s">
        <v>187</v>
      </c>
      <c r="M70" s="2" t="s">
        <v>188</v>
      </c>
      <c r="N70">
        <v>35.14</v>
      </c>
      <c r="O70" s="1">
        <v>45611</v>
      </c>
      <c r="P70" s="1">
        <v>45615</v>
      </c>
      <c r="Q70" s="2" t="s">
        <v>39</v>
      </c>
      <c r="R70" s="2">
        <v>143</v>
      </c>
    </row>
    <row r="71" spans="1:18" x14ac:dyDescent="0.25">
      <c r="A71" s="1">
        <v>45729</v>
      </c>
      <c r="B71" s="2" t="s">
        <v>65</v>
      </c>
      <c r="C71" s="2" t="s">
        <v>50</v>
      </c>
      <c r="D71">
        <v>16</v>
      </c>
      <c r="E71">
        <v>38</v>
      </c>
      <c r="F71" s="2" t="s">
        <v>46</v>
      </c>
      <c r="G71" s="2" t="s">
        <v>29</v>
      </c>
      <c r="H71">
        <v>0.15</v>
      </c>
      <c r="I71" s="2" t="s">
        <v>47</v>
      </c>
      <c r="J71" s="2" t="s">
        <v>56</v>
      </c>
      <c r="K71">
        <v>0</v>
      </c>
      <c r="L71" s="2" t="s">
        <v>189</v>
      </c>
      <c r="M71" s="2" t="s">
        <v>190</v>
      </c>
      <c r="N71">
        <v>8.3800000000000008</v>
      </c>
      <c r="O71" s="1">
        <v>45729</v>
      </c>
      <c r="P71" s="1">
        <v>45738</v>
      </c>
      <c r="Q71" s="2" t="s">
        <v>68</v>
      </c>
      <c r="R71" s="2">
        <v>517</v>
      </c>
    </row>
    <row r="72" spans="1:18" x14ac:dyDescent="0.25">
      <c r="A72" s="1">
        <v>45354</v>
      </c>
      <c r="B72" s="2" t="s">
        <v>17</v>
      </c>
      <c r="C72" s="2" t="s">
        <v>75</v>
      </c>
      <c r="D72">
        <v>15</v>
      </c>
      <c r="E72">
        <v>328</v>
      </c>
      <c r="F72" s="2" t="s">
        <v>51</v>
      </c>
      <c r="G72" s="2" t="s">
        <v>29</v>
      </c>
      <c r="H72">
        <v>0.15</v>
      </c>
      <c r="I72" s="2" t="s">
        <v>30</v>
      </c>
      <c r="J72" s="2" t="s">
        <v>31</v>
      </c>
      <c r="K72">
        <v>0</v>
      </c>
      <c r="L72" s="2" t="s">
        <v>191</v>
      </c>
      <c r="M72" s="2" t="s">
        <v>192</v>
      </c>
      <c r="N72">
        <v>15.76</v>
      </c>
      <c r="O72" s="1">
        <v>45354</v>
      </c>
      <c r="P72" s="1">
        <v>45363</v>
      </c>
      <c r="Q72" s="2" t="s">
        <v>25</v>
      </c>
      <c r="R72" s="2">
        <v>4182</v>
      </c>
    </row>
    <row r="73" spans="1:18" x14ac:dyDescent="0.25">
      <c r="A73" s="1">
        <v>44968</v>
      </c>
      <c r="B73" s="2" t="s">
        <v>40</v>
      </c>
      <c r="C73" s="2" t="s">
        <v>75</v>
      </c>
      <c r="D73">
        <v>20</v>
      </c>
      <c r="E73">
        <v>548</v>
      </c>
      <c r="F73" s="2" t="s">
        <v>28</v>
      </c>
      <c r="G73" s="2" t="s">
        <v>20</v>
      </c>
      <c r="H73">
        <v>0.1</v>
      </c>
      <c r="I73" s="2" t="s">
        <v>21</v>
      </c>
      <c r="J73" s="2" t="s">
        <v>53</v>
      </c>
      <c r="K73">
        <v>1</v>
      </c>
      <c r="L73" s="2" t="s">
        <v>193</v>
      </c>
      <c r="M73" s="2" t="s">
        <v>194</v>
      </c>
      <c r="N73">
        <v>5.89</v>
      </c>
      <c r="O73" s="1">
        <v>44968</v>
      </c>
      <c r="P73" s="1">
        <v>44971</v>
      </c>
      <c r="Q73" s="2" t="s">
        <v>45</v>
      </c>
      <c r="R73" s="2">
        <v>9864</v>
      </c>
    </row>
    <row r="74" spans="1:18" x14ac:dyDescent="0.25">
      <c r="A74" s="1">
        <v>45225</v>
      </c>
      <c r="B74" s="2" t="s">
        <v>26</v>
      </c>
      <c r="C74" s="2" t="s">
        <v>36</v>
      </c>
      <c r="D74">
        <v>13</v>
      </c>
      <c r="E74">
        <v>484</v>
      </c>
      <c r="F74" s="2" t="s">
        <v>19</v>
      </c>
      <c r="G74" s="2" t="s">
        <v>20</v>
      </c>
      <c r="H74">
        <v>0.05</v>
      </c>
      <c r="I74" s="2" t="s">
        <v>47</v>
      </c>
      <c r="J74" s="2" t="s">
        <v>31</v>
      </c>
      <c r="K74">
        <v>1</v>
      </c>
      <c r="L74" s="2" t="s">
        <v>195</v>
      </c>
      <c r="M74" s="2" t="s">
        <v>196</v>
      </c>
      <c r="N74">
        <v>6.57</v>
      </c>
      <c r="O74" s="1">
        <v>45225</v>
      </c>
      <c r="P74" s="1">
        <v>45235</v>
      </c>
      <c r="Q74" s="2" t="s">
        <v>34</v>
      </c>
      <c r="R74" s="2">
        <v>5977</v>
      </c>
    </row>
    <row r="75" spans="1:18" x14ac:dyDescent="0.25">
      <c r="A75" s="1">
        <v>45220</v>
      </c>
      <c r="B75" s="2" t="s">
        <v>26</v>
      </c>
      <c r="C75" s="2" t="s">
        <v>50</v>
      </c>
      <c r="D75">
        <v>13</v>
      </c>
      <c r="E75">
        <v>196</v>
      </c>
      <c r="F75" s="2" t="s">
        <v>28</v>
      </c>
      <c r="G75" s="2" t="s">
        <v>20</v>
      </c>
      <c r="H75">
        <v>0.05</v>
      </c>
      <c r="I75" s="2" t="s">
        <v>30</v>
      </c>
      <c r="J75" s="2" t="s">
        <v>53</v>
      </c>
      <c r="K75">
        <v>0</v>
      </c>
      <c r="L75" s="2" t="s">
        <v>197</v>
      </c>
      <c r="M75" s="2" t="s">
        <v>198</v>
      </c>
      <c r="N75">
        <v>33.520000000000003</v>
      </c>
      <c r="O75" s="1">
        <v>45220</v>
      </c>
      <c r="P75" s="1">
        <v>45227</v>
      </c>
      <c r="Q75" s="2" t="s">
        <v>34</v>
      </c>
      <c r="R75" s="2">
        <v>2421</v>
      </c>
    </row>
    <row r="76" spans="1:18" x14ac:dyDescent="0.25">
      <c r="A76" s="1">
        <v>45305</v>
      </c>
      <c r="B76" s="2" t="s">
        <v>40</v>
      </c>
      <c r="C76" s="2" t="s">
        <v>75</v>
      </c>
      <c r="D76">
        <v>19</v>
      </c>
      <c r="E76">
        <v>30</v>
      </c>
      <c r="F76" s="2" t="s">
        <v>51</v>
      </c>
      <c r="G76" s="2" t="s">
        <v>29</v>
      </c>
      <c r="H76">
        <v>0.15</v>
      </c>
      <c r="I76" s="2" t="s">
        <v>52</v>
      </c>
      <c r="J76" s="2" t="s">
        <v>56</v>
      </c>
      <c r="K76">
        <v>0</v>
      </c>
      <c r="L76" s="2" t="s">
        <v>199</v>
      </c>
      <c r="M76" s="2" t="s">
        <v>200</v>
      </c>
      <c r="N76">
        <v>33.590000000000003</v>
      </c>
      <c r="O76" s="1">
        <v>45305</v>
      </c>
      <c r="P76" s="1">
        <v>45311</v>
      </c>
      <c r="Q76" s="2" t="s">
        <v>45</v>
      </c>
      <c r="R76" s="2">
        <v>484</v>
      </c>
    </row>
    <row r="77" spans="1:18" x14ac:dyDescent="0.25">
      <c r="A77" s="1">
        <v>45134</v>
      </c>
      <c r="B77" s="2" t="s">
        <v>40</v>
      </c>
      <c r="C77" s="2" t="s">
        <v>36</v>
      </c>
      <c r="D77">
        <v>10</v>
      </c>
      <c r="E77">
        <v>554</v>
      </c>
      <c r="F77" s="2" t="s">
        <v>51</v>
      </c>
      <c r="G77" s="2" t="s">
        <v>20</v>
      </c>
      <c r="H77">
        <v>0.1</v>
      </c>
      <c r="I77" s="2" t="s">
        <v>21</v>
      </c>
      <c r="J77" s="2" t="s">
        <v>22</v>
      </c>
      <c r="K77">
        <v>0</v>
      </c>
      <c r="L77" s="2" t="s">
        <v>201</v>
      </c>
      <c r="M77" s="2" t="s">
        <v>202</v>
      </c>
      <c r="N77">
        <v>31.3</v>
      </c>
      <c r="O77" s="1">
        <v>45134</v>
      </c>
      <c r="P77" s="1">
        <v>45138</v>
      </c>
      <c r="Q77" s="2" t="s">
        <v>45</v>
      </c>
      <c r="R77" s="2">
        <v>4986</v>
      </c>
    </row>
    <row r="78" spans="1:18" x14ac:dyDescent="0.25">
      <c r="A78" s="1">
        <v>45588</v>
      </c>
      <c r="B78" s="2" t="s">
        <v>26</v>
      </c>
      <c r="C78" s="2" t="s">
        <v>27</v>
      </c>
      <c r="D78">
        <v>14</v>
      </c>
      <c r="E78">
        <v>446</v>
      </c>
      <c r="F78" s="2" t="s">
        <v>19</v>
      </c>
      <c r="G78" s="2" t="s">
        <v>29</v>
      </c>
      <c r="H78">
        <v>0.1</v>
      </c>
      <c r="I78" s="2" t="s">
        <v>62</v>
      </c>
      <c r="J78" s="2" t="s">
        <v>22</v>
      </c>
      <c r="K78">
        <v>0</v>
      </c>
      <c r="L78" s="2" t="s">
        <v>203</v>
      </c>
      <c r="M78" s="2" t="s">
        <v>204</v>
      </c>
      <c r="N78">
        <v>14.41</v>
      </c>
      <c r="O78" s="1">
        <v>45588</v>
      </c>
      <c r="P78" s="1">
        <v>45590</v>
      </c>
      <c r="Q78" s="2" t="s">
        <v>34</v>
      </c>
      <c r="R78" s="2">
        <v>5620</v>
      </c>
    </row>
    <row r="79" spans="1:18" x14ac:dyDescent="0.25">
      <c r="A79" s="1">
        <v>45195</v>
      </c>
      <c r="B79" s="2" t="s">
        <v>26</v>
      </c>
      <c r="C79" s="2" t="s">
        <v>41</v>
      </c>
      <c r="D79">
        <v>5</v>
      </c>
      <c r="E79">
        <v>552</v>
      </c>
      <c r="F79" s="2" t="s">
        <v>19</v>
      </c>
      <c r="G79" s="2" t="s">
        <v>29</v>
      </c>
      <c r="H79">
        <v>0.15</v>
      </c>
      <c r="I79" s="2" t="s">
        <v>30</v>
      </c>
      <c r="J79" s="2" t="s">
        <v>22</v>
      </c>
      <c r="K79">
        <v>1</v>
      </c>
      <c r="L79" s="2" t="s">
        <v>205</v>
      </c>
      <c r="M79" s="2" t="s">
        <v>206</v>
      </c>
      <c r="N79">
        <v>7.87</v>
      </c>
      <c r="O79" s="1">
        <v>45195</v>
      </c>
      <c r="P79" s="1">
        <v>45200</v>
      </c>
      <c r="Q79" s="2" t="s">
        <v>34</v>
      </c>
      <c r="R79" s="2">
        <v>2346</v>
      </c>
    </row>
    <row r="80" spans="1:18" x14ac:dyDescent="0.25">
      <c r="A80" s="1">
        <v>45276</v>
      </c>
      <c r="B80" s="2" t="s">
        <v>17</v>
      </c>
      <c r="C80" s="2" t="s">
        <v>27</v>
      </c>
      <c r="D80">
        <v>13</v>
      </c>
      <c r="E80">
        <v>241</v>
      </c>
      <c r="F80" s="2" t="s">
        <v>51</v>
      </c>
      <c r="G80" s="2" t="s">
        <v>29</v>
      </c>
      <c r="H80">
        <v>0</v>
      </c>
      <c r="I80" s="2" t="s">
        <v>47</v>
      </c>
      <c r="J80" s="2" t="s">
        <v>31</v>
      </c>
      <c r="K80">
        <v>0</v>
      </c>
      <c r="L80" s="2" t="s">
        <v>207</v>
      </c>
      <c r="M80" s="2" t="s">
        <v>208</v>
      </c>
      <c r="N80">
        <v>49.05</v>
      </c>
      <c r="O80" s="1">
        <v>45276</v>
      </c>
      <c r="P80" s="1">
        <v>45280</v>
      </c>
      <c r="Q80" s="2" t="s">
        <v>25</v>
      </c>
      <c r="R80" s="2">
        <v>3133</v>
      </c>
    </row>
    <row r="81" spans="1:18" x14ac:dyDescent="0.25">
      <c r="A81" s="1">
        <v>45293</v>
      </c>
      <c r="B81" s="2" t="s">
        <v>40</v>
      </c>
      <c r="C81" s="2" t="s">
        <v>126</v>
      </c>
      <c r="D81">
        <v>19</v>
      </c>
      <c r="E81">
        <v>352</v>
      </c>
      <c r="F81" s="2" t="s">
        <v>28</v>
      </c>
      <c r="G81" s="2" t="s">
        <v>20</v>
      </c>
      <c r="H81">
        <v>0</v>
      </c>
      <c r="I81" s="2" t="s">
        <v>30</v>
      </c>
      <c r="J81" s="2" t="s">
        <v>53</v>
      </c>
      <c r="K81">
        <v>0</v>
      </c>
      <c r="L81" s="2" t="s">
        <v>209</v>
      </c>
      <c r="M81" s="2" t="s">
        <v>210</v>
      </c>
      <c r="N81">
        <v>39.979999999999997</v>
      </c>
      <c r="O81" s="1">
        <v>45293</v>
      </c>
      <c r="P81" s="1">
        <v>45296</v>
      </c>
      <c r="Q81" s="2" t="s">
        <v>45</v>
      </c>
      <c r="R81" s="2">
        <v>6688</v>
      </c>
    </row>
    <row r="82" spans="1:18" x14ac:dyDescent="0.25">
      <c r="A82" s="1">
        <v>45338</v>
      </c>
      <c r="B82" s="2" t="s">
        <v>35</v>
      </c>
      <c r="C82" s="2" t="s">
        <v>27</v>
      </c>
      <c r="D82">
        <v>4</v>
      </c>
      <c r="E82">
        <v>84</v>
      </c>
      <c r="F82" s="2" t="s">
        <v>28</v>
      </c>
      <c r="G82" s="2" t="s">
        <v>29</v>
      </c>
      <c r="H82">
        <v>0.05</v>
      </c>
      <c r="I82" s="2" t="s">
        <v>30</v>
      </c>
      <c r="J82" s="2" t="s">
        <v>56</v>
      </c>
      <c r="K82">
        <v>1</v>
      </c>
      <c r="L82" s="2" t="s">
        <v>211</v>
      </c>
      <c r="M82" s="2" t="s">
        <v>212</v>
      </c>
      <c r="N82">
        <v>38.82</v>
      </c>
      <c r="O82" s="1">
        <v>45338</v>
      </c>
      <c r="P82" s="1">
        <v>45347</v>
      </c>
      <c r="Q82" s="2" t="s">
        <v>39</v>
      </c>
      <c r="R82" s="2">
        <v>319</v>
      </c>
    </row>
    <row r="83" spans="1:18" x14ac:dyDescent="0.25">
      <c r="A83" s="1">
        <v>45415</v>
      </c>
      <c r="B83" s="2" t="s">
        <v>17</v>
      </c>
      <c r="C83" s="2" t="s">
        <v>50</v>
      </c>
      <c r="D83">
        <v>5</v>
      </c>
      <c r="E83">
        <v>417</v>
      </c>
      <c r="F83" s="2" t="s">
        <v>28</v>
      </c>
      <c r="G83" s="2" t="s">
        <v>20</v>
      </c>
      <c r="H83">
        <v>0.15</v>
      </c>
      <c r="I83" s="2" t="s">
        <v>42</v>
      </c>
      <c r="J83" s="2" t="s">
        <v>22</v>
      </c>
      <c r="K83">
        <v>1</v>
      </c>
      <c r="L83" s="2" t="s">
        <v>213</v>
      </c>
      <c r="M83" s="2" t="s">
        <v>214</v>
      </c>
      <c r="N83">
        <v>24.03</v>
      </c>
      <c r="O83" s="1">
        <v>45415</v>
      </c>
      <c r="P83" s="1">
        <v>45424</v>
      </c>
      <c r="Q83" s="2" t="s">
        <v>25</v>
      </c>
      <c r="R83" s="2">
        <v>1772</v>
      </c>
    </row>
    <row r="84" spans="1:18" x14ac:dyDescent="0.25">
      <c r="A84" s="1">
        <v>45073</v>
      </c>
      <c r="B84" s="2" t="s">
        <v>65</v>
      </c>
      <c r="C84" s="2" t="s">
        <v>50</v>
      </c>
      <c r="D84">
        <v>18</v>
      </c>
      <c r="E84">
        <v>142</v>
      </c>
      <c r="F84" s="2" t="s">
        <v>46</v>
      </c>
      <c r="G84" s="2" t="s">
        <v>29</v>
      </c>
      <c r="H84">
        <v>0.05</v>
      </c>
      <c r="I84" s="2" t="s">
        <v>62</v>
      </c>
      <c r="J84" s="2" t="s">
        <v>53</v>
      </c>
      <c r="K84">
        <v>1</v>
      </c>
      <c r="L84" s="2" t="s">
        <v>215</v>
      </c>
      <c r="M84" s="2" t="s">
        <v>216</v>
      </c>
      <c r="N84">
        <v>12.38</v>
      </c>
      <c r="O84" s="1">
        <v>45073</v>
      </c>
      <c r="P84" s="1">
        <v>45079</v>
      </c>
      <c r="Q84" s="2" t="s">
        <v>68</v>
      </c>
      <c r="R84" s="2">
        <v>2428</v>
      </c>
    </row>
    <row r="85" spans="1:18" x14ac:dyDescent="0.25">
      <c r="A85" s="1">
        <v>44931</v>
      </c>
      <c r="B85" s="2" t="s">
        <v>17</v>
      </c>
      <c r="C85" s="2" t="s">
        <v>36</v>
      </c>
      <c r="D85">
        <v>12</v>
      </c>
      <c r="E85">
        <v>583</v>
      </c>
      <c r="F85" s="2" t="s">
        <v>28</v>
      </c>
      <c r="G85" s="2" t="s">
        <v>20</v>
      </c>
      <c r="H85">
        <v>0</v>
      </c>
      <c r="I85" s="2" t="s">
        <v>62</v>
      </c>
      <c r="J85" s="2" t="s">
        <v>53</v>
      </c>
      <c r="K85">
        <v>0</v>
      </c>
      <c r="L85" s="2" t="s">
        <v>217</v>
      </c>
      <c r="M85" s="2" t="s">
        <v>218</v>
      </c>
      <c r="N85">
        <v>41.16</v>
      </c>
      <c r="O85" s="1">
        <v>44931</v>
      </c>
      <c r="P85" s="1">
        <v>44937</v>
      </c>
      <c r="Q85" s="2" t="s">
        <v>25</v>
      </c>
      <c r="R85" s="2">
        <v>6996</v>
      </c>
    </row>
    <row r="86" spans="1:18" x14ac:dyDescent="0.25">
      <c r="A86" s="1">
        <v>45798</v>
      </c>
      <c r="B86" s="2" t="s">
        <v>17</v>
      </c>
      <c r="C86" s="2" t="s">
        <v>41</v>
      </c>
      <c r="D86">
        <v>20</v>
      </c>
      <c r="E86">
        <v>130</v>
      </c>
      <c r="F86" s="2" t="s">
        <v>28</v>
      </c>
      <c r="G86" s="2" t="s">
        <v>29</v>
      </c>
      <c r="H86">
        <v>0.15</v>
      </c>
      <c r="I86" s="2" t="s">
        <v>52</v>
      </c>
      <c r="J86" s="2" t="s">
        <v>22</v>
      </c>
      <c r="K86">
        <v>0</v>
      </c>
      <c r="L86" s="2" t="s">
        <v>219</v>
      </c>
      <c r="M86" s="2" t="s">
        <v>220</v>
      </c>
      <c r="N86">
        <v>40.21</v>
      </c>
      <c r="O86" s="1">
        <v>45798</v>
      </c>
      <c r="P86" s="1">
        <v>45800</v>
      </c>
      <c r="Q86" s="2" t="s">
        <v>25</v>
      </c>
      <c r="R86" s="2">
        <v>2210</v>
      </c>
    </row>
    <row r="87" spans="1:18" x14ac:dyDescent="0.25">
      <c r="A87" s="1">
        <v>45128</v>
      </c>
      <c r="B87" s="2" t="s">
        <v>40</v>
      </c>
      <c r="C87" s="2" t="s">
        <v>75</v>
      </c>
      <c r="D87">
        <v>17</v>
      </c>
      <c r="E87">
        <v>432</v>
      </c>
      <c r="F87" s="2" t="s">
        <v>19</v>
      </c>
      <c r="G87" s="2" t="s">
        <v>29</v>
      </c>
      <c r="H87">
        <v>0</v>
      </c>
      <c r="I87" s="2" t="s">
        <v>21</v>
      </c>
      <c r="J87" s="2" t="s">
        <v>31</v>
      </c>
      <c r="K87">
        <v>1</v>
      </c>
      <c r="L87" s="2" t="s">
        <v>221</v>
      </c>
      <c r="M87" s="2" t="s">
        <v>222</v>
      </c>
      <c r="N87">
        <v>37.75</v>
      </c>
      <c r="O87" s="1">
        <v>45128</v>
      </c>
      <c r="P87" s="1">
        <v>45132</v>
      </c>
      <c r="Q87" s="2" t="s">
        <v>45</v>
      </c>
      <c r="R87" s="2">
        <v>7344</v>
      </c>
    </row>
    <row r="88" spans="1:18" x14ac:dyDescent="0.25">
      <c r="A88" s="1">
        <v>45802</v>
      </c>
      <c r="B88" s="2" t="s">
        <v>17</v>
      </c>
      <c r="C88" s="2" t="s">
        <v>18</v>
      </c>
      <c r="D88">
        <v>15</v>
      </c>
      <c r="E88">
        <v>16</v>
      </c>
      <c r="F88" s="2" t="s">
        <v>46</v>
      </c>
      <c r="G88" s="2" t="s">
        <v>29</v>
      </c>
      <c r="H88">
        <v>0</v>
      </c>
      <c r="I88" s="2" t="s">
        <v>62</v>
      </c>
      <c r="J88" s="2" t="s">
        <v>56</v>
      </c>
      <c r="K88">
        <v>0</v>
      </c>
      <c r="L88" s="2" t="s">
        <v>223</v>
      </c>
      <c r="M88" s="2" t="s">
        <v>224</v>
      </c>
      <c r="N88">
        <v>23.49</v>
      </c>
      <c r="O88" s="1">
        <v>45802</v>
      </c>
      <c r="P88" s="1">
        <v>45811</v>
      </c>
      <c r="Q88" s="2" t="s">
        <v>25</v>
      </c>
      <c r="R88" s="2">
        <v>240</v>
      </c>
    </row>
    <row r="89" spans="1:18" x14ac:dyDescent="0.25">
      <c r="A89" s="1">
        <v>45612</v>
      </c>
      <c r="B89" s="2" t="s">
        <v>26</v>
      </c>
      <c r="C89" s="2" t="s">
        <v>75</v>
      </c>
      <c r="D89">
        <v>20</v>
      </c>
      <c r="E89">
        <v>548</v>
      </c>
      <c r="F89" s="2" t="s">
        <v>19</v>
      </c>
      <c r="G89" s="2" t="s">
        <v>29</v>
      </c>
      <c r="H89">
        <v>0.1</v>
      </c>
      <c r="I89" s="2" t="s">
        <v>62</v>
      </c>
      <c r="J89" s="2" t="s">
        <v>31</v>
      </c>
      <c r="K89">
        <v>0</v>
      </c>
      <c r="L89" s="2" t="s">
        <v>225</v>
      </c>
      <c r="M89" s="2" t="s">
        <v>226</v>
      </c>
      <c r="N89">
        <v>33.47</v>
      </c>
      <c r="O89" s="1">
        <v>45612</v>
      </c>
      <c r="P89" s="1">
        <v>45618</v>
      </c>
      <c r="Q89" s="2" t="s">
        <v>34</v>
      </c>
      <c r="R89" s="2">
        <v>9864</v>
      </c>
    </row>
    <row r="90" spans="1:18" x14ac:dyDescent="0.25">
      <c r="A90" s="1">
        <v>45249</v>
      </c>
      <c r="B90" s="2" t="s">
        <v>35</v>
      </c>
      <c r="C90" s="2" t="s">
        <v>18</v>
      </c>
      <c r="D90">
        <v>16</v>
      </c>
      <c r="E90">
        <v>526</v>
      </c>
      <c r="F90" s="2" t="s">
        <v>46</v>
      </c>
      <c r="G90" s="2" t="s">
        <v>20</v>
      </c>
      <c r="H90">
        <v>0.05</v>
      </c>
      <c r="I90" s="2" t="s">
        <v>42</v>
      </c>
      <c r="J90" s="2" t="s">
        <v>22</v>
      </c>
      <c r="K90">
        <v>0</v>
      </c>
      <c r="L90" s="2" t="s">
        <v>227</v>
      </c>
      <c r="M90" s="2" t="s">
        <v>228</v>
      </c>
      <c r="N90">
        <v>36.47</v>
      </c>
      <c r="O90" s="1">
        <v>45249</v>
      </c>
      <c r="P90" s="1">
        <v>45255</v>
      </c>
      <c r="Q90" s="2" t="s">
        <v>39</v>
      </c>
      <c r="R90" s="2">
        <v>7995</v>
      </c>
    </row>
    <row r="91" spans="1:18" x14ac:dyDescent="0.25">
      <c r="A91" s="1">
        <v>45669</v>
      </c>
      <c r="B91" s="2" t="s">
        <v>40</v>
      </c>
      <c r="C91" s="2" t="s">
        <v>18</v>
      </c>
      <c r="D91">
        <v>15</v>
      </c>
      <c r="E91">
        <v>411</v>
      </c>
      <c r="F91" s="2" t="s">
        <v>28</v>
      </c>
      <c r="G91" s="2" t="s">
        <v>20</v>
      </c>
      <c r="H91">
        <v>0.05</v>
      </c>
      <c r="I91" s="2" t="s">
        <v>62</v>
      </c>
      <c r="J91" s="2" t="s">
        <v>22</v>
      </c>
      <c r="K91">
        <v>0</v>
      </c>
      <c r="L91" s="2" t="s">
        <v>229</v>
      </c>
      <c r="M91" s="2" t="s">
        <v>230</v>
      </c>
      <c r="N91">
        <v>48.51</v>
      </c>
      <c r="O91" s="1">
        <v>45669</v>
      </c>
      <c r="P91" s="1">
        <v>45678</v>
      </c>
      <c r="Q91" s="2" t="s">
        <v>45</v>
      </c>
      <c r="R91" s="2">
        <v>5857</v>
      </c>
    </row>
    <row r="92" spans="1:18" x14ac:dyDescent="0.25">
      <c r="A92" s="1">
        <v>45014</v>
      </c>
      <c r="B92" s="2" t="s">
        <v>35</v>
      </c>
      <c r="C92" s="2" t="s">
        <v>50</v>
      </c>
      <c r="D92">
        <v>19</v>
      </c>
      <c r="E92">
        <v>560</v>
      </c>
      <c r="F92" s="2" t="s">
        <v>28</v>
      </c>
      <c r="G92" s="2" t="s">
        <v>20</v>
      </c>
      <c r="H92">
        <v>0.1</v>
      </c>
      <c r="I92" s="2" t="s">
        <v>47</v>
      </c>
      <c r="J92" s="2" t="s">
        <v>53</v>
      </c>
      <c r="K92">
        <v>0</v>
      </c>
      <c r="L92" s="2" t="s">
        <v>231</v>
      </c>
      <c r="M92" s="2" t="s">
        <v>232</v>
      </c>
      <c r="N92">
        <v>18.3</v>
      </c>
      <c r="O92" s="1">
        <v>45014</v>
      </c>
      <c r="P92" s="1">
        <v>45019</v>
      </c>
      <c r="Q92" s="2" t="s">
        <v>39</v>
      </c>
      <c r="R92" s="2">
        <v>9576</v>
      </c>
    </row>
    <row r="93" spans="1:18" x14ac:dyDescent="0.25">
      <c r="A93" s="1">
        <v>45717</v>
      </c>
      <c r="B93" s="2" t="s">
        <v>35</v>
      </c>
      <c r="C93" s="2" t="s">
        <v>36</v>
      </c>
      <c r="D93">
        <v>8</v>
      </c>
      <c r="E93">
        <v>180</v>
      </c>
      <c r="F93" s="2" t="s">
        <v>46</v>
      </c>
      <c r="G93" s="2" t="s">
        <v>29</v>
      </c>
      <c r="H93">
        <v>0.05</v>
      </c>
      <c r="I93" s="2" t="s">
        <v>47</v>
      </c>
      <c r="J93" s="2" t="s">
        <v>22</v>
      </c>
      <c r="K93">
        <v>0</v>
      </c>
      <c r="L93" s="2" t="s">
        <v>233</v>
      </c>
      <c r="M93" s="2" t="s">
        <v>234</v>
      </c>
      <c r="N93">
        <v>14.8</v>
      </c>
      <c r="O93" s="1">
        <v>45717</v>
      </c>
      <c r="P93" s="1">
        <v>45721</v>
      </c>
      <c r="Q93" s="2" t="s">
        <v>39</v>
      </c>
      <c r="R93" s="2">
        <v>1368</v>
      </c>
    </row>
    <row r="94" spans="1:18" x14ac:dyDescent="0.25">
      <c r="A94" s="1">
        <v>45217</v>
      </c>
      <c r="B94" s="2" t="s">
        <v>35</v>
      </c>
      <c r="C94" s="2" t="s">
        <v>41</v>
      </c>
      <c r="D94">
        <v>12</v>
      </c>
      <c r="E94">
        <v>494</v>
      </c>
      <c r="F94" s="2" t="s">
        <v>19</v>
      </c>
      <c r="G94" s="2" t="s">
        <v>20</v>
      </c>
      <c r="H94">
        <v>0.15</v>
      </c>
      <c r="I94" s="2" t="s">
        <v>52</v>
      </c>
      <c r="J94" s="2" t="s">
        <v>22</v>
      </c>
      <c r="K94">
        <v>1</v>
      </c>
      <c r="L94" s="2" t="s">
        <v>235</v>
      </c>
      <c r="M94" s="2" t="s">
        <v>236</v>
      </c>
      <c r="N94">
        <v>18.05</v>
      </c>
      <c r="O94" s="1">
        <v>45217</v>
      </c>
      <c r="P94" s="1">
        <v>45219</v>
      </c>
      <c r="Q94" s="2" t="s">
        <v>39</v>
      </c>
      <c r="R94" s="2">
        <v>5039</v>
      </c>
    </row>
    <row r="95" spans="1:18" x14ac:dyDescent="0.25">
      <c r="A95" s="1">
        <v>45760</v>
      </c>
      <c r="B95" s="2" t="s">
        <v>17</v>
      </c>
      <c r="C95" s="2" t="s">
        <v>36</v>
      </c>
      <c r="D95">
        <v>10</v>
      </c>
      <c r="E95">
        <v>463</v>
      </c>
      <c r="F95" s="2" t="s">
        <v>46</v>
      </c>
      <c r="G95" s="2" t="s">
        <v>20</v>
      </c>
      <c r="H95">
        <v>0</v>
      </c>
      <c r="I95" s="2" t="s">
        <v>62</v>
      </c>
      <c r="J95" s="2" t="s">
        <v>53</v>
      </c>
      <c r="K95">
        <v>0</v>
      </c>
      <c r="L95" s="2" t="s">
        <v>237</v>
      </c>
      <c r="M95" s="2" t="s">
        <v>238</v>
      </c>
      <c r="N95">
        <v>5.01</v>
      </c>
      <c r="O95" s="1">
        <v>45760</v>
      </c>
      <c r="P95" s="1">
        <v>45762</v>
      </c>
      <c r="Q95" s="2" t="s">
        <v>25</v>
      </c>
      <c r="R95" s="2">
        <v>4630</v>
      </c>
    </row>
    <row r="96" spans="1:18" x14ac:dyDescent="0.25">
      <c r="A96" s="1">
        <v>45790</v>
      </c>
      <c r="B96" s="2" t="s">
        <v>40</v>
      </c>
      <c r="C96" s="2" t="s">
        <v>18</v>
      </c>
      <c r="D96">
        <v>7</v>
      </c>
      <c r="E96">
        <v>460</v>
      </c>
      <c r="F96" s="2" t="s">
        <v>28</v>
      </c>
      <c r="G96" s="2" t="s">
        <v>29</v>
      </c>
      <c r="H96">
        <v>0.05</v>
      </c>
      <c r="I96" s="2" t="s">
        <v>30</v>
      </c>
      <c r="J96" s="2" t="s">
        <v>59</v>
      </c>
      <c r="K96">
        <v>1</v>
      </c>
      <c r="L96" s="2" t="s">
        <v>239</v>
      </c>
      <c r="M96" s="2" t="s">
        <v>240</v>
      </c>
      <c r="N96">
        <v>11.54</v>
      </c>
      <c r="O96" s="1">
        <v>45790</v>
      </c>
      <c r="P96" s="1">
        <v>45800</v>
      </c>
      <c r="Q96" s="2" t="s">
        <v>45</v>
      </c>
      <c r="R96" s="2">
        <v>3059</v>
      </c>
    </row>
    <row r="97" spans="1:18" x14ac:dyDescent="0.25">
      <c r="A97" s="1">
        <v>45403</v>
      </c>
      <c r="B97" s="2" t="s">
        <v>65</v>
      </c>
      <c r="C97" s="2" t="s">
        <v>126</v>
      </c>
      <c r="D97">
        <v>17</v>
      </c>
      <c r="E97">
        <v>310</v>
      </c>
      <c r="F97" s="2" t="s">
        <v>19</v>
      </c>
      <c r="G97" s="2" t="s">
        <v>20</v>
      </c>
      <c r="H97">
        <v>0.05</v>
      </c>
      <c r="I97" s="2" t="s">
        <v>21</v>
      </c>
      <c r="J97" s="2" t="s">
        <v>22</v>
      </c>
      <c r="K97">
        <v>0</v>
      </c>
      <c r="L97" s="2" t="s">
        <v>241</v>
      </c>
      <c r="M97" s="2" t="s">
        <v>242</v>
      </c>
      <c r="N97">
        <v>6.11</v>
      </c>
      <c r="O97" s="1">
        <v>45403</v>
      </c>
      <c r="P97" s="1">
        <v>45409</v>
      </c>
      <c r="Q97" s="2" t="s">
        <v>68</v>
      </c>
      <c r="R97" s="2">
        <v>5006</v>
      </c>
    </row>
    <row r="98" spans="1:18" x14ac:dyDescent="0.25">
      <c r="A98" s="1">
        <v>45688</v>
      </c>
      <c r="B98" s="2" t="s">
        <v>40</v>
      </c>
      <c r="C98" s="2" t="s">
        <v>50</v>
      </c>
      <c r="D98">
        <v>1</v>
      </c>
      <c r="E98">
        <v>324</v>
      </c>
      <c r="F98" s="2" t="s">
        <v>19</v>
      </c>
      <c r="G98" s="2" t="s">
        <v>20</v>
      </c>
      <c r="H98">
        <v>0.05</v>
      </c>
      <c r="I98" s="2" t="s">
        <v>21</v>
      </c>
      <c r="J98" s="2" t="s">
        <v>53</v>
      </c>
      <c r="K98">
        <v>0</v>
      </c>
      <c r="L98" s="2" t="s">
        <v>243</v>
      </c>
      <c r="M98" s="2" t="s">
        <v>244</v>
      </c>
      <c r="N98">
        <v>27.48</v>
      </c>
      <c r="O98" s="1">
        <v>45688</v>
      </c>
      <c r="P98" s="1">
        <v>45696</v>
      </c>
      <c r="Q98" s="2" t="s">
        <v>45</v>
      </c>
      <c r="R98" s="2">
        <v>308</v>
      </c>
    </row>
    <row r="99" spans="1:18" x14ac:dyDescent="0.25">
      <c r="A99" s="1">
        <v>45730</v>
      </c>
      <c r="B99" s="2" t="s">
        <v>40</v>
      </c>
      <c r="C99" s="2" t="s">
        <v>41</v>
      </c>
      <c r="D99">
        <v>10</v>
      </c>
      <c r="E99">
        <v>503</v>
      </c>
      <c r="F99" s="2" t="s">
        <v>46</v>
      </c>
      <c r="G99" s="2" t="s">
        <v>29</v>
      </c>
      <c r="H99">
        <v>0</v>
      </c>
      <c r="I99" s="2" t="s">
        <v>62</v>
      </c>
      <c r="J99" s="2" t="s">
        <v>53</v>
      </c>
      <c r="K99">
        <v>0</v>
      </c>
      <c r="L99" s="2" t="s">
        <v>245</v>
      </c>
      <c r="M99" s="2" t="s">
        <v>246</v>
      </c>
      <c r="N99">
        <v>44.61</v>
      </c>
      <c r="O99" s="1">
        <v>45730</v>
      </c>
      <c r="P99" s="1">
        <v>45735</v>
      </c>
      <c r="Q99" s="2" t="s">
        <v>45</v>
      </c>
      <c r="R99" s="2">
        <v>5030</v>
      </c>
    </row>
    <row r="100" spans="1:18" x14ac:dyDescent="0.25">
      <c r="A100" s="1">
        <v>45438</v>
      </c>
      <c r="B100" s="2" t="s">
        <v>65</v>
      </c>
      <c r="C100" s="2" t="s">
        <v>18</v>
      </c>
      <c r="D100">
        <v>20</v>
      </c>
      <c r="E100">
        <v>492</v>
      </c>
      <c r="F100" s="2" t="s">
        <v>51</v>
      </c>
      <c r="G100" s="2" t="s">
        <v>20</v>
      </c>
      <c r="H100">
        <v>0.15</v>
      </c>
      <c r="I100" s="2" t="s">
        <v>30</v>
      </c>
      <c r="J100" s="2" t="s">
        <v>22</v>
      </c>
      <c r="K100">
        <v>1</v>
      </c>
      <c r="L100" s="2" t="s">
        <v>247</v>
      </c>
      <c r="M100" s="2" t="s">
        <v>248</v>
      </c>
      <c r="N100">
        <v>43.46</v>
      </c>
      <c r="O100" s="1">
        <v>45438</v>
      </c>
      <c r="P100" s="1">
        <v>45441</v>
      </c>
      <c r="Q100" s="2" t="s">
        <v>68</v>
      </c>
      <c r="R100" s="2">
        <v>8364</v>
      </c>
    </row>
    <row r="101" spans="1:18" x14ac:dyDescent="0.25">
      <c r="A101" s="1">
        <v>45129</v>
      </c>
      <c r="B101" s="2" t="s">
        <v>35</v>
      </c>
      <c r="C101" s="2" t="s">
        <v>27</v>
      </c>
      <c r="D101">
        <v>17</v>
      </c>
      <c r="E101">
        <v>468</v>
      </c>
      <c r="F101" s="2" t="s">
        <v>28</v>
      </c>
      <c r="G101" s="2" t="s">
        <v>29</v>
      </c>
      <c r="H101">
        <v>0.05</v>
      </c>
      <c r="I101" s="2" t="s">
        <v>47</v>
      </c>
      <c r="J101" s="2" t="s">
        <v>53</v>
      </c>
      <c r="K101">
        <v>0</v>
      </c>
      <c r="L101" s="2" t="s">
        <v>249</v>
      </c>
      <c r="M101" s="2" t="s">
        <v>250</v>
      </c>
      <c r="N101">
        <v>17.88</v>
      </c>
      <c r="O101" s="1">
        <v>45129</v>
      </c>
      <c r="P101" s="1">
        <v>45133</v>
      </c>
      <c r="Q101" s="2" t="s">
        <v>39</v>
      </c>
      <c r="R101" s="2">
        <v>7558</v>
      </c>
    </row>
    <row r="102" spans="1:18" x14ac:dyDescent="0.25">
      <c r="A102" s="1">
        <v>45372</v>
      </c>
      <c r="B102" s="2" t="s">
        <v>35</v>
      </c>
      <c r="C102" s="2" t="s">
        <v>18</v>
      </c>
      <c r="D102">
        <v>11</v>
      </c>
      <c r="E102">
        <v>402</v>
      </c>
      <c r="F102" s="2" t="s">
        <v>51</v>
      </c>
      <c r="G102" s="2" t="s">
        <v>29</v>
      </c>
      <c r="H102">
        <v>0.15</v>
      </c>
      <c r="I102" s="2" t="s">
        <v>42</v>
      </c>
      <c r="J102" s="2" t="s">
        <v>31</v>
      </c>
      <c r="K102">
        <v>0</v>
      </c>
      <c r="L102" s="2" t="s">
        <v>251</v>
      </c>
      <c r="M102" s="2" t="s">
        <v>252</v>
      </c>
      <c r="N102">
        <v>48.03</v>
      </c>
      <c r="O102" s="1">
        <v>45372</v>
      </c>
      <c r="P102" s="1">
        <v>45381</v>
      </c>
      <c r="Q102" s="2" t="s">
        <v>39</v>
      </c>
      <c r="R102" s="2">
        <v>3759</v>
      </c>
    </row>
    <row r="103" spans="1:18" x14ac:dyDescent="0.25">
      <c r="A103" s="1">
        <v>45021</v>
      </c>
      <c r="B103" s="2" t="s">
        <v>65</v>
      </c>
      <c r="C103" s="2" t="s">
        <v>126</v>
      </c>
      <c r="D103">
        <v>3</v>
      </c>
      <c r="E103">
        <v>221</v>
      </c>
      <c r="F103" s="2" t="s">
        <v>19</v>
      </c>
      <c r="G103" s="2" t="s">
        <v>20</v>
      </c>
      <c r="H103">
        <v>0</v>
      </c>
      <c r="I103" s="2" t="s">
        <v>42</v>
      </c>
      <c r="J103" s="2" t="s">
        <v>59</v>
      </c>
      <c r="K103">
        <v>0</v>
      </c>
      <c r="L103" s="2" t="s">
        <v>253</v>
      </c>
      <c r="M103" s="2" t="s">
        <v>254</v>
      </c>
      <c r="N103">
        <v>32.31</v>
      </c>
      <c r="O103" s="1">
        <v>45021</v>
      </c>
      <c r="P103" s="1">
        <v>45024</v>
      </c>
      <c r="Q103" s="2" t="s">
        <v>68</v>
      </c>
      <c r="R103" s="2">
        <v>663</v>
      </c>
    </row>
    <row r="104" spans="1:18" x14ac:dyDescent="0.25">
      <c r="A104" s="1">
        <v>45530</v>
      </c>
      <c r="B104" s="2" t="s">
        <v>17</v>
      </c>
      <c r="C104" s="2" t="s">
        <v>50</v>
      </c>
      <c r="D104">
        <v>6</v>
      </c>
      <c r="E104">
        <v>188</v>
      </c>
      <c r="F104" s="2" t="s">
        <v>46</v>
      </c>
      <c r="G104" s="2" t="s">
        <v>20</v>
      </c>
      <c r="H104">
        <v>0.05</v>
      </c>
      <c r="I104" s="2" t="s">
        <v>30</v>
      </c>
      <c r="J104" s="2" t="s">
        <v>31</v>
      </c>
      <c r="K104">
        <v>0</v>
      </c>
      <c r="L104" s="2" t="s">
        <v>255</v>
      </c>
      <c r="M104" s="2" t="s">
        <v>256</v>
      </c>
      <c r="N104">
        <v>6.77</v>
      </c>
      <c r="O104" s="1">
        <v>45530</v>
      </c>
      <c r="P104" s="1">
        <v>45536</v>
      </c>
      <c r="Q104" s="2" t="s">
        <v>25</v>
      </c>
      <c r="R104" s="2">
        <v>1072</v>
      </c>
    </row>
    <row r="105" spans="1:18" x14ac:dyDescent="0.25">
      <c r="A105" s="1">
        <v>45480</v>
      </c>
      <c r="B105" s="2" t="s">
        <v>35</v>
      </c>
      <c r="C105" s="2" t="s">
        <v>36</v>
      </c>
      <c r="D105">
        <v>3</v>
      </c>
      <c r="E105">
        <v>566</v>
      </c>
      <c r="F105" s="2" t="s">
        <v>51</v>
      </c>
      <c r="G105" s="2" t="s">
        <v>29</v>
      </c>
      <c r="H105">
        <v>0</v>
      </c>
      <c r="I105" s="2" t="s">
        <v>62</v>
      </c>
      <c r="J105" s="2" t="s">
        <v>31</v>
      </c>
      <c r="K105">
        <v>1</v>
      </c>
      <c r="L105" s="2" t="s">
        <v>257</v>
      </c>
      <c r="M105" s="2" t="s">
        <v>258</v>
      </c>
      <c r="N105">
        <v>28.97</v>
      </c>
      <c r="O105" s="1">
        <v>45480</v>
      </c>
      <c r="P105" s="1">
        <v>45490</v>
      </c>
      <c r="Q105" s="2" t="s">
        <v>39</v>
      </c>
      <c r="R105" s="2">
        <v>1698</v>
      </c>
    </row>
    <row r="106" spans="1:18" x14ac:dyDescent="0.25">
      <c r="A106" s="1">
        <v>45198</v>
      </c>
      <c r="B106" s="2" t="s">
        <v>17</v>
      </c>
      <c r="C106" s="2" t="s">
        <v>50</v>
      </c>
      <c r="D106">
        <v>14</v>
      </c>
      <c r="E106">
        <v>167</v>
      </c>
      <c r="F106" s="2" t="s">
        <v>51</v>
      </c>
      <c r="G106" s="2" t="s">
        <v>29</v>
      </c>
      <c r="H106">
        <v>0.05</v>
      </c>
      <c r="I106" s="2" t="s">
        <v>30</v>
      </c>
      <c r="J106" s="2" t="s">
        <v>31</v>
      </c>
      <c r="K106">
        <v>1</v>
      </c>
      <c r="L106" s="2" t="s">
        <v>259</v>
      </c>
      <c r="M106" s="2" t="s">
        <v>260</v>
      </c>
      <c r="N106">
        <v>47.05</v>
      </c>
      <c r="O106" s="1">
        <v>45198</v>
      </c>
      <c r="P106" s="1">
        <v>45207</v>
      </c>
      <c r="Q106" s="2" t="s">
        <v>25</v>
      </c>
      <c r="R106" s="2">
        <v>2221</v>
      </c>
    </row>
    <row r="107" spans="1:18" x14ac:dyDescent="0.25">
      <c r="A107" s="1">
        <v>45203</v>
      </c>
      <c r="B107" s="2" t="s">
        <v>65</v>
      </c>
      <c r="C107" s="2" t="s">
        <v>50</v>
      </c>
      <c r="D107">
        <v>16</v>
      </c>
      <c r="E107">
        <v>36</v>
      </c>
      <c r="F107" s="2" t="s">
        <v>46</v>
      </c>
      <c r="G107" s="2" t="s">
        <v>20</v>
      </c>
      <c r="H107">
        <v>0.1</v>
      </c>
      <c r="I107" s="2" t="s">
        <v>47</v>
      </c>
      <c r="J107" s="2" t="s">
        <v>56</v>
      </c>
      <c r="K107">
        <v>0</v>
      </c>
      <c r="L107" s="2" t="s">
        <v>261</v>
      </c>
      <c r="M107" s="2" t="s">
        <v>262</v>
      </c>
      <c r="N107">
        <v>26.64</v>
      </c>
      <c r="O107" s="1">
        <v>45203</v>
      </c>
      <c r="P107" s="1">
        <v>45210</v>
      </c>
      <c r="Q107" s="2" t="s">
        <v>68</v>
      </c>
      <c r="R107" s="2">
        <v>518</v>
      </c>
    </row>
    <row r="108" spans="1:18" x14ac:dyDescent="0.25">
      <c r="A108" s="1">
        <v>45817</v>
      </c>
      <c r="B108" s="2" t="s">
        <v>40</v>
      </c>
      <c r="C108" s="2" t="s">
        <v>126</v>
      </c>
      <c r="D108">
        <v>2</v>
      </c>
      <c r="E108">
        <v>74</v>
      </c>
      <c r="F108" s="2" t="s">
        <v>19</v>
      </c>
      <c r="G108" s="2" t="s">
        <v>20</v>
      </c>
      <c r="H108">
        <v>0.05</v>
      </c>
      <c r="I108" s="2" t="s">
        <v>47</v>
      </c>
      <c r="J108" s="2" t="s">
        <v>56</v>
      </c>
      <c r="K108">
        <v>0</v>
      </c>
      <c r="L108" s="2" t="s">
        <v>263</v>
      </c>
      <c r="M108" s="2" t="s">
        <v>264</v>
      </c>
      <c r="N108">
        <v>28.05</v>
      </c>
      <c r="O108" s="1">
        <v>45817</v>
      </c>
      <c r="P108" s="1">
        <v>45824</v>
      </c>
      <c r="Q108" s="2" t="s">
        <v>45</v>
      </c>
      <c r="R108" s="2">
        <v>141</v>
      </c>
    </row>
    <row r="109" spans="1:18" x14ac:dyDescent="0.25">
      <c r="A109" s="1">
        <v>45820</v>
      </c>
      <c r="B109" s="2" t="s">
        <v>17</v>
      </c>
      <c r="C109" s="2" t="s">
        <v>126</v>
      </c>
      <c r="D109">
        <v>16</v>
      </c>
      <c r="E109">
        <v>459</v>
      </c>
      <c r="F109" s="2" t="s">
        <v>28</v>
      </c>
      <c r="G109" s="2" t="s">
        <v>20</v>
      </c>
      <c r="H109">
        <v>0.1</v>
      </c>
      <c r="I109" s="2" t="s">
        <v>21</v>
      </c>
      <c r="J109" s="2" t="s">
        <v>22</v>
      </c>
      <c r="K109">
        <v>0</v>
      </c>
      <c r="L109" s="2" t="s">
        <v>265</v>
      </c>
      <c r="M109" s="2" t="s">
        <v>266</v>
      </c>
      <c r="N109">
        <v>26.99</v>
      </c>
      <c r="O109" s="1">
        <v>45820</v>
      </c>
      <c r="P109" s="1">
        <v>45822</v>
      </c>
      <c r="Q109" s="2" t="s">
        <v>25</v>
      </c>
      <c r="R109" s="2">
        <v>6610</v>
      </c>
    </row>
    <row r="110" spans="1:18" x14ac:dyDescent="0.25">
      <c r="A110" s="1">
        <v>45472</v>
      </c>
      <c r="B110" s="2" t="s">
        <v>17</v>
      </c>
      <c r="C110" s="2" t="s">
        <v>41</v>
      </c>
      <c r="D110">
        <v>3</v>
      </c>
      <c r="E110">
        <v>168</v>
      </c>
      <c r="F110" s="2" t="s">
        <v>28</v>
      </c>
      <c r="G110" s="2" t="s">
        <v>29</v>
      </c>
      <c r="H110">
        <v>0</v>
      </c>
      <c r="I110" s="2" t="s">
        <v>47</v>
      </c>
      <c r="J110" s="2" t="s">
        <v>59</v>
      </c>
      <c r="K110">
        <v>1</v>
      </c>
      <c r="L110" s="2" t="s">
        <v>267</v>
      </c>
      <c r="M110" s="2" t="s">
        <v>268</v>
      </c>
      <c r="N110">
        <v>21.08</v>
      </c>
      <c r="O110" s="1">
        <v>45472</v>
      </c>
      <c r="P110" s="1">
        <v>45479</v>
      </c>
      <c r="Q110" s="2" t="s">
        <v>25</v>
      </c>
      <c r="R110" s="2">
        <v>504</v>
      </c>
    </row>
    <row r="111" spans="1:18" x14ac:dyDescent="0.25">
      <c r="A111" s="1">
        <v>45374</v>
      </c>
      <c r="B111" s="2" t="s">
        <v>35</v>
      </c>
      <c r="C111" s="2" t="s">
        <v>126</v>
      </c>
      <c r="D111">
        <v>14</v>
      </c>
      <c r="E111">
        <v>38</v>
      </c>
      <c r="F111" s="2" t="s">
        <v>19</v>
      </c>
      <c r="G111" s="2" t="s">
        <v>29</v>
      </c>
      <c r="H111">
        <v>0.15</v>
      </c>
      <c r="I111" s="2" t="s">
        <v>30</v>
      </c>
      <c r="J111" s="2" t="s">
        <v>53</v>
      </c>
      <c r="K111">
        <v>1</v>
      </c>
      <c r="L111" s="2" t="s">
        <v>269</v>
      </c>
      <c r="M111" s="2" t="s">
        <v>270</v>
      </c>
      <c r="N111">
        <v>49.6</v>
      </c>
      <c r="O111" s="1">
        <v>45374</v>
      </c>
      <c r="P111" s="1">
        <v>45384</v>
      </c>
      <c r="Q111" s="2" t="s">
        <v>39</v>
      </c>
      <c r="R111" s="2">
        <v>452</v>
      </c>
    </row>
    <row r="112" spans="1:18" x14ac:dyDescent="0.25">
      <c r="A112" s="1">
        <v>45487</v>
      </c>
      <c r="B112" s="2" t="s">
        <v>26</v>
      </c>
      <c r="C112" s="2" t="s">
        <v>75</v>
      </c>
      <c r="D112">
        <v>4</v>
      </c>
      <c r="E112">
        <v>151</v>
      </c>
      <c r="F112" s="2" t="s">
        <v>19</v>
      </c>
      <c r="G112" s="2" t="s">
        <v>20</v>
      </c>
      <c r="H112">
        <v>0</v>
      </c>
      <c r="I112" s="2" t="s">
        <v>30</v>
      </c>
      <c r="J112" s="2" t="s">
        <v>31</v>
      </c>
      <c r="K112">
        <v>1</v>
      </c>
      <c r="L112" s="2" t="s">
        <v>271</v>
      </c>
      <c r="M112" s="2" t="s">
        <v>272</v>
      </c>
      <c r="N112">
        <v>41.4</v>
      </c>
      <c r="O112" s="1">
        <v>45487</v>
      </c>
      <c r="P112" s="1">
        <v>45494</v>
      </c>
      <c r="Q112" s="2" t="s">
        <v>34</v>
      </c>
      <c r="R112" s="2">
        <v>604</v>
      </c>
    </row>
    <row r="113" spans="1:18" x14ac:dyDescent="0.25">
      <c r="A113" s="1">
        <v>45366</v>
      </c>
      <c r="B113" s="2" t="s">
        <v>26</v>
      </c>
      <c r="C113" s="2" t="s">
        <v>75</v>
      </c>
      <c r="D113">
        <v>17</v>
      </c>
      <c r="E113">
        <v>79</v>
      </c>
      <c r="F113" s="2" t="s">
        <v>28</v>
      </c>
      <c r="G113" s="2" t="s">
        <v>20</v>
      </c>
      <c r="H113">
        <v>0.1</v>
      </c>
      <c r="I113" s="2" t="s">
        <v>62</v>
      </c>
      <c r="J113" s="2" t="s">
        <v>31</v>
      </c>
      <c r="K113">
        <v>0</v>
      </c>
      <c r="L113" s="2" t="s">
        <v>273</v>
      </c>
      <c r="M113" s="2" t="s">
        <v>274</v>
      </c>
      <c r="N113">
        <v>8.02</v>
      </c>
      <c r="O113" s="1">
        <v>45366</v>
      </c>
      <c r="P113" s="1">
        <v>45376</v>
      </c>
      <c r="Q113" s="2" t="s">
        <v>34</v>
      </c>
      <c r="R113" s="2">
        <v>1209</v>
      </c>
    </row>
    <row r="114" spans="1:18" x14ac:dyDescent="0.25">
      <c r="A114" s="1">
        <v>45766</v>
      </c>
      <c r="B114" s="2" t="s">
        <v>40</v>
      </c>
      <c r="C114" s="2" t="s">
        <v>41</v>
      </c>
      <c r="D114">
        <v>15</v>
      </c>
      <c r="E114">
        <v>37</v>
      </c>
      <c r="F114" s="2" t="s">
        <v>19</v>
      </c>
      <c r="G114" s="2" t="s">
        <v>29</v>
      </c>
      <c r="H114">
        <v>0.05</v>
      </c>
      <c r="I114" s="2" t="s">
        <v>47</v>
      </c>
      <c r="J114" s="2" t="s">
        <v>59</v>
      </c>
      <c r="K114">
        <v>1</v>
      </c>
      <c r="L114" s="2" t="s">
        <v>275</v>
      </c>
      <c r="M114" s="2" t="s">
        <v>276</v>
      </c>
      <c r="N114">
        <v>43.69</v>
      </c>
      <c r="O114" s="1">
        <v>45766</v>
      </c>
      <c r="P114" s="1">
        <v>45771</v>
      </c>
      <c r="Q114" s="2" t="s">
        <v>45</v>
      </c>
      <c r="R114" s="2">
        <v>527</v>
      </c>
    </row>
    <row r="115" spans="1:18" x14ac:dyDescent="0.25">
      <c r="A115" s="1">
        <v>45337</v>
      </c>
      <c r="B115" s="2" t="s">
        <v>65</v>
      </c>
      <c r="C115" s="2" t="s">
        <v>75</v>
      </c>
      <c r="D115">
        <v>18</v>
      </c>
      <c r="E115">
        <v>537</v>
      </c>
      <c r="F115" s="2" t="s">
        <v>28</v>
      </c>
      <c r="G115" s="2" t="s">
        <v>20</v>
      </c>
      <c r="H115">
        <v>0.15</v>
      </c>
      <c r="I115" s="2" t="s">
        <v>47</v>
      </c>
      <c r="J115" s="2" t="s">
        <v>56</v>
      </c>
      <c r="K115">
        <v>0</v>
      </c>
      <c r="L115" s="2" t="s">
        <v>277</v>
      </c>
      <c r="M115" s="2" t="s">
        <v>278</v>
      </c>
      <c r="N115">
        <v>23.94</v>
      </c>
      <c r="O115" s="1">
        <v>45337</v>
      </c>
      <c r="P115" s="1">
        <v>45342</v>
      </c>
      <c r="Q115" s="2" t="s">
        <v>68</v>
      </c>
      <c r="R115" s="2">
        <v>8216</v>
      </c>
    </row>
    <row r="116" spans="1:18" x14ac:dyDescent="0.25">
      <c r="A116" s="1">
        <v>45316</v>
      </c>
      <c r="B116" s="2" t="s">
        <v>17</v>
      </c>
      <c r="C116" s="2" t="s">
        <v>36</v>
      </c>
      <c r="D116">
        <v>5</v>
      </c>
      <c r="E116">
        <v>216</v>
      </c>
      <c r="F116" s="2" t="s">
        <v>46</v>
      </c>
      <c r="G116" s="2" t="s">
        <v>20</v>
      </c>
      <c r="H116">
        <v>0</v>
      </c>
      <c r="I116" s="2" t="s">
        <v>42</v>
      </c>
      <c r="J116" s="2" t="s">
        <v>22</v>
      </c>
      <c r="K116">
        <v>0</v>
      </c>
      <c r="L116" s="2" t="s">
        <v>279</v>
      </c>
      <c r="M116" s="2" t="s">
        <v>280</v>
      </c>
      <c r="N116">
        <v>28.36</v>
      </c>
      <c r="O116" s="1">
        <v>45316</v>
      </c>
      <c r="P116" s="1">
        <v>45326</v>
      </c>
      <c r="Q116" s="2" t="s">
        <v>25</v>
      </c>
      <c r="R116" s="2">
        <v>1080</v>
      </c>
    </row>
    <row r="117" spans="1:18" x14ac:dyDescent="0.25">
      <c r="A117" s="1">
        <v>45762</v>
      </c>
      <c r="B117" s="2" t="s">
        <v>40</v>
      </c>
      <c r="C117" s="2" t="s">
        <v>18</v>
      </c>
      <c r="D117">
        <v>18</v>
      </c>
      <c r="E117">
        <v>210</v>
      </c>
      <c r="F117" s="2" t="s">
        <v>51</v>
      </c>
      <c r="G117" s="2" t="s">
        <v>20</v>
      </c>
      <c r="H117">
        <v>0</v>
      </c>
      <c r="I117" s="2" t="s">
        <v>47</v>
      </c>
      <c r="J117" s="2" t="s">
        <v>53</v>
      </c>
      <c r="K117">
        <v>0</v>
      </c>
      <c r="L117" s="2" t="s">
        <v>281</v>
      </c>
      <c r="M117" s="2" t="s">
        <v>282</v>
      </c>
      <c r="N117">
        <v>38.229999999999997</v>
      </c>
      <c r="O117" s="1">
        <v>45762</v>
      </c>
      <c r="P117" s="1">
        <v>45770</v>
      </c>
      <c r="Q117" s="2" t="s">
        <v>45</v>
      </c>
      <c r="R117" s="2">
        <v>3780</v>
      </c>
    </row>
    <row r="118" spans="1:18" x14ac:dyDescent="0.25">
      <c r="A118" s="1">
        <v>45762</v>
      </c>
      <c r="B118" s="2" t="s">
        <v>40</v>
      </c>
      <c r="C118" s="2" t="s">
        <v>41</v>
      </c>
      <c r="D118">
        <v>8</v>
      </c>
      <c r="E118">
        <v>349</v>
      </c>
      <c r="F118" s="2" t="s">
        <v>28</v>
      </c>
      <c r="G118" s="2" t="s">
        <v>29</v>
      </c>
      <c r="H118">
        <v>0.1</v>
      </c>
      <c r="I118" s="2" t="s">
        <v>42</v>
      </c>
      <c r="J118" s="2" t="s">
        <v>22</v>
      </c>
      <c r="K118">
        <v>0</v>
      </c>
      <c r="L118" s="2" t="s">
        <v>283</v>
      </c>
      <c r="M118" s="2" t="s">
        <v>284</v>
      </c>
      <c r="N118">
        <v>19.170000000000002</v>
      </c>
      <c r="O118" s="1">
        <v>45762</v>
      </c>
      <c r="P118" s="1">
        <v>45767</v>
      </c>
      <c r="Q118" s="2" t="s">
        <v>45</v>
      </c>
      <c r="R118" s="2">
        <v>2513</v>
      </c>
    </row>
    <row r="119" spans="1:18" x14ac:dyDescent="0.25">
      <c r="A119" s="1">
        <v>45515</v>
      </c>
      <c r="B119" s="2" t="s">
        <v>65</v>
      </c>
      <c r="C119" s="2" t="s">
        <v>126</v>
      </c>
      <c r="D119">
        <v>2</v>
      </c>
      <c r="E119">
        <v>289</v>
      </c>
      <c r="F119" s="2" t="s">
        <v>46</v>
      </c>
      <c r="G119" s="2" t="s">
        <v>29</v>
      </c>
      <c r="H119">
        <v>0.05</v>
      </c>
      <c r="I119" s="2" t="s">
        <v>52</v>
      </c>
      <c r="J119" s="2" t="s">
        <v>22</v>
      </c>
      <c r="K119">
        <v>0</v>
      </c>
      <c r="L119" s="2" t="s">
        <v>285</v>
      </c>
      <c r="M119" s="2" t="s">
        <v>286</v>
      </c>
      <c r="N119">
        <v>5.13</v>
      </c>
      <c r="O119" s="1">
        <v>45515</v>
      </c>
      <c r="P119" s="1">
        <v>45517</v>
      </c>
      <c r="Q119" s="2" t="s">
        <v>68</v>
      </c>
      <c r="R119" s="2">
        <v>549</v>
      </c>
    </row>
    <row r="120" spans="1:18" x14ac:dyDescent="0.25">
      <c r="A120" s="1">
        <v>45261</v>
      </c>
      <c r="B120" s="2" t="s">
        <v>26</v>
      </c>
      <c r="C120" s="2" t="s">
        <v>36</v>
      </c>
      <c r="D120">
        <v>5</v>
      </c>
      <c r="E120">
        <v>397</v>
      </c>
      <c r="F120" s="2" t="s">
        <v>19</v>
      </c>
      <c r="G120" s="2" t="s">
        <v>20</v>
      </c>
      <c r="H120">
        <v>0</v>
      </c>
      <c r="I120" s="2" t="s">
        <v>52</v>
      </c>
      <c r="J120" s="2" t="s">
        <v>53</v>
      </c>
      <c r="K120">
        <v>0</v>
      </c>
      <c r="L120" s="2" t="s">
        <v>287</v>
      </c>
      <c r="M120" s="2" t="s">
        <v>288</v>
      </c>
      <c r="N120">
        <v>48.63</v>
      </c>
      <c r="O120" s="1">
        <v>45261</v>
      </c>
      <c r="P120" s="1">
        <v>45268</v>
      </c>
      <c r="Q120" s="2" t="s">
        <v>34</v>
      </c>
      <c r="R120" s="2">
        <v>1985</v>
      </c>
    </row>
    <row r="121" spans="1:18" x14ac:dyDescent="0.25">
      <c r="A121" s="1">
        <v>45144</v>
      </c>
      <c r="B121" s="2" t="s">
        <v>40</v>
      </c>
      <c r="C121" s="2" t="s">
        <v>18</v>
      </c>
      <c r="D121">
        <v>10</v>
      </c>
      <c r="E121">
        <v>509</v>
      </c>
      <c r="F121" s="2" t="s">
        <v>51</v>
      </c>
      <c r="G121" s="2" t="s">
        <v>29</v>
      </c>
      <c r="H121">
        <v>0.05</v>
      </c>
      <c r="I121" s="2" t="s">
        <v>62</v>
      </c>
      <c r="J121" s="2" t="s">
        <v>22</v>
      </c>
      <c r="K121">
        <v>0</v>
      </c>
      <c r="L121" s="2" t="s">
        <v>289</v>
      </c>
      <c r="M121" s="2" t="s">
        <v>290</v>
      </c>
      <c r="N121">
        <v>9.35</v>
      </c>
      <c r="O121" s="1">
        <v>45144</v>
      </c>
      <c r="P121" s="1">
        <v>45149</v>
      </c>
      <c r="Q121" s="2" t="s">
        <v>45</v>
      </c>
      <c r="R121" s="2">
        <v>4836</v>
      </c>
    </row>
    <row r="122" spans="1:18" x14ac:dyDescent="0.25">
      <c r="A122" s="1">
        <v>45315</v>
      </c>
      <c r="B122" s="2" t="s">
        <v>40</v>
      </c>
      <c r="C122" s="2" t="s">
        <v>18</v>
      </c>
      <c r="D122">
        <v>11</v>
      </c>
      <c r="E122">
        <v>260</v>
      </c>
      <c r="F122" s="2" t="s">
        <v>46</v>
      </c>
      <c r="G122" s="2" t="s">
        <v>20</v>
      </c>
      <c r="H122">
        <v>0.1</v>
      </c>
      <c r="I122" s="2" t="s">
        <v>47</v>
      </c>
      <c r="J122" s="2" t="s">
        <v>59</v>
      </c>
      <c r="K122">
        <v>0</v>
      </c>
      <c r="L122" s="2" t="s">
        <v>291</v>
      </c>
      <c r="M122" s="2" t="s">
        <v>292</v>
      </c>
      <c r="N122">
        <v>13.73</v>
      </c>
      <c r="O122" s="1">
        <v>45315</v>
      </c>
      <c r="P122" s="1">
        <v>45322</v>
      </c>
      <c r="Q122" s="2" t="s">
        <v>45</v>
      </c>
      <c r="R122" s="2">
        <v>2574</v>
      </c>
    </row>
    <row r="123" spans="1:18" x14ac:dyDescent="0.25">
      <c r="A123" s="1">
        <v>45358</v>
      </c>
      <c r="B123" s="2" t="s">
        <v>40</v>
      </c>
      <c r="C123" s="2" t="s">
        <v>41</v>
      </c>
      <c r="D123">
        <v>9</v>
      </c>
      <c r="E123">
        <v>313</v>
      </c>
      <c r="F123" s="2" t="s">
        <v>51</v>
      </c>
      <c r="G123" s="2" t="s">
        <v>29</v>
      </c>
      <c r="H123">
        <v>0</v>
      </c>
      <c r="I123" s="2" t="s">
        <v>47</v>
      </c>
      <c r="J123" s="2" t="s">
        <v>22</v>
      </c>
      <c r="K123">
        <v>0</v>
      </c>
      <c r="L123" s="2" t="s">
        <v>293</v>
      </c>
      <c r="M123" s="2" t="s">
        <v>294</v>
      </c>
      <c r="N123">
        <v>14.04</v>
      </c>
      <c r="O123" s="1">
        <v>45358</v>
      </c>
      <c r="P123" s="1">
        <v>45364</v>
      </c>
      <c r="Q123" s="2" t="s">
        <v>45</v>
      </c>
      <c r="R123" s="2">
        <v>2817</v>
      </c>
    </row>
    <row r="124" spans="1:18" x14ac:dyDescent="0.25">
      <c r="A124" s="1">
        <v>45313</v>
      </c>
      <c r="B124" s="2" t="s">
        <v>26</v>
      </c>
      <c r="C124" s="2" t="s">
        <v>75</v>
      </c>
      <c r="D124">
        <v>5</v>
      </c>
      <c r="E124">
        <v>107</v>
      </c>
      <c r="F124" s="2" t="s">
        <v>46</v>
      </c>
      <c r="G124" s="2" t="s">
        <v>20</v>
      </c>
      <c r="H124">
        <v>0.1</v>
      </c>
      <c r="I124" s="2" t="s">
        <v>47</v>
      </c>
      <c r="J124" s="2" t="s">
        <v>56</v>
      </c>
      <c r="K124">
        <v>1</v>
      </c>
      <c r="L124" s="2" t="s">
        <v>295</v>
      </c>
      <c r="M124" s="2" t="s">
        <v>296</v>
      </c>
      <c r="N124">
        <v>25.24</v>
      </c>
      <c r="O124" s="1">
        <v>45313</v>
      </c>
      <c r="P124" s="1">
        <v>45319</v>
      </c>
      <c r="Q124" s="2" t="s">
        <v>34</v>
      </c>
      <c r="R124" s="2">
        <v>482</v>
      </c>
    </row>
    <row r="125" spans="1:18" x14ac:dyDescent="0.25">
      <c r="A125" s="1">
        <v>44980</v>
      </c>
      <c r="B125" s="2" t="s">
        <v>17</v>
      </c>
      <c r="C125" s="2" t="s">
        <v>126</v>
      </c>
      <c r="D125">
        <v>1</v>
      </c>
      <c r="E125">
        <v>109</v>
      </c>
      <c r="F125" s="2" t="s">
        <v>19</v>
      </c>
      <c r="G125" s="2" t="s">
        <v>29</v>
      </c>
      <c r="H125">
        <v>0.15</v>
      </c>
      <c r="I125" s="2" t="s">
        <v>42</v>
      </c>
      <c r="J125" s="2" t="s">
        <v>59</v>
      </c>
      <c r="K125">
        <v>1</v>
      </c>
      <c r="L125" s="2" t="s">
        <v>297</v>
      </c>
      <c r="M125" s="2" t="s">
        <v>298</v>
      </c>
      <c r="N125">
        <v>8.0299999999999994</v>
      </c>
      <c r="O125" s="1">
        <v>44980</v>
      </c>
      <c r="P125" s="1">
        <v>44984</v>
      </c>
      <c r="Q125" s="2" t="s">
        <v>25</v>
      </c>
      <c r="R125" s="2">
        <v>93</v>
      </c>
    </row>
    <row r="126" spans="1:18" x14ac:dyDescent="0.25">
      <c r="A126" s="1">
        <v>45091</v>
      </c>
      <c r="B126" s="2" t="s">
        <v>35</v>
      </c>
      <c r="C126" s="2" t="s">
        <v>75</v>
      </c>
      <c r="D126">
        <v>8</v>
      </c>
      <c r="E126">
        <v>324</v>
      </c>
      <c r="F126" s="2" t="s">
        <v>19</v>
      </c>
      <c r="G126" s="2" t="s">
        <v>29</v>
      </c>
      <c r="H126">
        <v>0</v>
      </c>
      <c r="I126" s="2" t="s">
        <v>52</v>
      </c>
      <c r="J126" s="2" t="s">
        <v>59</v>
      </c>
      <c r="K126">
        <v>1</v>
      </c>
      <c r="L126" s="2" t="s">
        <v>299</v>
      </c>
      <c r="M126" s="2" t="s">
        <v>300</v>
      </c>
      <c r="N126">
        <v>35.229999999999997</v>
      </c>
      <c r="O126" s="1">
        <v>45091</v>
      </c>
      <c r="P126" s="1">
        <v>45099</v>
      </c>
      <c r="Q126" s="2" t="s">
        <v>39</v>
      </c>
      <c r="R126" s="2">
        <v>2592</v>
      </c>
    </row>
    <row r="127" spans="1:18" x14ac:dyDescent="0.25">
      <c r="A127" s="1">
        <v>45790</v>
      </c>
      <c r="B127" s="2" t="s">
        <v>35</v>
      </c>
      <c r="C127" s="2" t="s">
        <v>18</v>
      </c>
      <c r="D127">
        <v>16</v>
      </c>
      <c r="E127">
        <v>384</v>
      </c>
      <c r="F127" s="2" t="s">
        <v>28</v>
      </c>
      <c r="G127" s="2" t="s">
        <v>29</v>
      </c>
      <c r="H127">
        <v>0.05</v>
      </c>
      <c r="I127" s="2" t="s">
        <v>42</v>
      </c>
      <c r="J127" s="2" t="s">
        <v>59</v>
      </c>
      <c r="K127">
        <v>0</v>
      </c>
      <c r="L127" s="2" t="s">
        <v>301</v>
      </c>
      <c r="M127" s="2" t="s">
        <v>302</v>
      </c>
      <c r="N127">
        <v>21.5</v>
      </c>
      <c r="O127" s="1">
        <v>45790</v>
      </c>
      <c r="P127" s="1">
        <v>45792</v>
      </c>
      <c r="Q127" s="2" t="s">
        <v>39</v>
      </c>
      <c r="R127" s="2">
        <v>5837</v>
      </c>
    </row>
    <row r="128" spans="1:18" x14ac:dyDescent="0.25">
      <c r="A128" s="1">
        <v>45503</v>
      </c>
      <c r="B128" s="2" t="s">
        <v>40</v>
      </c>
      <c r="C128" s="2" t="s">
        <v>126</v>
      </c>
      <c r="D128">
        <v>16</v>
      </c>
      <c r="E128">
        <v>164</v>
      </c>
      <c r="F128" s="2" t="s">
        <v>46</v>
      </c>
      <c r="G128" s="2" t="s">
        <v>29</v>
      </c>
      <c r="H128">
        <v>0.15</v>
      </c>
      <c r="I128" s="2" t="s">
        <v>52</v>
      </c>
      <c r="J128" s="2" t="s">
        <v>31</v>
      </c>
      <c r="K128">
        <v>0</v>
      </c>
      <c r="L128" s="2" t="s">
        <v>303</v>
      </c>
      <c r="M128" s="2" t="s">
        <v>304</v>
      </c>
      <c r="N128">
        <v>37.950000000000003</v>
      </c>
      <c r="O128" s="1">
        <v>45503</v>
      </c>
      <c r="P128" s="1">
        <v>45510</v>
      </c>
      <c r="Q128" s="2" t="s">
        <v>45</v>
      </c>
      <c r="R128" s="2">
        <v>2230</v>
      </c>
    </row>
    <row r="129" spans="1:18" x14ac:dyDescent="0.25">
      <c r="A129" s="1">
        <v>45491</v>
      </c>
      <c r="B129" s="2" t="s">
        <v>17</v>
      </c>
      <c r="C129" s="2" t="s">
        <v>75</v>
      </c>
      <c r="D129">
        <v>5</v>
      </c>
      <c r="E129">
        <v>23</v>
      </c>
      <c r="F129" s="2" t="s">
        <v>19</v>
      </c>
      <c r="G129" s="2" t="s">
        <v>20</v>
      </c>
      <c r="H129">
        <v>0</v>
      </c>
      <c r="I129" s="2" t="s">
        <v>42</v>
      </c>
      <c r="J129" s="2" t="s">
        <v>53</v>
      </c>
      <c r="K129">
        <v>0</v>
      </c>
      <c r="L129" s="2" t="s">
        <v>305</v>
      </c>
      <c r="M129" s="2" t="s">
        <v>306</v>
      </c>
      <c r="N129">
        <v>26.44</v>
      </c>
      <c r="O129" s="1">
        <v>45491</v>
      </c>
      <c r="P129" s="1">
        <v>45500</v>
      </c>
      <c r="Q129" s="2" t="s">
        <v>25</v>
      </c>
      <c r="R129" s="2">
        <v>115</v>
      </c>
    </row>
    <row r="130" spans="1:18" x14ac:dyDescent="0.25">
      <c r="A130" s="1">
        <v>45530</v>
      </c>
      <c r="B130" s="2" t="s">
        <v>17</v>
      </c>
      <c r="C130" s="2" t="s">
        <v>126</v>
      </c>
      <c r="D130">
        <v>20</v>
      </c>
      <c r="E130">
        <v>489</v>
      </c>
      <c r="F130" s="2" t="s">
        <v>46</v>
      </c>
      <c r="G130" s="2" t="s">
        <v>20</v>
      </c>
      <c r="H130">
        <v>0.15</v>
      </c>
      <c r="I130" s="2" t="s">
        <v>21</v>
      </c>
      <c r="J130" s="2" t="s">
        <v>31</v>
      </c>
      <c r="K130">
        <v>0</v>
      </c>
      <c r="L130" s="2" t="s">
        <v>307</v>
      </c>
      <c r="M130" s="2" t="s">
        <v>308</v>
      </c>
      <c r="N130">
        <v>21.77</v>
      </c>
      <c r="O130" s="1">
        <v>45530</v>
      </c>
      <c r="P130" s="1">
        <v>45536</v>
      </c>
      <c r="Q130" s="2" t="s">
        <v>25</v>
      </c>
      <c r="R130" s="2">
        <v>8313</v>
      </c>
    </row>
    <row r="131" spans="1:18" x14ac:dyDescent="0.25">
      <c r="A131" s="1">
        <v>45816</v>
      </c>
      <c r="B131" s="2" t="s">
        <v>65</v>
      </c>
      <c r="C131" s="2" t="s">
        <v>75</v>
      </c>
      <c r="D131">
        <v>7</v>
      </c>
      <c r="E131">
        <v>453</v>
      </c>
      <c r="F131" s="2" t="s">
        <v>28</v>
      </c>
      <c r="G131" s="2" t="s">
        <v>20</v>
      </c>
      <c r="H131">
        <v>0.05</v>
      </c>
      <c r="I131" s="2" t="s">
        <v>42</v>
      </c>
      <c r="J131" s="2" t="s">
        <v>31</v>
      </c>
      <c r="K131">
        <v>0</v>
      </c>
      <c r="L131" s="2" t="s">
        <v>309</v>
      </c>
      <c r="M131" s="2" t="s">
        <v>310</v>
      </c>
      <c r="N131">
        <v>46.97</v>
      </c>
      <c r="O131" s="1">
        <v>45816</v>
      </c>
      <c r="P131" s="1">
        <v>45823</v>
      </c>
      <c r="Q131" s="2" t="s">
        <v>68</v>
      </c>
      <c r="R131" s="2">
        <v>3012</v>
      </c>
    </row>
    <row r="132" spans="1:18" x14ac:dyDescent="0.25">
      <c r="A132" s="1">
        <v>45793</v>
      </c>
      <c r="B132" s="2" t="s">
        <v>35</v>
      </c>
      <c r="C132" s="2" t="s">
        <v>36</v>
      </c>
      <c r="D132">
        <v>11</v>
      </c>
      <c r="E132">
        <v>465</v>
      </c>
      <c r="F132" s="2" t="s">
        <v>28</v>
      </c>
      <c r="G132" s="2" t="s">
        <v>20</v>
      </c>
      <c r="H132">
        <v>0</v>
      </c>
      <c r="I132" s="2" t="s">
        <v>47</v>
      </c>
      <c r="J132" s="2" t="s">
        <v>56</v>
      </c>
      <c r="K132">
        <v>1</v>
      </c>
      <c r="L132" s="2" t="s">
        <v>311</v>
      </c>
      <c r="M132" s="2" t="s">
        <v>312</v>
      </c>
      <c r="N132">
        <v>17.59</v>
      </c>
      <c r="O132" s="1">
        <v>45793</v>
      </c>
      <c r="P132" s="1">
        <v>45800</v>
      </c>
      <c r="Q132" s="2" t="s">
        <v>39</v>
      </c>
      <c r="R132" s="2">
        <v>5115</v>
      </c>
    </row>
    <row r="133" spans="1:18" x14ac:dyDescent="0.25">
      <c r="A133" s="1">
        <v>45491</v>
      </c>
      <c r="B133" s="2" t="s">
        <v>17</v>
      </c>
      <c r="C133" s="2" t="s">
        <v>27</v>
      </c>
      <c r="D133">
        <v>14</v>
      </c>
      <c r="E133">
        <v>443</v>
      </c>
      <c r="F133" s="2" t="s">
        <v>19</v>
      </c>
      <c r="G133" s="2" t="s">
        <v>29</v>
      </c>
      <c r="H133">
        <v>0</v>
      </c>
      <c r="I133" s="2" t="s">
        <v>21</v>
      </c>
      <c r="J133" s="2" t="s">
        <v>31</v>
      </c>
      <c r="K133">
        <v>0</v>
      </c>
      <c r="L133" s="2" t="s">
        <v>313</v>
      </c>
      <c r="M133" s="2" t="s">
        <v>314</v>
      </c>
      <c r="N133">
        <v>28.76</v>
      </c>
      <c r="O133" s="1">
        <v>45491</v>
      </c>
      <c r="P133" s="1">
        <v>45497</v>
      </c>
      <c r="Q133" s="2" t="s">
        <v>25</v>
      </c>
      <c r="R133" s="2">
        <v>6202</v>
      </c>
    </row>
    <row r="134" spans="1:18" x14ac:dyDescent="0.25">
      <c r="A134" s="1">
        <v>45186</v>
      </c>
      <c r="B134" s="2" t="s">
        <v>65</v>
      </c>
      <c r="C134" s="2" t="s">
        <v>18</v>
      </c>
      <c r="D134">
        <v>12</v>
      </c>
      <c r="E134">
        <v>469</v>
      </c>
      <c r="F134" s="2" t="s">
        <v>19</v>
      </c>
      <c r="G134" s="2" t="s">
        <v>20</v>
      </c>
      <c r="H134">
        <v>0</v>
      </c>
      <c r="I134" s="2" t="s">
        <v>62</v>
      </c>
      <c r="J134" s="2" t="s">
        <v>22</v>
      </c>
      <c r="K134">
        <v>0</v>
      </c>
      <c r="L134" s="2" t="s">
        <v>315</v>
      </c>
      <c r="M134" s="2" t="s">
        <v>316</v>
      </c>
      <c r="N134">
        <v>33.299999999999997</v>
      </c>
      <c r="O134" s="1">
        <v>45186</v>
      </c>
      <c r="P134" s="1">
        <v>45195</v>
      </c>
      <c r="Q134" s="2" t="s">
        <v>68</v>
      </c>
      <c r="R134" s="2">
        <v>5628</v>
      </c>
    </row>
    <row r="135" spans="1:18" x14ac:dyDescent="0.25">
      <c r="A135" s="1">
        <v>44998</v>
      </c>
      <c r="B135" s="2" t="s">
        <v>17</v>
      </c>
      <c r="C135" s="2" t="s">
        <v>50</v>
      </c>
      <c r="D135">
        <v>14</v>
      </c>
      <c r="E135">
        <v>249</v>
      </c>
      <c r="F135" s="2" t="s">
        <v>46</v>
      </c>
      <c r="G135" s="2" t="s">
        <v>20</v>
      </c>
      <c r="H135">
        <v>0.05</v>
      </c>
      <c r="I135" s="2" t="s">
        <v>62</v>
      </c>
      <c r="J135" s="2" t="s">
        <v>56</v>
      </c>
      <c r="K135">
        <v>1</v>
      </c>
      <c r="L135" s="2" t="s">
        <v>317</v>
      </c>
      <c r="M135" s="2" t="s">
        <v>318</v>
      </c>
      <c r="N135">
        <v>21.76</v>
      </c>
      <c r="O135" s="1">
        <v>44998</v>
      </c>
      <c r="P135" s="1">
        <v>45004</v>
      </c>
      <c r="Q135" s="2" t="s">
        <v>25</v>
      </c>
      <c r="R135" s="2">
        <v>3312</v>
      </c>
    </row>
    <row r="136" spans="1:18" x14ac:dyDescent="0.25">
      <c r="A136" s="1">
        <v>45014</v>
      </c>
      <c r="B136" s="2" t="s">
        <v>26</v>
      </c>
      <c r="C136" s="2" t="s">
        <v>41</v>
      </c>
      <c r="D136">
        <v>4</v>
      </c>
      <c r="E136">
        <v>565</v>
      </c>
      <c r="F136" s="2" t="s">
        <v>51</v>
      </c>
      <c r="G136" s="2" t="s">
        <v>20</v>
      </c>
      <c r="H136">
        <v>0.05</v>
      </c>
      <c r="I136" s="2" t="s">
        <v>30</v>
      </c>
      <c r="J136" s="2" t="s">
        <v>59</v>
      </c>
      <c r="K136">
        <v>0</v>
      </c>
      <c r="L136" s="2" t="s">
        <v>319</v>
      </c>
      <c r="M136" s="2" t="s">
        <v>320</v>
      </c>
      <c r="N136">
        <v>27.04</v>
      </c>
      <c r="O136" s="1">
        <v>45014</v>
      </c>
      <c r="P136" s="1">
        <v>45019</v>
      </c>
      <c r="Q136" s="2" t="s">
        <v>34</v>
      </c>
      <c r="R136" s="2">
        <v>2147</v>
      </c>
    </row>
    <row r="137" spans="1:18" x14ac:dyDescent="0.25">
      <c r="A137" s="1">
        <v>45121</v>
      </c>
      <c r="B137" s="2" t="s">
        <v>40</v>
      </c>
      <c r="C137" s="2" t="s">
        <v>36</v>
      </c>
      <c r="D137">
        <v>12</v>
      </c>
      <c r="E137">
        <v>245</v>
      </c>
      <c r="F137" s="2" t="s">
        <v>19</v>
      </c>
      <c r="G137" s="2" t="s">
        <v>20</v>
      </c>
      <c r="H137">
        <v>0.05</v>
      </c>
      <c r="I137" s="2" t="s">
        <v>42</v>
      </c>
      <c r="J137" s="2" t="s">
        <v>22</v>
      </c>
      <c r="K137">
        <v>0</v>
      </c>
      <c r="L137" s="2" t="s">
        <v>321</v>
      </c>
      <c r="M137" s="2" t="s">
        <v>322</v>
      </c>
      <c r="N137">
        <v>44.75</v>
      </c>
      <c r="O137" s="1">
        <v>45121</v>
      </c>
      <c r="P137" s="1">
        <v>45130</v>
      </c>
      <c r="Q137" s="2" t="s">
        <v>45</v>
      </c>
      <c r="R137" s="2">
        <v>2793</v>
      </c>
    </row>
    <row r="138" spans="1:18" x14ac:dyDescent="0.25">
      <c r="A138" s="1">
        <v>45373</v>
      </c>
      <c r="B138" s="2" t="s">
        <v>65</v>
      </c>
      <c r="C138" s="2" t="s">
        <v>18</v>
      </c>
      <c r="D138">
        <v>13</v>
      </c>
      <c r="E138">
        <v>291</v>
      </c>
      <c r="F138" s="2" t="s">
        <v>46</v>
      </c>
      <c r="G138" s="2" t="s">
        <v>29</v>
      </c>
      <c r="H138">
        <v>0.05</v>
      </c>
      <c r="I138" s="2" t="s">
        <v>52</v>
      </c>
      <c r="J138" s="2" t="s">
        <v>53</v>
      </c>
      <c r="K138">
        <v>0</v>
      </c>
      <c r="L138" s="2" t="s">
        <v>323</v>
      </c>
      <c r="M138" s="2" t="s">
        <v>324</v>
      </c>
      <c r="N138">
        <v>26.09</v>
      </c>
      <c r="O138" s="1">
        <v>45373</v>
      </c>
      <c r="P138" s="1">
        <v>45382</v>
      </c>
      <c r="Q138" s="2" t="s">
        <v>68</v>
      </c>
      <c r="R138" s="2">
        <v>3594</v>
      </c>
    </row>
    <row r="139" spans="1:18" x14ac:dyDescent="0.25">
      <c r="A139" s="1">
        <v>45426</v>
      </c>
      <c r="B139" s="2" t="s">
        <v>40</v>
      </c>
      <c r="C139" s="2" t="s">
        <v>18</v>
      </c>
      <c r="D139">
        <v>11</v>
      </c>
      <c r="E139">
        <v>229</v>
      </c>
      <c r="F139" s="2" t="s">
        <v>46</v>
      </c>
      <c r="G139" s="2" t="s">
        <v>29</v>
      </c>
      <c r="H139">
        <v>0.1</v>
      </c>
      <c r="I139" s="2" t="s">
        <v>62</v>
      </c>
      <c r="J139" s="2" t="s">
        <v>59</v>
      </c>
      <c r="K139">
        <v>0</v>
      </c>
      <c r="L139" s="2" t="s">
        <v>325</v>
      </c>
      <c r="M139" s="2" t="s">
        <v>326</v>
      </c>
      <c r="N139">
        <v>35.39</v>
      </c>
      <c r="O139" s="1">
        <v>45426</v>
      </c>
      <c r="P139" s="1">
        <v>45429</v>
      </c>
      <c r="Q139" s="2" t="s">
        <v>45</v>
      </c>
      <c r="R139" s="2">
        <v>2267</v>
      </c>
    </row>
    <row r="140" spans="1:18" x14ac:dyDescent="0.25">
      <c r="A140" s="1">
        <v>45076</v>
      </c>
      <c r="B140" s="2" t="s">
        <v>40</v>
      </c>
      <c r="C140" s="2" t="s">
        <v>50</v>
      </c>
      <c r="D140">
        <v>2</v>
      </c>
      <c r="E140">
        <v>427</v>
      </c>
      <c r="F140" s="2" t="s">
        <v>28</v>
      </c>
      <c r="G140" s="2" t="s">
        <v>20</v>
      </c>
      <c r="H140">
        <v>0.05</v>
      </c>
      <c r="I140" s="2" t="s">
        <v>52</v>
      </c>
      <c r="J140" s="2" t="s">
        <v>22</v>
      </c>
      <c r="K140">
        <v>0</v>
      </c>
      <c r="L140" s="2" t="s">
        <v>327</v>
      </c>
      <c r="M140" s="2" t="s">
        <v>328</v>
      </c>
      <c r="N140">
        <v>19.420000000000002</v>
      </c>
      <c r="O140" s="1">
        <v>45076</v>
      </c>
      <c r="P140" s="1">
        <v>45079</v>
      </c>
      <c r="Q140" s="2" t="s">
        <v>45</v>
      </c>
      <c r="R140" s="2">
        <v>811</v>
      </c>
    </row>
    <row r="141" spans="1:18" x14ac:dyDescent="0.25">
      <c r="A141" s="1">
        <v>45004</v>
      </c>
      <c r="B141" s="2" t="s">
        <v>35</v>
      </c>
      <c r="C141" s="2" t="s">
        <v>27</v>
      </c>
      <c r="D141">
        <v>2</v>
      </c>
      <c r="E141">
        <v>444</v>
      </c>
      <c r="F141" s="2" t="s">
        <v>46</v>
      </c>
      <c r="G141" s="2" t="s">
        <v>20</v>
      </c>
      <c r="H141">
        <v>0.05</v>
      </c>
      <c r="I141" s="2" t="s">
        <v>30</v>
      </c>
      <c r="J141" s="2" t="s">
        <v>59</v>
      </c>
      <c r="K141">
        <v>0</v>
      </c>
      <c r="L141" s="2" t="s">
        <v>329</v>
      </c>
      <c r="M141" s="2" t="s">
        <v>330</v>
      </c>
      <c r="N141">
        <v>13.65</v>
      </c>
      <c r="O141" s="1">
        <v>45004</v>
      </c>
      <c r="P141" s="1">
        <v>45007</v>
      </c>
      <c r="Q141" s="2" t="s">
        <v>39</v>
      </c>
      <c r="R141" s="2">
        <v>844</v>
      </c>
    </row>
    <row r="142" spans="1:18" x14ac:dyDescent="0.25">
      <c r="A142" s="1">
        <v>45147</v>
      </c>
      <c r="B142" s="2" t="s">
        <v>40</v>
      </c>
      <c r="C142" s="2" t="s">
        <v>36</v>
      </c>
      <c r="D142">
        <v>13</v>
      </c>
      <c r="E142">
        <v>281</v>
      </c>
      <c r="F142" s="2" t="s">
        <v>19</v>
      </c>
      <c r="G142" s="2" t="s">
        <v>20</v>
      </c>
      <c r="H142">
        <v>0.15</v>
      </c>
      <c r="I142" s="2" t="s">
        <v>30</v>
      </c>
      <c r="J142" s="2" t="s">
        <v>53</v>
      </c>
      <c r="K142">
        <v>0</v>
      </c>
      <c r="L142" s="2" t="s">
        <v>331</v>
      </c>
      <c r="M142" s="2" t="s">
        <v>332</v>
      </c>
      <c r="N142">
        <v>10.14</v>
      </c>
      <c r="O142" s="1">
        <v>45147</v>
      </c>
      <c r="P142" s="1">
        <v>45152</v>
      </c>
      <c r="Q142" s="2" t="s">
        <v>45</v>
      </c>
      <c r="R142" s="2">
        <v>3105</v>
      </c>
    </row>
    <row r="143" spans="1:18" x14ac:dyDescent="0.25">
      <c r="A143" s="1">
        <v>45578</v>
      </c>
      <c r="B143" s="2" t="s">
        <v>35</v>
      </c>
      <c r="C143" s="2" t="s">
        <v>41</v>
      </c>
      <c r="D143">
        <v>13</v>
      </c>
      <c r="E143">
        <v>417</v>
      </c>
      <c r="F143" s="2" t="s">
        <v>19</v>
      </c>
      <c r="G143" s="2" t="s">
        <v>20</v>
      </c>
      <c r="H143">
        <v>0.15</v>
      </c>
      <c r="I143" s="2" t="s">
        <v>62</v>
      </c>
      <c r="J143" s="2" t="s">
        <v>53</v>
      </c>
      <c r="K143">
        <v>0</v>
      </c>
      <c r="L143" s="2" t="s">
        <v>333</v>
      </c>
      <c r="M143" s="2" t="s">
        <v>334</v>
      </c>
      <c r="N143">
        <v>21.74</v>
      </c>
      <c r="O143" s="1">
        <v>45578</v>
      </c>
      <c r="P143" s="1">
        <v>45585</v>
      </c>
      <c r="Q143" s="2" t="s">
        <v>39</v>
      </c>
      <c r="R143" s="2">
        <v>4608</v>
      </c>
    </row>
    <row r="144" spans="1:18" x14ac:dyDescent="0.25">
      <c r="A144" s="1">
        <v>45705</v>
      </c>
      <c r="B144" s="2" t="s">
        <v>17</v>
      </c>
      <c r="C144" s="2" t="s">
        <v>41</v>
      </c>
      <c r="D144">
        <v>11</v>
      </c>
      <c r="E144">
        <v>589</v>
      </c>
      <c r="F144" s="2" t="s">
        <v>19</v>
      </c>
      <c r="G144" s="2" t="s">
        <v>29</v>
      </c>
      <c r="H144">
        <v>0</v>
      </c>
      <c r="I144" s="2" t="s">
        <v>30</v>
      </c>
      <c r="J144" s="2" t="s">
        <v>22</v>
      </c>
      <c r="K144">
        <v>0</v>
      </c>
      <c r="L144" s="2" t="s">
        <v>335</v>
      </c>
      <c r="M144" s="2" t="s">
        <v>336</v>
      </c>
      <c r="N144">
        <v>49.93</v>
      </c>
      <c r="O144" s="1">
        <v>45705</v>
      </c>
      <c r="P144" s="1">
        <v>45713</v>
      </c>
      <c r="Q144" s="2" t="s">
        <v>25</v>
      </c>
      <c r="R144" s="2">
        <v>6479</v>
      </c>
    </row>
    <row r="145" spans="1:18" x14ac:dyDescent="0.25">
      <c r="A145" s="1">
        <v>45819</v>
      </c>
      <c r="B145" s="2" t="s">
        <v>35</v>
      </c>
      <c r="C145" s="2" t="s">
        <v>27</v>
      </c>
      <c r="D145">
        <v>18</v>
      </c>
      <c r="E145">
        <v>153</v>
      </c>
      <c r="F145" s="2" t="s">
        <v>46</v>
      </c>
      <c r="G145" s="2" t="s">
        <v>29</v>
      </c>
      <c r="H145">
        <v>0.15</v>
      </c>
      <c r="I145" s="2" t="s">
        <v>52</v>
      </c>
      <c r="J145" s="2" t="s">
        <v>56</v>
      </c>
      <c r="K145">
        <v>1</v>
      </c>
      <c r="L145" s="2" t="s">
        <v>337</v>
      </c>
      <c r="M145" s="2" t="s">
        <v>338</v>
      </c>
      <c r="N145">
        <v>20.3</v>
      </c>
      <c r="O145" s="1">
        <v>45819</v>
      </c>
      <c r="P145" s="1">
        <v>45828</v>
      </c>
      <c r="Q145" s="2" t="s">
        <v>39</v>
      </c>
      <c r="R145" s="2">
        <v>2341</v>
      </c>
    </row>
    <row r="146" spans="1:18" x14ac:dyDescent="0.25">
      <c r="A146" s="1">
        <v>45411</v>
      </c>
      <c r="B146" s="2" t="s">
        <v>40</v>
      </c>
      <c r="C146" s="2" t="s">
        <v>75</v>
      </c>
      <c r="D146">
        <v>4</v>
      </c>
      <c r="E146">
        <v>164</v>
      </c>
      <c r="F146" s="2" t="s">
        <v>19</v>
      </c>
      <c r="G146" s="2" t="s">
        <v>29</v>
      </c>
      <c r="H146">
        <v>0</v>
      </c>
      <c r="I146" s="2" t="s">
        <v>62</v>
      </c>
      <c r="J146" s="2" t="s">
        <v>31</v>
      </c>
      <c r="K146">
        <v>1</v>
      </c>
      <c r="L146" s="2" t="s">
        <v>339</v>
      </c>
      <c r="M146" s="2" t="s">
        <v>340</v>
      </c>
      <c r="N146">
        <v>31.8</v>
      </c>
      <c r="O146" s="1">
        <v>45411</v>
      </c>
      <c r="P146" s="1">
        <v>45413</v>
      </c>
      <c r="Q146" s="2" t="s">
        <v>45</v>
      </c>
      <c r="R146" s="2">
        <v>656</v>
      </c>
    </row>
    <row r="147" spans="1:18" x14ac:dyDescent="0.25">
      <c r="A147" s="1">
        <v>45003</v>
      </c>
      <c r="B147" s="2" t="s">
        <v>65</v>
      </c>
      <c r="C147" s="2" t="s">
        <v>18</v>
      </c>
      <c r="D147">
        <v>19</v>
      </c>
      <c r="E147">
        <v>484</v>
      </c>
      <c r="F147" s="2" t="s">
        <v>46</v>
      </c>
      <c r="G147" s="2" t="s">
        <v>20</v>
      </c>
      <c r="H147">
        <v>0.15</v>
      </c>
      <c r="I147" s="2" t="s">
        <v>62</v>
      </c>
      <c r="J147" s="2" t="s">
        <v>56</v>
      </c>
      <c r="K147">
        <v>1</v>
      </c>
      <c r="L147" s="2" t="s">
        <v>341</v>
      </c>
      <c r="M147" s="2" t="s">
        <v>342</v>
      </c>
      <c r="N147">
        <v>29.51</v>
      </c>
      <c r="O147" s="1">
        <v>45003</v>
      </c>
      <c r="P147" s="1">
        <v>45005</v>
      </c>
      <c r="Q147" s="2" t="s">
        <v>68</v>
      </c>
      <c r="R147" s="2">
        <v>7817</v>
      </c>
    </row>
    <row r="148" spans="1:18" x14ac:dyDescent="0.25">
      <c r="A148" s="1">
        <v>45647</v>
      </c>
      <c r="B148" s="2" t="s">
        <v>35</v>
      </c>
      <c r="C148" s="2" t="s">
        <v>41</v>
      </c>
      <c r="D148">
        <v>9</v>
      </c>
      <c r="E148">
        <v>380</v>
      </c>
      <c r="F148" s="2" t="s">
        <v>19</v>
      </c>
      <c r="G148" s="2" t="s">
        <v>29</v>
      </c>
      <c r="H148">
        <v>0.1</v>
      </c>
      <c r="I148" s="2" t="s">
        <v>47</v>
      </c>
      <c r="J148" s="2" t="s">
        <v>53</v>
      </c>
      <c r="K148">
        <v>0</v>
      </c>
      <c r="L148" s="2" t="s">
        <v>343</v>
      </c>
      <c r="M148" s="2" t="s">
        <v>344</v>
      </c>
      <c r="N148">
        <v>31</v>
      </c>
      <c r="O148" s="1">
        <v>45647</v>
      </c>
      <c r="P148" s="1">
        <v>45653</v>
      </c>
      <c r="Q148" s="2" t="s">
        <v>39</v>
      </c>
      <c r="R148" s="2">
        <v>3078</v>
      </c>
    </row>
    <row r="149" spans="1:18" x14ac:dyDescent="0.25">
      <c r="A149" s="1">
        <v>45039</v>
      </c>
      <c r="B149" s="2" t="s">
        <v>65</v>
      </c>
      <c r="C149" s="2" t="s">
        <v>41</v>
      </c>
      <c r="D149">
        <v>17</v>
      </c>
      <c r="E149">
        <v>332</v>
      </c>
      <c r="F149" s="2" t="s">
        <v>28</v>
      </c>
      <c r="G149" s="2" t="s">
        <v>29</v>
      </c>
      <c r="H149">
        <v>0.1</v>
      </c>
      <c r="I149" s="2" t="s">
        <v>42</v>
      </c>
      <c r="J149" s="2" t="s">
        <v>53</v>
      </c>
      <c r="K149">
        <v>1</v>
      </c>
      <c r="L149" s="2" t="s">
        <v>345</v>
      </c>
      <c r="M149" s="2" t="s">
        <v>346</v>
      </c>
      <c r="N149">
        <v>33.81</v>
      </c>
      <c r="O149" s="1">
        <v>45039</v>
      </c>
      <c r="P149" s="1">
        <v>45048</v>
      </c>
      <c r="Q149" s="2" t="s">
        <v>68</v>
      </c>
      <c r="R149" s="2">
        <v>5080</v>
      </c>
    </row>
    <row r="150" spans="1:18" x14ac:dyDescent="0.25">
      <c r="A150" s="1">
        <v>45788</v>
      </c>
      <c r="B150" s="2" t="s">
        <v>40</v>
      </c>
      <c r="C150" s="2" t="s">
        <v>41</v>
      </c>
      <c r="D150">
        <v>15</v>
      </c>
      <c r="E150">
        <v>211</v>
      </c>
      <c r="F150" s="2" t="s">
        <v>46</v>
      </c>
      <c r="G150" s="2" t="s">
        <v>20</v>
      </c>
      <c r="H150">
        <v>0.05</v>
      </c>
      <c r="I150" s="2" t="s">
        <v>42</v>
      </c>
      <c r="J150" s="2" t="s">
        <v>22</v>
      </c>
      <c r="K150">
        <v>0</v>
      </c>
      <c r="L150" s="2" t="s">
        <v>347</v>
      </c>
      <c r="M150" s="2" t="s">
        <v>348</v>
      </c>
      <c r="N150">
        <v>10.91</v>
      </c>
      <c r="O150" s="1">
        <v>45788</v>
      </c>
      <c r="P150" s="1">
        <v>45798</v>
      </c>
      <c r="Q150" s="2" t="s">
        <v>45</v>
      </c>
      <c r="R150" s="2">
        <v>3007</v>
      </c>
    </row>
    <row r="151" spans="1:18" x14ac:dyDescent="0.25">
      <c r="A151" s="1">
        <v>45354</v>
      </c>
      <c r="B151" s="2" t="s">
        <v>26</v>
      </c>
      <c r="C151" s="2" t="s">
        <v>27</v>
      </c>
      <c r="D151">
        <v>9</v>
      </c>
      <c r="E151">
        <v>383</v>
      </c>
      <c r="F151" s="2" t="s">
        <v>51</v>
      </c>
      <c r="G151" s="2" t="s">
        <v>20</v>
      </c>
      <c r="H151">
        <v>0</v>
      </c>
      <c r="I151" s="2" t="s">
        <v>21</v>
      </c>
      <c r="J151" s="2" t="s">
        <v>59</v>
      </c>
      <c r="K151">
        <v>0</v>
      </c>
      <c r="L151" s="2" t="s">
        <v>349</v>
      </c>
      <c r="M151" s="2" t="s">
        <v>350</v>
      </c>
      <c r="N151">
        <v>47.94</v>
      </c>
      <c r="O151" s="1">
        <v>45354</v>
      </c>
      <c r="P151" s="1">
        <v>45356</v>
      </c>
      <c r="Q151" s="2" t="s">
        <v>34</v>
      </c>
      <c r="R151" s="2">
        <v>3447</v>
      </c>
    </row>
    <row r="152" spans="1:18" x14ac:dyDescent="0.25">
      <c r="A152" s="1">
        <v>45677</v>
      </c>
      <c r="B152" s="2" t="s">
        <v>35</v>
      </c>
      <c r="C152" s="2" t="s">
        <v>50</v>
      </c>
      <c r="D152">
        <v>3</v>
      </c>
      <c r="E152">
        <v>386</v>
      </c>
      <c r="F152" s="2" t="s">
        <v>46</v>
      </c>
      <c r="G152" s="2" t="s">
        <v>29</v>
      </c>
      <c r="H152">
        <v>0.15</v>
      </c>
      <c r="I152" s="2" t="s">
        <v>47</v>
      </c>
      <c r="J152" s="2" t="s">
        <v>53</v>
      </c>
      <c r="K152">
        <v>0</v>
      </c>
      <c r="L152" s="2" t="s">
        <v>351</v>
      </c>
      <c r="M152" s="2" t="s">
        <v>352</v>
      </c>
      <c r="N152">
        <v>32.450000000000003</v>
      </c>
      <c r="O152" s="1">
        <v>45677</v>
      </c>
      <c r="P152" s="1">
        <v>45687</v>
      </c>
      <c r="Q152" s="2" t="s">
        <v>39</v>
      </c>
      <c r="R152" s="2">
        <v>984</v>
      </c>
    </row>
    <row r="153" spans="1:18" x14ac:dyDescent="0.25">
      <c r="A153" s="1">
        <v>45738</v>
      </c>
      <c r="B153" s="2" t="s">
        <v>35</v>
      </c>
      <c r="C153" s="2" t="s">
        <v>75</v>
      </c>
      <c r="D153">
        <v>5</v>
      </c>
      <c r="E153">
        <v>226</v>
      </c>
      <c r="F153" s="2" t="s">
        <v>46</v>
      </c>
      <c r="G153" s="2" t="s">
        <v>29</v>
      </c>
      <c r="H153">
        <v>0</v>
      </c>
      <c r="I153" s="2" t="s">
        <v>21</v>
      </c>
      <c r="J153" s="2" t="s">
        <v>22</v>
      </c>
      <c r="K153">
        <v>1</v>
      </c>
      <c r="L153" s="2" t="s">
        <v>353</v>
      </c>
      <c r="M153" s="2" t="s">
        <v>354</v>
      </c>
      <c r="N153">
        <v>10.88</v>
      </c>
      <c r="O153" s="1">
        <v>45738</v>
      </c>
      <c r="P153" s="1">
        <v>45746</v>
      </c>
      <c r="Q153" s="2" t="s">
        <v>39</v>
      </c>
      <c r="R153" s="2">
        <v>1130</v>
      </c>
    </row>
    <row r="154" spans="1:18" x14ac:dyDescent="0.25">
      <c r="A154" s="1">
        <v>45744</v>
      </c>
      <c r="B154" s="2" t="s">
        <v>26</v>
      </c>
      <c r="C154" s="2" t="s">
        <v>126</v>
      </c>
      <c r="D154">
        <v>20</v>
      </c>
      <c r="E154">
        <v>313</v>
      </c>
      <c r="F154" s="2" t="s">
        <v>51</v>
      </c>
      <c r="G154" s="2" t="s">
        <v>29</v>
      </c>
      <c r="H154">
        <v>0.15</v>
      </c>
      <c r="I154" s="2" t="s">
        <v>42</v>
      </c>
      <c r="J154" s="2" t="s">
        <v>31</v>
      </c>
      <c r="K154">
        <v>0</v>
      </c>
      <c r="L154" s="2" t="s">
        <v>355</v>
      </c>
      <c r="M154" s="2" t="s">
        <v>49</v>
      </c>
      <c r="N154">
        <v>47.39</v>
      </c>
      <c r="O154" s="1">
        <v>45744</v>
      </c>
      <c r="P154" s="1">
        <v>45746</v>
      </c>
      <c r="Q154" s="2" t="s">
        <v>34</v>
      </c>
      <c r="R154" s="2">
        <v>5321</v>
      </c>
    </row>
    <row r="155" spans="1:18" x14ac:dyDescent="0.25">
      <c r="A155" s="1">
        <v>45705</v>
      </c>
      <c r="B155" s="2" t="s">
        <v>35</v>
      </c>
      <c r="C155" s="2" t="s">
        <v>27</v>
      </c>
      <c r="D155">
        <v>13</v>
      </c>
      <c r="E155">
        <v>434</v>
      </c>
      <c r="F155" s="2" t="s">
        <v>46</v>
      </c>
      <c r="G155" s="2" t="s">
        <v>20</v>
      </c>
      <c r="H155">
        <v>0.05</v>
      </c>
      <c r="I155" s="2" t="s">
        <v>42</v>
      </c>
      <c r="J155" s="2" t="s">
        <v>59</v>
      </c>
      <c r="K155">
        <v>0</v>
      </c>
      <c r="L155" s="2" t="s">
        <v>356</v>
      </c>
      <c r="M155" s="2" t="s">
        <v>357</v>
      </c>
      <c r="N155">
        <v>17.61</v>
      </c>
      <c r="O155" s="1">
        <v>45705</v>
      </c>
      <c r="P155" s="1">
        <v>45709</v>
      </c>
      <c r="Q155" s="2" t="s">
        <v>39</v>
      </c>
      <c r="R155" s="2">
        <v>5360</v>
      </c>
    </row>
    <row r="156" spans="1:18" x14ac:dyDescent="0.25">
      <c r="A156" s="1">
        <v>45604</v>
      </c>
      <c r="B156" s="2" t="s">
        <v>26</v>
      </c>
      <c r="C156" s="2" t="s">
        <v>75</v>
      </c>
      <c r="D156">
        <v>20</v>
      </c>
      <c r="E156">
        <v>159</v>
      </c>
      <c r="F156" s="2" t="s">
        <v>28</v>
      </c>
      <c r="G156" s="2" t="s">
        <v>20</v>
      </c>
      <c r="H156">
        <v>0</v>
      </c>
      <c r="I156" s="2" t="s">
        <v>21</v>
      </c>
      <c r="J156" s="2" t="s">
        <v>22</v>
      </c>
      <c r="K156">
        <v>0</v>
      </c>
      <c r="L156" s="2" t="s">
        <v>358</v>
      </c>
      <c r="M156" s="2" t="s">
        <v>359</v>
      </c>
      <c r="N156">
        <v>26.32</v>
      </c>
      <c r="O156" s="1">
        <v>45604</v>
      </c>
      <c r="P156" s="1">
        <v>45607</v>
      </c>
      <c r="Q156" s="2" t="s">
        <v>34</v>
      </c>
      <c r="R156" s="2">
        <v>3180</v>
      </c>
    </row>
    <row r="157" spans="1:18" x14ac:dyDescent="0.25">
      <c r="A157" s="1">
        <v>45368</v>
      </c>
      <c r="B157" s="2" t="s">
        <v>26</v>
      </c>
      <c r="C157" s="2" t="s">
        <v>27</v>
      </c>
      <c r="D157">
        <v>18</v>
      </c>
      <c r="E157">
        <v>32</v>
      </c>
      <c r="F157" s="2" t="s">
        <v>19</v>
      </c>
      <c r="G157" s="2" t="s">
        <v>29</v>
      </c>
      <c r="H157">
        <v>0.05</v>
      </c>
      <c r="I157" s="2" t="s">
        <v>62</v>
      </c>
      <c r="J157" s="2" t="s">
        <v>53</v>
      </c>
      <c r="K157">
        <v>0</v>
      </c>
      <c r="L157" s="2" t="s">
        <v>360</v>
      </c>
      <c r="M157" s="2" t="s">
        <v>361</v>
      </c>
      <c r="N157">
        <v>6.04</v>
      </c>
      <c r="O157" s="1">
        <v>45368</v>
      </c>
      <c r="P157" s="1">
        <v>45372</v>
      </c>
      <c r="Q157" s="2" t="s">
        <v>34</v>
      </c>
      <c r="R157" s="2">
        <v>547</v>
      </c>
    </row>
    <row r="158" spans="1:18" x14ac:dyDescent="0.25">
      <c r="A158" s="1">
        <v>45167</v>
      </c>
      <c r="B158" s="2" t="s">
        <v>26</v>
      </c>
      <c r="C158" s="2" t="s">
        <v>50</v>
      </c>
      <c r="D158">
        <v>3</v>
      </c>
      <c r="E158">
        <v>528</v>
      </c>
      <c r="F158" s="2" t="s">
        <v>46</v>
      </c>
      <c r="G158" s="2" t="s">
        <v>29</v>
      </c>
      <c r="H158">
        <v>0.1</v>
      </c>
      <c r="I158" s="2" t="s">
        <v>62</v>
      </c>
      <c r="J158" s="2" t="s">
        <v>59</v>
      </c>
      <c r="K158">
        <v>0</v>
      </c>
      <c r="L158" s="2" t="s">
        <v>362</v>
      </c>
      <c r="M158" s="2" t="s">
        <v>363</v>
      </c>
      <c r="N158">
        <v>48.66</v>
      </c>
      <c r="O158" s="1">
        <v>45167</v>
      </c>
      <c r="P158" s="1">
        <v>45170</v>
      </c>
      <c r="Q158" s="2" t="s">
        <v>34</v>
      </c>
      <c r="R158" s="2">
        <v>1426</v>
      </c>
    </row>
    <row r="159" spans="1:18" x14ac:dyDescent="0.25">
      <c r="A159" s="1">
        <v>45099</v>
      </c>
      <c r="B159" s="2" t="s">
        <v>26</v>
      </c>
      <c r="C159" s="2" t="s">
        <v>41</v>
      </c>
      <c r="D159">
        <v>14</v>
      </c>
      <c r="E159">
        <v>291</v>
      </c>
      <c r="F159" s="2" t="s">
        <v>28</v>
      </c>
      <c r="G159" s="2" t="s">
        <v>29</v>
      </c>
      <c r="H159">
        <v>0</v>
      </c>
      <c r="I159" s="2" t="s">
        <v>47</v>
      </c>
      <c r="J159" s="2" t="s">
        <v>59</v>
      </c>
      <c r="K159">
        <v>0</v>
      </c>
      <c r="L159" s="2" t="s">
        <v>364</v>
      </c>
      <c r="M159" s="2" t="s">
        <v>365</v>
      </c>
      <c r="N159">
        <v>39.979999999999997</v>
      </c>
      <c r="O159" s="1">
        <v>45099</v>
      </c>
      <c r="P159" s="1">
        <v>45107</v>
      </c>
      <c r="Q159" s="2" t="s">
        <v>34</v>
      </c>
      <c r="R159" s="2">
        <v>4074</v>
      </c>
    </row>
    <row r="160" spans="1:18" x14ac:dyDescent="0.25">
      <c r="A160" s="1">
        <v>45346</v>
      </c>
      <c r="B160" s="2" t="s">
        <v>26</v>
      </c>
      <c r="C160" s="2" t="s">
        <v>27</v>
      </c>
      <c r="D160">
        <v>8</v>
      </c>
      <c r="E160">
        <v>350</v>
      </c>
      <c r="F160" s="2" t="s">
        <v>46</v>
      </c>
      <c r="G160" s="2" t="s">
        <v>29</v>
      </c>
      <c r="H160">
        <v>0</v>
      </c>
      <c r="I160" s="2" t="s">
        <v>30</v>
      </c>
      <c r="J160" s="2" t="s">
        <v>31</v>
      </c>
      <c r="K160">
        <v>1</v>
      </c>
      <c r="L160" s="2" t="s">
        <v>366</v>
      </c>
      <c r="M160" s="2" t="s">
        <v>367</v>
      </c>
      <c r="N160">
        <v>31.65</v>
      </c>
      <c r="O160" s="1">
        <v>45346</v>
      </c>
      <c r="P160" s="1">
        <v>45352</v>
      </c>
      <c r="Q160" s="2" t="s">
        <v>34</v>
      </c>
      <c r="R160" s="2">
        <v>2800</v>
      </c>
    </row>
    <row r="161" spans="1:18" x14ac:dyDescent="0.25">
      <c r="A161" s="1">
        <v>45392</v>
      </c>
      <c r="B161" s="2" t="s">
        <v>35</v>
      </c>
      <c r="C161" s="2" t="s">
        <v>27</v>
      </c>
      <c r="D161">
        <v>10</v>
      </c>
      <c r="E161">
        <v>195</v>
      </c>
      <c r="F161" s="2" t="s">
        <v>51</v>
      </c>
      <c r="G161" s="2" t="s">
        <v>29</v>
      </c>
      <c r="H161">
        <v>0.05</v>
      </c>
      <c r="I161" s="2" t="s">
        <v>30</v>
      </c>
      <c r="J161" s="2" t="s">
        <v>53</v>
      </c>
      <c r="K161">
        <v>0</v>
      </c>
      <c r="L161" s="2" t="s">
        <v>368</v>
      </c>
      <c r="M161" s="2" t="s">
        <v>369</v>
      </c>
      <c r="N161">
        <v>46.91</v>
      </c>
      <c r="O161" s="1">
        <v>45392</v>
      </c>
      <c r="P161" s="1">
        <v>45397</v>
      </c>
      <c r="Q161" s="2" t="s">
        <v>39</v>
      </c>
      <c r="R161" s="2">
        <v>1852</v>
      </c>
    </row>
    <row r="162" spans="1:18" x14ac:dyDescent="0.25">
      <c r="A162" s="1">
        <v>45060</v>
      </c>
      <c r="B162" s="2" t="s">
        <v>26</v>
      </c>
      <c r="C162" s="2" t="s">
        <v>50</v>
      </c>
      <c r="D162">
        <v>13</v>
      </c>
      <c r="E162">
        <v>291</v>
      </c>
      <c r="F162" s="2" t="s">
        <v>28</v>
      </c>
      <c r="G162" s="2" t="s">
        <v>20</v>
      </c>
      <c r="H162">
        <v>0</v>
      </c>
      <c r="I162" s="2" t="s">
        <v>30</v>
      </c>
      <c r="J162" s="2" t="s">
        <v>22</v>
      </c>
      <c r="K162">
        <v>0</v>
      </c>
      <c r="L162" s="2" t="s">
        <v>370</v>
      </c>
      <c r="M162" s="2" t="s">
        <v>371</v>
      </c>
      <c r="N162">
        <v>7.66</v>
      </c>
      <c r="O162" s="1">
        <v>45060</v>
      </c>
      <c r="P162" s="1">
        <v>45065</v>
      </c>
      <c r="Q162" s="2" t="s">
        <v>34</v>
      </c>
      <c r="R162" s="2">
        <v>3783</v>
      </c>
    </row>
    <row r="163" spans="1:18" x14ac:dyDescent="0.25">
      <c r="A163" s="1">
        <v>44996</v>
      </c>
      <c r="B163" s="2" t="s">
        <v>26</v>
      </c>
      <c r="C163" s="2" t="s">
        <v>50</v>
      </c>
      <c r="D163">
        <v>6</v>
      </c>
      <c r="E163">
        <v>94</v>
      </c>
      <c r="F163" s="2" t="s">
        <v>19</v>
      </c>
      <c r="G163" s="2" t="s">
        <v>20</v>
      </c>
      <c r="H163">
        <v>0.15</v>
      </c>
      <c r="I163" s="2" t="s">
        <v>21</v>
      </c>
      <c r="J163" s="2" t="s">
        <v>53</v>
      </c>
      <c r="K163">
        <v>0</v>
      </c>
      <c r="L163" s="2" t="s">
        <v>372</v>
      </c>
      <c r="M163" s="2" t="s">
        <v>373</v>
      </c>
      <c r="N163">
        <v>11</v>
      </c>
      <c r="O163" s="1">
        <v>44996</v>
      </c>
      <c r="P163" s="1">
        <v>45003</v>
      </c>
      <c r="Q163" s="2" t="s">
        <v>34</v>
      </c>
      <c r="R163" s="2">
        <v>479</v>
      </c>
    </row>
    <row r="164" spans="1:18" x14ac:dyDescent="0.25">
      <c r="A164" s="1">
        <v>45528</v>
      </c>
      <c r="B164" s="2" t="s">
        <v>40</v>
      </c>
      <c r="C164" s="2" t="s">
        <v>126</v>
      </c>
      <c r="D164">
        <v>5</v>
      </c>
      <c r="E164">
        <v>16</v>
      </c>
      <c r="F164" s="2" t="s">
        <v>51</v>
      </c>
      <c r="G164" s="2" t="s">
        <v>29</v>
      </c>
      <c r="H164">
        <v>0</v>
      </c>
      <c r="I164" s="2" t="s">
        <v>21</v>
      </c>
      <c r="J164" s="2" t="s">
        <v>53</v>
      </c>
      <c r="K164">
        <v>1</v>
      </c>
      <c r="L164" s="2" t="s">
        <v>374</v>
      </c>
      <c r="M164" s="2" t="s">
        <v>375</v>
      </c>
      <c r="N164">
        <v>8.66</v>
      </c>
      <c r="O164" s="1">
        <v>45528</v>
      </c>
      <c r="P164" s="1">
        <v>45530</v>
      </c>
      <c r="Q164" s="2" t="s">
        <v>45</v>
      </c>
      <c r="R164" s="2">
        <v>80</v>
      </c>
    </row>
    <row r="165" spans="1:18" x14ac:dyDescent="0.25">
      <c r="A165" s="1">
        <v>45345</v>
      </c>
      <c r="B165" s="2" t="s">
        <v>26</v>
      </c>
      <c r="C165" s="2" t="s">
        <v>50</v>
      </c>
      <c r="D165">
        <v>16</v>
      </c>
      <c r="E165">
        <v>120</v>
      </c>
      <c r="F165" s="2" t="s">
        <v>51</v>
      </c>
      <c r="G165" s="2" t="s">
        <v>29</v>
      </c>
      <c r="H165">
        <v>0.15</v>
      </c>
      <c r="I165" s="2" t="s">
        <v>62</v>
      </c>
      <c r="J165" s="2" t="s">
        <v>59</v>
      </c>
      <c r="K165">
        <v>0</v>
      </c>
      <c r="L165" s="2" t="s">
        <v>376</v>
      </c>
      <c r="M165" s="2" t="s">
        <v>377</v>
      </c>
      <c r="N165">
        <v>8.42</v>
      </c>
      <c r="O165" s="1">
        <v>45345</v>
      </c>
      <c r="P165" s="1">
        <v>45352</v>
      </c>
      <c r="Q165" s="2" t="s">
        <v>34</v>
      </c>
      <c r="R165" s="2">
        <v>1632</v>
      </c>
    </row>
    <row r="166" spans="1:18" x14ac:dyDescent="0.25">
      <c r="A166" s="1">
        <v>45321</v>
      </c>
      <c r="B166" s="2" t="s">
        <v>35</v>
      </c>
      <c r="C166" s="2" t="s">
        <v>50</v>
      </c>
      <c r="D166">
        <v>11</v>
      </c>
      <c r="E166">
        <v>119</v>
      </c>
      <c r="F166" s="2" t="s">
        <v>28</v>
      </c>
      <c r="G166" s="2" t="s">
        <v>29</v>
      </c>
      <c r="H166">
        <v>0.05</v>
      </c>
      <c r="I166" s="2" t="s">
        <v>21</v>
      </c>
      <c r="J166" s="2" t="s">
        <v>22</v>
      </c>
      <c r="K166">
        <v>0</v>
      </c>
      <c r="L166" s="2" t="s">
        <v>378</v>
      </c>
      <c r="M166" s="2" t="s">
        <v>379</v>
      </c>
      <c r="N166">
        <v>39.32</v>
      </c>
      <c r="O166" s="1">
        <v>45321</v>
      </c>
      <c r="P166" s="1">
        <v>45328</v>
      </c>
      <c r="Q166" s="2" t="s">
        <v>39</v>
      </c>
      <c r="R166" s="2">
        <v>1244</v>
      </c>
    </row>
    <row r="167" spans="1:18" x14ac:dyDescent="0.25">
      <c r="A167" s="1">
        <v>45314</v>
      </c>
      <c r="B167" s="2" t="s">
        <v>17</v>
      </c>
      <c r="C167" s="2" t="s">
        <v>75</v>
      </c>
      <c r="D167">
        <v>10</v>
      </c>
      <c r="E167">
        <v>92</v>
      </c>
      <c r="F167" s="2" t="s">
        <v>46</v>
      </c>
      <c r="G167" s="2" t="s">
        <v>20</v>
      </c>
      <c r="H167">
        <v>0.1</v>
      </c>
      <c r="I167" s="2" t="s">
        <v>42</v>
      </c>
      <c r="J167" s="2" t="s">
        <v>59</v>
      </c>
      <c r="K167">
        <v>1</v>
      </c>
      <c r="L167" s="2" t="s">
        <v>380</v>
      </c>
      <c r="M167" s="2" t="s">
        <v>381</v>
      </c>
      <c r="N167">
        <v>42.61</v>
      </c>
      <c r="O167" s="1">
        <v>45314</v>
      </c>
      <c r="P167" s="1">
        <v>45320</v>
      </c>
      <c r="Q167" s="2" t="s">
        <v>25</v>
      </c>
      <c r="R167" s="2">
        <v>828</v>
      </c>
    </row>
    <row r="168" spans="1:18" x14ac:dyDescent="0.25">
      <c r="A168" s="1">
        <v>44931</v>
      </c>
      <c r="B168" s="2" t="s">
        <v>35</v>
      </c>
      <c r="C168" s="2" t="s">
        <v>18</v>
      </c>
      <c r="D168">
        <v>19</v>
      </c>
      <c r="E168">
        <v>464</v>
      </c>
      <c r="F168" s="2" t="s">
        <v>19</v>
      </c>
      <c r="G168" s="2" t="s">
        <v>29</v>
      </c>
      <c r="H168">
        <v>0</v>
      </c>
      <c r="I168" s="2" t="s">
        <v>62</v>
      </c>
      <c r="J168" s="2" t="s">
        <v>59</v>
      </c>
      <c r="K168">
        <v>0</v>
      </c>
      <c r="L168" s="2" t="s">
        <v>382</v>
      </c>
      <c r="M168" s="2" t="s">
        <v>383</v>
      </c>
      <c r="N168">
        <v>49.38</v>
      </c>
      <c r="O168" s="1">
        <v>44931</v>
      </c>
      <c r="P168" s="1">
        <v>44934</v>
      </c>
      <c r="Q168" s="2" t="s">
        <v>39</v>
      </c>
      <c r="R168" s="2">
        <v>8816</v>
      </c>
    </row>
    <row r="169" spans="1:18" x14ac:dyDescent="0.25">
      <c r="A169" s="1">
        <v>45281</v>
      </c>
      <c r="B169" s="2" t="s">
        <v>35</v>
      </c>
      <c r="C169" s="2" t="s">
        <v>36</v>
      </c>
      <c r="D169">
        <v>7</v>
      </c>
      <c r="E169">
        <v>285</v>
      </c>
      <c r="F169" s="2" t="s">
        <v>51</v>
      </c>
      <c r="G169" s="2" t="s">
        <v>20</v>
      </c>
      <c r="H169">
        <v>0.05</v>
      </c>
      <c r="I169" s="2" t="s">
        <v>62</v>
      </c>
      <c r="J169" s="2" t="s">
        <v>31</v>
      </c>
      <c r="K169">
        <v>0</v>
      </c>
      <c r="L169" s="2" t="s">
        <v>384</v>
      </c>
      <c r="M169" s="2" t="s">
        <v>385</v>
      </c>
      <c r="N169">
        <v>5.36</v>
      </c>
      <c r="O169" s="1">
        <v>45281</v>
      </c>
      <c r="P169" s="1">
        <v>45290</v>
      </c>
      <c r="Q169" s="2" t="s">
        <v>39</v>
      </c>
      <c r="R169" s="2">
        <v>1895</v>
      </c>
    </row>
    <row r="170" spans="1:18" x14ac:dyDescent="0.25">
      <c r="A170" s="1">
        <v>45071</v>
      </c>
      <c r="B170" s="2" t="s">
        <v>65</v>
      </c>
      <c r="C170" s="2" t="s">
        <v>18</v>
      </c>
      <c r="D170">
        <v>20</v>
      </c>
      <c r="E170">
        <v>343</v>
      </c>
      <c r="F170" s="2" t="s">
        <v>46</v>
      </c>
      <c r="G170" s="2" t="s">
        <v>20</v>
      </c>
      <c r="H170">
        <v>0.05</v>
      </c>
      <c r="I170" s="2" t="s">
        <v>30</v>
      </c>
      <c r="J170" s="2" t="s">
        <v>56</v>
      </c>
      <c r="K170">
        <v>0</v>
      </c>
      <c r="L170" s="2" t="s">
        <v>386</v>
      </c>
      <c r="M170" s="2" t="s">
        <v>387</v>
      </c>
      <c r="N170">
        <v>28.77</v>
      </c>
      <c r="O170" s="1">
        <v>45071</v>
      </c>
      <c r="P170" s="1">
        <v>45079</v>
      </c>
      <c r="Q170" s="2" t="s">
        <v>68</v>
      </c>
      <c r="R170" s="2">
        <v>6517</v>
      </c>
    </row>
    <row r="171" spans="1:18" x14ac:dyDescent="0.25">
      <c r="A171" s="1">
        <v>45838</v>
      </c>
      <c r="B171" s="2" t="s">
        <v>40</v>
      </c>
      <c r="C171" s="2" t="s">
        <v>41</v>
      </c>
      <c r="D171">
        <v>6</v>
      </c>
      <c r="E171">
        <v>95</v>
      </c>
      <c r="F171" s="2" t="s">
        <v>51</v>
      </c>
      <c r="G171" s="2" t="s">
        <v>20</v>
      </c>
      <c r="H171">
        <v>0.15</v>
      </c>
      <c r="I171" s="2" t="s">
        <v>52</v>
      </c>
      <c r="J171" s="2" t="s">
        <v>31</v>
      </c>
      <c r="K171">
        <v>0</v>
      </c>
      <c r="L171" s="2" t="s">
        <v>388</v>
      </c>
      <c r="M171" s="2" t="s">
        <v>389</v>
      </c>
      <c r="N171">
        <v>18.72</v>
      </c>
      <c r="O171" s="1">
        <v>45838</v>
      </c>
      <c r="P171" s="1">
        <v>45846</v>
      </c>
      <c r="Q171" s="2" t="s">
        <v>45</v>
      </c>
      <c r="R171" s="2">
        <v>484</v>
      </c>
    </row>
    <row r="172" spans="1:18" x14ac:dyDescent="0.25">
      <c r="A172" s="1">
        <v>45700</v>
      </c>
      <c r="B172" s="2" t="s">
        <v>65</v>
      </c>
      <c r="C172" s="2" t="s">
        <v>36</v>
      </c>
      <c r="D172">
        <v>13</v>
      </c>
      <c r="E172">
        <v>105</v>
      </c>
      <c r="F172" s="2" t="s">
        <v>19</v>
      </c>
      <c r="G172" s="2" t="s">
        <v>29</v>
      </c>
      <c r="H172">
        <v>0.05</v>
      </c>
      <c r="I172" s="2" t="s">
        <v>52</v>
      </c>
      <c r="J172" s="2" t="s">
        <v>53</v>
      </c>
      <c r="K172">
        <v>0</v>
      </c>
      <c r="L172" s="2" t="s">
        <v>390</v>
      </c>
      <c r="M172" s="2" t="s">
        <v>391</v>
      </c>
      <c r="N172">
        <v>7.79</v>
      </c>
      <c r="O172" s="1">
        <v>45700</v>
      </c>
      <c r="P172" s="1">
        <v>45707</v>
      </c>
      <c r="Q172" s="2" t="s">
        <v>68</v>
      </c>
      <c r="R172" s="2">
        <v>1297</v>
      </c>
    </row>
    <row r="173" spans="1:18" x14ac:dyDescent="0.25">
      <c r="A173" s="1">
        <v>45294</v>
      </c>
      <c r="B173" s="2" t="s">
        <v>65</v>
      </c>
      <c r="C173" s="2" t="s">
        <v>75</v>
      </c>
      <c r="D173">
        <v>12</v>
      </c>
      <c r="E173">
        <v>164</v>
      </c>
      <c r="F173" s="2" t="s">
        <v>19</v>
      </c>
      <c r="G173" s="2" t="s">
        <v>20</v>
      </c>
      <c r="H173">
        <v>0.1</v>
      </c>
      <c r="I173" s="2" t="s">
        <v>21</v>
      </c>
      <c r="J173" s="2" t="s">
        <v>59</v>
      </c>
      <c r="K173">
        <v>1</v>
      </c>
      <c r="L173" s="2" t="s">
        <v>392</v>
      </c>
      <c r="M173" s="2" t="s">
        <v>393</v>
      </c>
      <c r="N173">
        <v>38.9</v>
      </c>
      <c r="O173" s="1">
        <v>45294</v>
      </c>
      <c r="P173" s="1">
        <v>45298</v>
      </c>
      <c r="Q173" s="2" t="s">
        <v>68</v>
      </c>
      <c r="R173" s="2">
        <v>1771</v>
      </c>
    </row>
    <row r="174" spans="1:18" x14ac:dyDescent="0.25">
      <c r="A174" s="1">
        <v>44960</v>
      </c>
      <c r="B174" s="2" t="s">
        <v>26</v>
      </c>
      <c r="C174" s="2" t="s">
        <v>75</v>
      </c>
      <c r="D174">
        <v>10</v>
      </c>
      <c r="E174">
        <v>325</v>
      </c>
      <c r="F174" s="2" t="s">
        <v>46</v>
      </c>
      <c r="G174" s="2" t="s">
        <v>20</v>
      </c>
      <c r="H174">
        <v>0.1</v>
      </c>
      <c r="I174" s="2" t="s">
        <v>30</v>
      </c>
      <c r="J174" s="2" t="s">
        <v>59</v>
      </c>
      <c r="K174">
        <v>0</v>
      </c>
      <c r="L174" s="2" t="s">
        <v>394</v>
      </c>
      <c r="M174" s="2" t="s">
        <v>395</v>
      </c>
      <c r="N174">
        <v>47.39</v>
      </c>
      <c r="O174" s="1">
        <v>44960</v>
      </c>
      <c r="P174" s="1">
        <v>44970</v>
      </c>
      <c r="Q174" s="2" t="s">
        <v>34</v>
      </c>
      <c r="R174" s="2">
        <v>2925</v>
      </c>
    </row>
    <row r="175" spans="1:18" x14ac:dyDescent="0.25">
      <c r="A175" s="1">
        <v>45352</v>
      </c>
      <c r="B175" s="2" t="s">
        <v>17</v>
      </c>
      <c r="C175" s="2" t="s">
        <v>50</v>
      </c>
      <c r="D175">
        <v>17</v>
      </c>
      <c r="E175">
        <v>543</v>
      </c>
      <c r="F175" s="2" t="s">
        <v>28</v>
      </c>
      <c r="G175" s="2" t="s">
        <v>20</v>
      </c>
      <c r="H175">
        <v>0</v>
      </c>
      <c r="I175" s="2" t="s">
        <v>30</v>
      </c>
      <c r="J175" s="2" t="s">
        <v>56</v>
      </c>
      <c r="K175">
        <v>1</v>
      </c>
      <c r="L175" s="2" t="s">
        <v>396</v>
      </c>
      <c r="M175" s="2" t="s">
        <v>397</v>
      </c>
      <c r="N175">
        <v>7.13</v>
      </c>
      <c r="O175" s="1">
        <v>45352</v>
      </c>
      <c r="P175" s="1">
        <v>45359</v>
      </c>
      <c r="Q175" s="2" t="s">
        <v>25</v>
      </c>
      <c r="R175" s="2">
        <v>9231</v>
      </c>
    </row>
    <row r="176" spans="1:18" x14ac:dyDescent="0.25">
      <c r="A176" s="1">
        <v>45070</v>
      </c>
      <c r="B176" s="2" t="s">
        <v>35</v>
      </c>
      <c r="C176" s="2" t="s">
        <v>75</v>
      </c>
      <c r="D176">
        <v>14</v>
      </c>
      <c r="E176">
        <v>207</v>
      </c>
      <c r="F176" s="2" t="s">
        <v>46</v>
      </c>
      <c r="G176" s="2" t="s">
        <v>20</v>
      </c>
      <c r="H176">
        <v>0.05</v>
      </c>
      <c r="I176" s="2" t="s">
        <v>21</v>
      </c>
      <c r="J176" s="2" t="s">
        <v>22</v>
      </c>
      <c r="K176">
        <v>0</v>
      </c>
      <c r="L176" s="2" t="s">
        <v>398</v>
      </c>
      <c r="M176" s="2" t="s">
        <v>399</v>
      </c>
      <c r="N176">
        <v>5.7</v>
      </c>
      <c r="O176" s="1">
        <v>45070</v>
      </c>
      <c r="P176" s="1">
        <v>45079</v>
      </c>
      <c r="Q176" s="2" t="s">
        <v>39</v>
      </c>
      <c r="R176" s="2">
        <v>2753</v>
      </c>
    </row>
    <row r="177" spans="1:18" x14ac:dyDescent="0.25">
      <c r="A177" s="1">
        <v>45830</v>
      </c>
      <c r="B177" s="2" t="s">
        <v>35</v>
      </c>
      <c r="C177" s="2" t="s">
        <v>126</v>
      </c>
      <c r="D177">
        <v>17</v>
      </c>
      <c r="E177">
        <v>528</v>
      </c>
      <c r="F177" s="2" t="s">
        <v>51</v>
      </c>
      <c r="G177" s="2" t="s">
        <v>29</v>
      </c>
      <c r="H177">
        <v>0.05</v>
      </c>
      <c r="I177" s="2" t="s">
        <v>62</v>
      </c>
      <c r="J177" s="2" t="s">
        <v>59</v>
      </c>
      <c r="K177">
        <v>0</v>
      </c>
      <c r="L177" s="2" t="s">
        <v>400</v>
      </c>
      <c r="M177" s="2" t="s">
        <v>401</v>
      </c>
      <c r="N177">
        <v>21.32</v>
      </c>
      <c r="O177" s="1">
        <v>45830</v>
      </c>
      <c r="P177" s="1">
        <v>45836</v>
      </c>
      <c r="Q177" s="2" t="s">
        <v>39</v>
      </c>
      <c r="R177" s="2">
        <v>8527</v>
      </c>
    </row>
    <row r="178" spans="1:18" x14ac:dyDescent="0.25">
      <c r="A178" s="1">
        <v>45026</v>
      </c>
      <c r="B178" s="2" t="s">
        <v>35</v>
      </c>
      <c r="C178" s="2" t="s">
        <v>41</v>
      </c>
      <c r="D178">
        <v>11</v>
      </c>
      <c r="E178">
        <v>71</v>
      </c>
      <c r="F178" s="2" t="s">
        <v>19</v>
      </c>
      <c r="G178" s="2" t="s">
        <v>29</v>
      </c>
      <c r="H178">
        <v>0.05</v>
      </c>
      <c r="I178" s="2" t="s">
        <v>52</v>
      </c>
      <c r="J178" s="2" t="s">
        <v>22</v>
      </c>
      <c r="K178">
        <v>1</v>
      </c>
      <c r="L178" s="2" t="s">
        <v>402</v>
      </c>
      <c r="M178" s="2" t="s">
        <v>403</v>
      </c>
      <c r="N178">
        <v>44.2</v>
      </c>
      <c r="O178" s="1">
        <v>45026</v>
      </c>
      <c r="P178" s="1">
        <v>45030</v>
      </c>
      <c r="Q178" s="2" t="s">
        <v>39</v>
      </c>
      <c r="R178" s="2">
        <v>742</v>
      </c>
    </row>
    <row r="179" spans="1:18" x14ac:dyDescent="0.25">
      <c r="A179" s="1">
        <v>45720</v>
      </c>
      <c r="B179" s="2" t="s">
        <v>40</v>
      </c>
      <c r="C179" s="2" t="s">
        <v>126</v>
      </c>
      <c r="D179">
        <v>8</v>
      </c>
      <c r="E179">
        <v>486</v>
      </c>
      <c r="F179" s="2" t="s">
        <v>19</v>
      </c>
      <c r="G179" s="2" t="s">
        <v>29</v>
      </c>
      <c r="H179">
        <v>0</v>
      </c>
      <c r="I179" s="2" t="s">
        <v>47</v>
      </c>
      <c r="J179" s="2" t="s">
        <v>56</v>
      </c>
      <c r="K179">
        <v>0</v>
      </c>
      <c r="L179" s="2" t="s">
        <v>404</v>
      </c>
      <c r="M179" s="2" t="s">
        <v>405</v>
      </c>
      <c r="N179">
        <v>10.68</v>
      </c>
      <c r="O179" s="1">
        <v>45720</v>
      </c>
      <c r="P179" s="1">
        <v>45726</v>
      </c>
      <c r="Q179" s="2" t="s">
        <v>45</v>
      </c>
      <c r="R179" s="2">
        <v>3888</v>
      </c>
    </row>
    <row r="180" spans="1:18" x14ac:dyDescent="0.25">
      <c r="A180" s="1">
        <v>45484</v>
      </c>
      <c r="B180" s="2" t="s">
        <v>17</v>
      </c>
      <c r="C180" s="2" t="s">
        <v>18</v>
      </c>
      <c r="D180">
        <v>6</v>
      </c>
      <c r="E180">
        <v>555</v>
      </c>
      <c r="F180" s="2" t="s">
        <v>46</v>
      </c>
      <c r="G180" s="2" t="s">
        <v>29</v>
      </c>
      <c r="H180">
        <v>0.1</v>
      </c>
      <c r="I180" s="2" t="s">
        <v>42</v>
      </c>
      <c r="J180" s="2" t="s">
        <v>53</v>
      </c>
      <c r="K180">
        <v>1</v>
      </c>
      <c r="L180" s="2" t="s">
        <v>406</v>
      </c>
      <c r="M180" s="2" t="s">
        <v>407</v>
      </c>
      <c r="N180">
        <v>23.69</v>
      </c>
      <c r="O180" s="1">
        <v>45484</v>
      </c>
      <c r="P180" s="1">
        <v>45493</v>
      </c>
      <c r="Q180" s="2" t="s">
        <v>25</v>
      </c>
      <c r="R180" s="2">
        <v>2997</v>
      </c>
    </row>
    <row r="181" spans="1:18" x14ac:dyDescent="0.25">
      <c r="A181" s="1">
        <v>45521</v>
      </c>
      <c r="B181" s="2" t="s">
        <v>17</v>
      </c>
      <c r="C181" s="2" t="s">
        <v>36</v>
      </c>
      <c r="D181">
        <v>13</v>
      </c>
      <c r="E181">
        <v>421</v>
      </c>
      <c r="F181" s="2" t="s">
        <v>19</v>
      </c>
      <c r="G181" s="2" t="s">
        <v>20</v>
      </c>
      <c r="H181">
        <v>0</v>
      </c>
      <c r="I181" s="2" t="s">
        <v>62</v>
      </c>
      <c r="J181" s="2" t="s">
        <v>59</v>
      </c>
      <c r="K181">
        <v>0</v>
      </c>
      <c r="L181" s="2" t="s">
        <v>408</v>
      </c>
      <c r="M181" s="2" t="s">
        <v>409</v>
      </c>
      <c r="N181">
        <v>24.51</v>
      </c>
      <c r="O181" s="1">
        <v>45521</v>
      </c>
      <c r="P181" s="1">
        <v>45524</v>
      </c>
      <c r="Q181" s="2" t="s">
        <v>25</v>
      </c>
      <c r="R181" s="2">
        <v>5473</v>
      </c>
    </row>
    <row r="182" spans="1:18" x14ac:dyDescent="0.25">
      <c r="A182" s="1">
        <v>45838</v>
      </c>
      <c r="B182" s="2" t="s">
        <v>35</v>
      </c>
      <c r="C182" s="2" t="s">
        <v>18</v>
      </c>
      <c r="D182">
        <v>16</v>
      </c>
      <c r="E182">
        <v>76</v>
      </c>
      <c r="F182" s="2" t="s">
        <v>51</v>
      </c>
      <c r="G182" s="2" t="s">
        <v>20</v>
      </c>
      <c r="H182">
        <v>0.1</v>
      </c>
      <c r="I182" s="2" t="s">
        <v>30</v>
      </c>
      <c r="J182" s="2" t="s">
        <v>59</v>
      </c>
      <c r="K182">
        <v>0</v>
      </c>
      <c r="L182" s="2" t="s">
        <v>410</v>
      </c>
      <c r="M182" s="2" t="s">
        <v>411</v>
      </c>
      <c r="N182">
        <v>41.88</v>
      </c>
      <c r="O182" s="1">
        <v>45838</v>
      </c>
      <c r="P182" s="1">
        <v>45847</v>
      </c>
      <c r="Q182" s="2" t="s">
        <v>39</v>
      </c>
      <c r="R182" s="2">
        <v>1094</v>
      </c>
    </row>
    <row r="183" spans="1:18" x14ac:dyDescent="0.25">
      <c r="A183" s="1">
        <v>45602</v>
      </c>
      <c r="B183" s="2" t="s">
        <v>26</v>
      </c>
      <c r="C183" s="2" t="s">
        <v>126</v>
      </c>
      <c r="D183">
        <v>3</v>
      </c>
      <c r="E183">
        <v>504</v>
      </c>
      <c r="F183" s="2" t="s">
        <v>46</v>
      </c>
      <c r="G183" s="2" t="s">
        <v>20</v>
      </c>
      <c r="H183">
        <v>0.1</v>
      </c>
      <c r="I183" s="2" t="s">
        <v>62</v>
      </c>
      <c r="J183" s="2" t="s">
        <v>53</v>
      </c>
      <c r="K183">
        <v>0</v>
      </c>
      <c r="L183" s="2" t="s">
        <v>412</v>
      </c>
      <c r="M183" s="2" t="s">
        <v>413</v>
      </c>
      <c r="N183">
        <v>37.49</v>
      </c>
      <c r="O183" s="1">
        <v>45602</v>
      </c>
      <c r="P183" s="1">
        <v>45609</v>
      </c>
      <c r="Q183" s="2" t="s">
        <v>34</v>
      </c>
      <c r="R183" s="2">
        <v>1361</v>
      </c>
    </row>
    <row r="184" spans="1:18" x14ac:dyDescent="0.25">
      <c r="A184" s="1">
        <v>45748</v>
      </c>
      <c r="B184" s="2" t="s">
        <v>17</v>
      </c>
      <c r="C184" s="2" t="s">
        <v>75</v>
      </c>
      <c r="D184">
        <v>5</v>
      </c>
      <c r="E184">
        <v>32</v>
      </c>
      <c r="F184" s="2" t="s">
        <v>51</v>
      </c>
      <c r="G184" s="2" t="s">
        <v>29</v>
      </c>
      <c r="H184">
        <v>0</v>
      </c>
      <c r="I184" s="2" t="s">
        <v>52</v>
      </c>
      <c r="J184" s="2" t="s">
        <v>22</v>
      </c>
      <c r="K184">
        <v>1</v>
      </c>
      <c r="L184" s="2" t="s">
        <v>414</v>
      </c>
      <c r="M184" s="2" t="s">
        <v>415</v>
      </c>
      <c r="N184">
        <v>29.56</v>
      </c>
      <c r="O184" s="1">
        <v>45748</v>
      </c>
      <c r="P184" s="1">
        <v>45751</v>
      </c>
      <c r="Q184" s="2" t="s">
        <v>25</v>
      </c>
      <c r="R184" s="2">
        <v>160</v>
      </c>
    </row>
    <row r="185" spans="1:18" x14ac:dyDescent="0.25">
      <c r="A185" s="1">
        <v>45474</v>
      </c>
      <c r="B185" s="2" t="s">
        <v>65</v>
      </c>
      <c r="C185" s="2" t="s">
        <v>18</v>
      </c>
      <c r="D185">
        <v>16</v>
      </c>
      <c r="E185">
        <v>73</v>
      </c>
      <c r="F185" s="2" t="s">
        <v>46</v>
      </c>
      <c r="G185" s="2" t="s">
        <v>20</v>
      </c>
      <c r="H185">
        <v>0.05</v>
      </c>
      <c r="I185" s="2" t="s">
        <v>42</v>
      </c>
      <c r="J185" s="2" t="s">
        <v>59</v>
      </c>
      <c r="K185">
        <v>0</v>
      </c>
      <c r="L185" s="2" t="s">
        <v>416</v>
      </c>
      <c r="M185" s="2" t="s">
        <v>417</v>
      </c>
      <c r="N185">
        <v>5.7</v>
      </c>
      <c r="O185" s="1">
        <v>45474</v>
      </c>
      <c r="P185" s="1">
        <v>45479</v>
      </c>
      <c r="Q185" s="2" t="s">
        <v>68</v>
      </c>
      <c r="R185" s="2">
        <v>1110</v>
      </c>
    </row>
    <row r="186" spans="1:18" x14ac:dyDescent="0.25">
      <c r="A186" s="1">
        <v>45269</v>
      </c>
      <c r="B186" s="2" t="s">
        <v>65</v>
      </c>
      <c r="C186" s="2" t="s">
        <v>126</v>
      </c>
      <c r="D186">
        <v>18</v>
      </c>
      <c r="E186">
        <v>422</v>
      </c>
      <c r="F186" s="2" t="s">
        <v>51</v>
      </c>
      <c r="G186" s="2" t="s">
        <v>29</v>
      </c>
      <c r="H186">
        <v>0.05</v>
      </c>
      <c r="I186" s="2" t="s">
        <v>62</v>
      </c>
      <c r="J186" s="2" t="s">
        <v>31</v>
      </c>
      <c r="K186">
        <v>0</v>
      </c>
      <c r="L186" s="2" t="s">
        <v>418</v>
      </c>
      <c r="M186" s="2" t="s">
        <v>419</v>
      </c>
      <c r="N186">
        <v>23.42</v>
      </c>
      <c r="O186" s="1">
        <v>45269</v>
      </c>
      <c r="P186" s="1">
        <v>45278</v>
      </c>
      <c r="Q186" s="2" t="s">
        <v>68</v>
      </c>
      <c r="R186" s="2">
        <v>7216</v>
      </c>
    </row>
    <row r="187" spans="1:18" x14ac:dyDescent="0.25">
      <c r="A187" s="1">
        <v>45104</v>
      </c>
      <c r="B187" s="2" t="s">
        <v>35</v>
      </c>
      <c r="C187" s="2" t="s">
        <v>36</v>
      </c>
      <c r="D187">
        <v>15</v>
      </c>
      <c r="E187">
        <v>478</v>
      </c>
      <c r="F187" s="2" t="s">
        <v>19</v>
      </c>
      <c r="G187" s="2" t="s">
        <v>29</v>
      </c>
      <c r="H187">
        <v>0.1</v>
      </c>
      <c r="I187" s="2" t="s">
        <v>47</v>
      </c>
      <c r="J187" s="2" t="s">
        <v>56</v>
      </c>
      <c r="K187">
        <v>0</v>
      </c>
      <c r="L187" s="2" t="s">
        <v>420</v>
      </c>
      <c r="M187" s="2" t="s">
        <v>421</v>
      </c>
      <c r="N187">
        <v>35.630000000000003</v>
      </c>
      <c r="O187" s="1">
        <v>45104</v>
      </c>
      <c r="P187" s="1">
        <v>45107</v>
      </c>
      <c r="Q187" s="2" t="s">
        <v>39</v>
      </c>
      <c r="R187" s="2">
        <v>6453</v>
      </c>
    </row>
    <row r="188" spans="1:18" x14ac:dyDescent="0.25">
      <c r="A188" s="1">
        <v>45121</v>
      </c>
      <c r="B188" s="2" t="s">
        <v>26</v>
      </c>
      <c r="C188" s="2" t="s">
        <v>41</v>
      </c>
      <c r="D188">
        <v>9</v>
      </c>
      <c r="E188">
        <v>502</v>
      </c>
      <c r="F188" s="2" t="s">
        <v>51</v>
      </c>
      <c r="G188" s="2" t="s">
        <v>29</v>
      </c>
      <c r="H188">
        <v>0</v>
      </c>
      <c r="I188" s="2" t="s">
        <v>62</v>
      </c>
      <c r="J188" s="2" t="s">
        <v>22</v>
      </c>
      <c r="K188">
        <v>1</v>
      </c>
      <c r="L188" s="2" t="s">
        <v>422</v>
      </c>
      <c r="M188" s="2" t="s">
        <v>423</v>
      </c>
      <c r="N188">
        <v>39.74</v>
      </c>
      <c r="O188" s="1">
        <v>45121</v>
      </c>
      <c r="P188" s="1">
        <v>45124</v>
      </c>
      <c r="Q188" s="2" t="s">
        <v>34</v>
      </c>
      <c r="R188" s="2">
        <v>4518</v>
      </c>
    </row>
    <row r="189" spans="1:18" x14ac:dyDescent="0.25">
      <c r="A189" s="1">
        <v>44965</v>
      </c>
      <c r="B189" s="2" t="s">
        <v>26</v>
      </c>
      <c r="C189" s="2" t="s">
        <v>75</v>
      </c>
      <c r="D189">
        <v>7</v>
      </c>
      <c r="E189">
        <v>248</v>
      </c>
      <c r="F189" s="2" t="s">
        <v>46</v>
      </c>
      <c r="G189" s="2" t="s">
        <v>20</v>
      </c>
      <c r="H189">
        <v>0.15</v>
      </c>
      <c r="I189" s="2" t="s">
        <v>30</v>
      </c>
      <c r="J189" s="2" t="s">
        <v>31</v>
      </c>
      <c r="K189">
        <v>0</v>
      </c>
      <c r="L189" s="2" t="s">
        <v>424</v>
      </c>
      <c r="M189" s="2" t="s">
        <v>425</v>
      </c>
      <c r="N189">
        <v>13.63</v>
      </c>
      <c r="O189" s="1">
        <v>44965</v>
      </c>
      <c r="P189" s="1">
        <v>44973</v>
      </c>
      <c r="Q189" s="2" t="s">
        <v>34</v>
      </c>
      <c r="R189" s="2">
        <v>1476</v>
      </c>
    </row>
    <row r="190" spans="1:18" x14ac:dyDescent="0.25">
      <c r="A190" s="1">
        <v>45471</v>
      </c>
      <c r="B190" s="2" t="s">
        <v>65</v>
      </c>
      <c r="C190" s="2" t="s">
        <v>75</v>
      </c>
      <c r="D190">
        <v>6</v>
      </c>
      <c r="E190">
        <v>177</v>
      </c>
      <c r="F190" s="2" t="s">
        <v>46</v>
      </c>
      <c r="G190" s="2" t="s">
        <v>20</v>
      </c>
      <c r="H190">
        <v>0.15</v>
      </c>
      <c r="I190" s="2" t="s">
        <v>47</v>
      </c>
      <c r="J190" s="2" t="s">
        <v>56</v>
      </c>
      <c r="K190">
        <v>1</v>
      </c>
      <c r="L190" s="2" t="s">
        <v>426</v>
      </c>
      <c r="M190" s="2" t="s">
        <v>427</v>
      </c>
      <c r="N190">
        <v>31.02</v>
      </c>
      <c r="O190" s="1">
        <v>45471</v>
      </c>
      <c r="P190" s="1">
        <v>45480</v>
      </c>
      <c r="Q190" s="2" t="s">
        <v>68</v>
      </c>
      <c r="R190" s="2">
        <v>903</v>
      </c>
    </row>
    <row r="191" spans="1:18" x14ac:dyDescent="0.25">
      <c r="A191" s="1">
        <v>45397</v>
      </c>
      <c r="B191" s="2" t="s">
        <v>65</v>
      </c>
      <c r="C191" s="2" t="s">
        <v>18</v>
      </c>
      <c r="D191">
        <v>2</v>
      </c>
      <c r="E191">
        <v>143</v>
      </c>
      <c r="F191" s="2" t="s">
        <v>51</v>
      </c>
      <c r="G191" s="2" t="s">
        <v>20</v>
      </c>
      <c r="H191">
        <v>0</v>
      </c>
      <c r="I191" s="2" t="s">
        <v>62</v>
      </c>
      <c r="J191" s="2" t="s">
        <v>53</v>
      </c>
      <c r="K191">
        <v>0</v>
      </c>
      <c r="L191" s="2" t="s">
        <v>428</v>
      </c>
      <c r="M191" s="2" t="s">
        <v>429</v>
      </c>
      <c r="N191">
        <v>36.94</v>
      </c>
      <c r="O191" s="1">
        <v>45397</v>
      </c>
      <c r="P191" s="1">
        <v>45404</v>
      </c>
      <c r="Q191" s="2" t="s">
        <v>68</v>
      </c>
      <c r="R191" s="2">
        <v>286</v>
      </c>
    </row>
    <row r="192" spans="1:18" x14ac:dyDescent="0.25">
      <c r="A192" s="1">
        <v>45257</v>
      </c>
      <c r="B192" s="2" t="s">
        <v>17</v>
      </c>
      <c r="C192" s="2" t="s">
        <v>50</v>
      </c>
      <c r="D192">
        <v>12</v>
      </c>
      <c r="E192">
        <v>538</v>
      </c>
      <c r="F192" s="2" t="s">
        <v>46</v>
      </c>
      <c r="G192" s="2" t="s">
        <v>20</v>
      </c>
      <c r="H192">
        <v>0.05</v>
      </c>
      <c r="I192" s="2" t="s">
        <v>30</v>
      </c>
      <c r="J192" s="2" t="s">
        <v>59</v>
      </c>
      <c r="K192">
        <v>0</v>
      </c>
      <c r="L192" s="2" t="s">
        <v>430</v>
      </c>
      <c r="M192" s="2" t="s">
        <v>431</v>
      </c>
      <c r="N192">
        <v>18.54</v>
      </c>
      <c r="O192" s="1">
        <v>45257</v>
      </c>
      <c r="P192" s="1">
        <v>45266</v>
      </c>
      <c r="Q192" s="2" t="s">
        <v>25</v>
      </c>
      <c r="R192" s="2">
        <v>6133</v>
      </c>
    </row>
    <row r="193" spans="1:18" x14ac:dyDescent="0.25">
      <c r="A193" s="1">
        <v>45743</v>
      </c>
      <c r="B193" s="2" t="s">
        <v>17</v>
      </c>
      <c r="C193" s="2" t="s">
        <v>126</v>
      </c>
      <c r="D193">
        <v>5</v>
      </c>
      <c r="E193">
        <v>87</v>
      </c>
      <c r="F193" s="2" t="s">
        <v>51</v>
      </c>
      <c r="G193" s="2" t="s">
        <v>20</v>
      </c>
      <c r="H193">
        <v>0</v>
      </c>
      <c r="I193" s="2" t="s">
        <v>47</v>
      </c>
      <c r="J193" s="2" t="s">
        <v>56</v>
      </c>
      <c r="K193">
        <v>0</v>
      </c>
      <c r="L193" s="2" t="s">
        <v>432</v>
      </c>
      <c r="M193" s="2" t="s">
        <v>433</v>
      </c>
      <c r="N193">
        <v>13.01</v>
      </c>
      <c r="O193" s="1">
        <v>45743</v>
      </c>
      <c r="P193" s="1">
        <v>45745</v>
      </c>
      <c r="Q193" s="2" t="s">
        <v>25</v>
      </c>
      <c r="R193" s="2">
        <v>435</v>
      </c>
    </row>
    <row r="194" spans="1:18" x14ac:dyDescent="0.25">
      <c r="A194" s="1">
        <v>45144</v>
      </c>
      <c r="B194" s="2" t="s">
        <v>26</v>
      </c>
      <c r="C194" s="2" t="s">
        <v>50</v>
      </c>
      <c r="D194">
        <v>7</v>
      </c>
      <c r="E194">
        <v>498</v>
      </c>
      <c r="F194" s="2" t="s">
        <v>19</v>
      </c>
      <c r="G194" s="2" t="s">
        <v>20</v>
      </c>
      <c r="H194">
        <v>0.1</v>
      </c>
      <c r="I194" s="2" t="s">
        <v>30</v>
      </c>
      <c r="J194" s="2" t="s">
        <v>53</v>
      </c>
      <c r="K194">
        <v>1</v>
      </c>
      <c r="L194" s="2" t="s">
        <v>434</v>
      </c>
      <c r="M194" s="2" t="s">
        <v>435</v>
      </c>
      <c r="N194">
        <v>27.65</v>
      </c>
      <c r="O194" s="1">
        <v>45144</v>
      </c>
      <c r="P194" s="1">
        <v>45148</v>
      </c>
      <c r="Q194" s="2" t="s">
        <v>34</v>
      </c>
      <c r="R194" s="2">
        <v>3137</v>
      </c>
    </row>
    <row r="195" spans="1:18" x14ac:dyDescent="0.25">
      <c r="A195" s="1">
        <v>45639</v>
      </c>
      <c r="B195" s="2" t="s">
        <v>26</v>
      </c>
      <c r="C195" s="2" t="s">
        <v>126</v>
      </c>
      <c r="D195">
        <v>15</v>
      </c>
      <c r="E195">
        <v>57</v>
      </c>
      <c r="F195" s="2" t="s">
        <v>19</v>
      </c>
      <c r="G195" s="2" t="s">
        <v>20</v>
      </c>
      <c r="H195">
        <v>0.15</v>
      </c>
      <c r="I195" s="2" t="s">
        <v>47</v>
      </c>
      <c r="J195" s="2" t="s">
        <v>56</v>
      </c>
      <c r="K195">
        <v>0</v>
      </c>
      <c r="L195" s="2" t="s">
        <v>436</v>
      </c>
      <c r="M195" s="2" t="s">
        <v>437</v>
      </c>
      <c r="N195">
        <v>7.02</v>
      </c>
      <c r="O195" s="1">
        <v>45639</v>
      </c>
      <c r="P195" s="1">
        <v>45648</v>
      </c>
      <c r="Q195" s="2" t="s">
        <v>34</v>
      </c>
      <c r="R195" s="2">
        <v>727</v>
      </c>
    </row>
    <row r="196" spans="1:18" x14ac:dyDescent="0.25">
      <c r="A196" s="1">
        <v>45674</v>
      </c>
      <c r="B196" s="2" t="s">
        <v>40</v>
      </c>
      <c r="C196" s="2" t="s">
        <v>75</v>
      </c>
      <c r="D196">
        <v>18</v>
      </c>
      <c r="E196">
        <v>124</v>
      </c>
      <c r="F196" s="2" t="s">
        <v>19</v>
      </c>
      <c r="G196" s="2" t="s">
        <v>20</v>
      </c>
      <c r="H196">
        <v>0.15</v>
      </c>
      <c r="I196" s="2" t="s">
        <v>47</v>
      </c>
      <c r="J196" s="2" t="s">
        <v>56</v>
      </c>
      <c r="K196">
        <v>0</v>
      </c>
      <c r="L196" s="2" t="s">
        <v>438</v>
      </c>
      <c r="M196" s="2" t="s">
        <v>439</v>
      </c>
      <c r="N196">
        <v>45.77</v>
      </c>
      <c r="O196" s="1">
        <v>45674</v>
      </c>
      <c r="P196" s="1">
        <v>45683</v>
      </c>
      <c r="Q196" s="2" t="s">
        <v>45</v>
      </c>
      <c r="R196" s="2">
        <v>1897</v>
      </c>
    </row>
    <row r="197" spans="1:18" x14ac:dyDescent="0.25">
      <c r="A197" s="1">
        <v>45256</v>
      </c>
      <c r="B197" s="2" t="s">
        <v>65</v>
      </c>
      <c r="C197" s="2" t="s">
        <v>36</v>
      </c>
      <c r="D197">
        <v>12</v>
      </c>
      <c r="E197">
        <v>107</v>
      </c>
      <c r="F197" s="2" t="s">
        <v>46</v>
      </c>
      <c r="G197" s="2" t="s">
        <v>29</v>
      </c>
      <c r="H197">
        <v>0.1</v>
      </c>
      <c r="I197" s="2" t="s">
        <v>62</v>
      </c>
      <c r="J197" s="2" t="s">
        <v>22</v>
      </c>
      <c r="K197">
        <v>0</v>
      </c>
      <c r="L197" s="2" t="s">
        <v>440</v>
      </c>
      <c r="M197" s="2" t="s">
        <v>441</v>
      </c>
      <c r="N197">
        <v>18.170000000000002</v>
      </c>
      <c r="O197" s="1">
        <v>45256</v>
      </c>
      <c r="P197" s="1">
        <v>45262</v>
      </c>
      <c r="Q197" s="2" t="s">
        <v>68</v>
      </c>
      <c r="R197" s="2">
        <v>1156</v>
      </c>
    </row>
    <row r="198" spans="1:18" x14ac:dyDescent="0.25">
      <c r="A198" s="1">
        <v>44971</v>
      </c>
      <c r="B198" s="2" t="s">
        <v>17</v>
      </c>
      <c r="C198" s="2" t="s">
        <v>41</v>
      </c>
      <c r="D198">
        <v>8</v>
      </c>
      <c r="E198">
        <v>411</v>
      </c>
      <c r="F198" s="2" t="s">
        <v>28</v>
      </c>
      <c r="G198" s="2" t="s">
        <v>29</v>
      </c>
      <c r="H198">
        <v>0.1</v>
      </c>
      <c r="I198" s="2" t="s">
        <v>42</v>
      </c>
      <c r="J198" s="2" t="s">
        <v>31</v>
      </c>
      <c r="K198">
        <v>0</v>
      </c>
      <c r="L198" s="2" t="s">
        <v>442</v>
      </c>
      <c r="M198" s="2" t="s">
        <v>443</v>
      </c>
      <c r="N198">
        <v>28.57</v>
      </c>
      <c r="O198" s="1">
        <v>44971</v>
      </c>
      <c r="P198" s="1">
        <v>44975</v>
      </c>
      <c r="Q198" s="2" t="s">
        <v>25</v>
      </c>
      <c r="R198" s="2">
        <v>2959</v>
      </c>
    </row>
    <row r="199" spans="1:18" x14ac:dyDescent="0.25">
      <c r="A199" s="1">
        <v>45690</v>
      </c>
      <c r="B199" s="2" t="s">
        <v>40</v>
      </c>
      <c r="C199" s="2" t="s">
        <v>126</v>
      </c>
      <c r="D199">
        <v>7</v>
      </c>
      <c r="E199">
        <v>248</v>
      </c>
      <c r="F199" s="2" t="s">
        <v>46</v>
      </c>
      <c r="G199" s="2" t="s">
        <v>29</v>
      </c>
      <c r="H199">
        <v>0</v>
      </c>
      <c r="I199" s="2" t="s">
        <v>52</v>
      </c>
      <c r="J199" s="2" t="s">
        <v>59</v>
      </c>
      <c r="K199">
        <v>0</v>
      </c>
      <c r="L199" s="2" t="s">
        <v>444</v>
      </c>
      <c r="M199" s="2" t="s">
        <v>445</v>
      </c>
      <c r="N199">
        <v>31.8</v>
      </c>
      <c r="O199" s="1">
        <v>45690</v>
      </c>
      <c r="P199" s="1">
        <v>45694</v>
      </c>
      <c r="Q199" s="2" t="s">
        <v>45</v>
      </c>
      <c r="R199" s="2">
        <v>1736</v>
      </c>
    </row>
    <row r="200" spans="1:18" x14ac:dyDescent="0.25">
      <c r="A200" s="1">
        <v>45027</v>
      </c>
      <c r="B200" s="2" t="s">
        <v>65</v>
      </c>
      <c r="C200" s="2" t="s">
        <v>126</v>
      </c>
      <c r="D200">
        <v>3</v>
      </c>
      <c r="E200">
        <v>487</v>
      </c>
      <c r="F200" s="2" t="s">
        <v>19</v>
      </c>
      <c r="G200" s="2" t="s">
        <v>20</v>
      </c>
      <c r="H200">
        <v>0.1</v>
      </c>
      <c r="I200" s="2" t="s">
        <v>47</v>
      </c>
      <c r="J200" s="2" t="s">
        <v>31</v>
      </c>
      <c r="K200">
        <v>0</v>
      </c>
      <c r="L200" s="2" t="s">
        <v>446</v>
      </c>
      <c r="M200" s="2" t="s">
        <v>447</v>
      </c>
      <c r="N200">
        <v>16.5</v>
      </c>
      <c r="O200" s="1">
        <v>45027</v>
      </c>
      <c r="P200" s="1">
        <v>45036</v>
      </c>
      <c r="Q200" s="2" t="s">
        <v>68</v>
      </c>
      <c r="R200" s="2">
        <v>1315</v>
      </c>
    </row>
    <row r="201" spans="1:18" x14ac:dyDescent="0.25">
      <c r="A201" s="1">
        <v>45481</v>
      </c>
      <c r="B201" s="2" t="s">
        <v>35</v>
      </c>
      <c r="C201" s="2" t="s">
        <v>50</v>
      </c>
      <c r="D201">
        <v>18</v>
      </c>
      <c r="E201">
        <v>415</v>
      </c>
      <c r="F201" s="2" t="s">
        <v>46</v>
      </c>
      <c r="G201" s="2" t="s">
        <v>20</v>
      </c>
      <c r="H201">
        <v>0.1</v>
      </c>
      <c r="I201" s="2" t="s">
        <v>21</v>
      </c>
      <c r="J201" s="2" t="s">
        <v>59</v>
      </c>
      <c r="K201">
        <v>0</v>
      </c>
      <c r="L201" s="2" t="s">
        <v>448</v>
      </c>
      <c r="M201" s="2" t="s">
        <v>449</v>
      </c>
      <c r="N201">
        <v>33.58</v>
      </c>
      <c r="O201" s="1">
        <v>45481</v>
      </c>
      <c r="P201" s="1">
        <v>45486</v>
      </c>
      <c r="Q201" s="2" t="s">
        <v>39</v>
      </c>
      <c r="R201" s="2">
        <v>6723</v>
      </c>
    </row>
    <row r="202" spans="1:18" x14ac:dyDescent="0.25">
      <c r="A202" s="1">
        <v>44965</v>
      </c>
      <c r="B202" s="2" t="s">
        <v>40</v>
      </c>
      <c r="C202" s="2" t="s">
        <v>126</v>
      </c>
      <c r="D202">
        <v>19</v>
      </c>
      <c r="E202">
        <v>165</v>
      </c>
      <c r="F202" s="2" t="s">
        <v>19</v>
      </c>
      <c r="G202" s="2" t="s">
        <v>20</v>
      </c>
      <c r="H202">
        <v>0.15</v>
      </c>
      <c r="I202" s="2" t="s">
        <v>30</v>
      </c>
      <c r="J202" s="2" t="s">
        <v>22</v>
      </c>
      <c r="K202">
        <v>0</v>
      </c>
      <c r="L202" s="2" t="s">
        <v>450</v>
      </c>
      <c r="M202" s="2" t="s">
        <v>451</v>
      </c>
      <c r="N202">
        <v>25.2</v>
      </c>
      <c r="O202" s="1">
        <v>44965</v>
      </c>
      <c r="P202" s="1">
        <v>44971</v>
      </c>
      <c r="Q202" s="2" t="s">
        <v>45</v>
      </c>
      <c r="R202" s="2">
        <v>2665</v>
      </c>
    </row>
    <row r="203" spans="1:18" x14ac:dyDescent="0.25">
      <c r="A203" s="1">
        <v>45391</v>
      </c>
      <c r="B203" s="2" t="s">
        <v>65</v>
      </c>
      <c r="C203" s="2" t="s">
        <v>36</v>
      </c>
      <c r="D203">
        <v>2</v>
      </c>
      <c r="E203">
        <v>117</v>
      </c>
      <c r="F203" s="2" t="s">
        <v>46</v>
      </c>
      <c r="G203" s="2" t="s">
        <v>20</v>
      </c>
      <c r="H203">
        <v>0</v>
      </c>
      <c r="I203" s="2" t="s">
        <v>21</v>
      </c>
      <c r="J203" s="2" t="s">
        <v>53</v>
      </c>
      <c r="K203">
        <v>0</v>
      </c>
      <c r="L203" s="2" t="s">
        <v>452</v>
      </c>
      <c r="M203" s="2" t="s">
        <v>453</v>
      </c>
      <c r="N203">
        <v>6.58</v>
      </c>
      <c r="O203" s="1">
        <v>45391</v>
      </c>
      <c r="P203" s="1">
        <v>45398</v>
      </c>
      <c r="Q203" s="2" t="s">
        <v>68</v>
      </c>
      <c r="R203" s="2">
        <v>234</v>
      </c>
    </row>
    <row r="204" spans="1:18" x14ac:dyDescent="0.25">
      <c r="A204" s="1">
        <v>45152</v>
      </c>
      <c r="B204" s="2" t="s">
        <v>40</v>
      </c>
      <c r="C204" s="2" t="s">
        <v>126</v>
      </c>
      <c r="D204">
        <v>9</v>
      </c>
      <c r="E204">
        <v>462</v>
      </c>
      <c r="F204" s="2" t="s">
        <v>46</v>
      </c>
      <c r="G204" s="2" t="s">
        <v>20</v>
      </c>
      <c r="H204">
        <v>0.15</v>
      </c>
      <c r="I204" s="2" t="s">
        <v>42</v>
      </c>
      <c r="J204" s="2" t="s">
        <v>31</v>
      </c>
      <c r="K204">
        <v>0</v>
      </c>
      <c r="L204" s="2" t="s">
        <v>454</v>
      </c>
      <c r="M204" s="2" t="s">
        <v>455</v>
      </c>
      <c r="N204">
        <v>47.81</v>
      </c>
      <c r="O204" s="1">
        <v>45152</v>
      </c>
      <c r="P204" s="1">
        <v>45156</v>
      </c>
      <c r="Q204" s="2" t="s">
        <v>45</v>
      </c>
      <c r="R204" s="2">
        <v>3534</v>
      </c>
    </row>
    <row r="205" spans="1:18" x14ac:dyDescent="0.25">
      <c r="A205" s="1">
        <v>45537</v>
      </c>
      <c r="B205" s="2" t="s">
        <v>65</v>
      </c>
      <c r="C205" s="2" t="s">
        <v>75</v>
      </c>
      <c r="D205">
        <v>19</v>
      </c>
      <c r="E205">
        <v>209</v>
      </c>
      <c r="F205" s="2" t="s">
        <v>51</v>
      </c>
      <c r="G205" s="2" t="s">
        <v>29</v>
      </c>
      <c r="H205">
        <v>0.05</v>
      </c>
      <c r="I205" s="2" t="s">
        <v>42</v>
      </c>
      <c r="J205" s="2" t="s">
        <v>53</v>
      </c>
      <c r="K205">
        <v>0</v>
      </c>
      <c r="L205" s="2" t="s">
        <v>456</v>
      </c>
      <c r="M205" s="2" t="s">
        <v>457</v>
      </c>
      <c r="N205">
        <v>38.409999999999997</v>
      </c>
      <c r="O205" s="1">
        <v>45537</v>
      </c>
      <c r="P205" s="1">
        <v>45541</v>
      </c>
      <c r="Q205" s="2" t="s">
        <v>68</v>
      </c>
      <c r="R205" s="2">
        <v>3772</v>
      </c>
    </row>
    <row r="206" spans="1:18" x14ac:dyDescent="0.25">
      <c r="A206" s="1">
        <v>45837</v>
      </c>
      <c r="B206" s="2" t="s">
        <v>40</v>
      </c>
      <c r="C206" s="2" t="s">
        <v>50</v>
      </c>
      <c r="D206">
        <v>16</v>
      </c>
      <c r="E206">
        <v>278</v>
      </c>
      <c r="F206" s="2" t="s">
        <v>28</v>
      </c>
      <c r="G206" s="2" t="s">
        <v>20</v>
      </c>
      <c r="H206">
        <v>0.15</v>
      </c>
      <c r="I206" s="2" t="s">
        <v>30</v>
      </c>
      <c r="J206" s="2" t="s">
        <v>59</v>
      </c>
      <c r="K206">
        <v>0</v>
      </c>
      <c r="L206" s="2" t="s">
        <v>458</v>
      </c>
      <c r="M206" s="2" t="s">
        <v>459</v>
      </c>
      <c r="N206">
        <v>24.29</v>
      </c>
      <c r="O206" s="1">
        <v>45837</v>
      </c>
      <c r="P206" s="1">
        <v>45842</v>
      </c>
      <c r="Q206" s="2" t="s">
        <v>45</v>
      </c>
      <c r="R206" s="2">
        <v>3781</v>
      </c>
    </row>
    <row r="207" spans="1:18" x14ac:dyDescent="0.25">
      <c r="A207" s="1">
        <v>45749</v>
      </c>
      <c r="B207" s="2" t="s">
        <v>65</v>
      </c>
      <c r="C207" s="2" t="s">
        <v>18</v>
      </c>
      <c r="D207">
        <v>2</v>
      </c>
      <c r="E207">
        <v>580</v>
      </c>
      <c r="F207" s="2" t="s">
        <v>19</v>
      </c>
      <c r="G207" s="2" t="s">
        <v>20</v>
      </c>
      <c r="H207">
        <v>0.05</v>
      </c>
      <c r="I207" s="2" t="s">
        <v>52</v>
      </c>
      <c r="J207" s="2" t="s">
        <v>56</v>
      </c>
      <c r="K207">
        <v>0</v>
      </c>
      <c r="L207" s="2" t="s">
        <v>460</v>
      </c>
      <c r="M207" s="2" t="s">
        <v>461</v>
      </c>
      <c r="N207">
        <v>7.33</v>
      </c>
      <c r="O207" s="1">
        <v>45749</v>
      </c>
      <c r="P207" s="1">
        <v>45755</v>
      </c>
      <c r="Q207" s="2" t="s">
        <v>68</v>
      </c>
      <c r="R207" s="2">
        <v>1102</v>
      </c>
    </row>
    <row r="208" spans="1:18" x14ac:dyDescent="0.25">
      <c r="A208" s="1">
        <v>45043</v>
      </c>
      <c r="B208" s="2" t="s">
        <v>40</v>
      </c>
      <c r="C208" s="2" t="s">
        <v>75</v>
      </c>
      <c r="D208">
        <v>8</v>
      </c>
      <c r="E208">
        <v>536</v>
      </c>
      <c r="F208" s="2" t="s">
        <v>19</v>
      </c>
      <c r="G208" s="2" t="s">
        <v>29</v>
      </c>
      <c r="H208">
        <v>0</v>
      </c>
      <c r="I208" s="2" t="s">
        <v>47</v>
      </c>
      <c r="J208" s="2" t="s">
        <v>59</v>
      </c>
      <c r="K208">
        <v>1</v>
      </c>
      <c r="L208" s="2" t="s">
        <v>462</v>
      </c>
      <c r="M208" s="2" t="s">
        <v>463</v>
      </c>
      <c r="N208">
        <v>14.58</v>
      </c>
      <c r="O208" s="1">
        <v>45043</v>
      </c>
      <c r="P208" s="1">
        <v>45053</v>
      </c>
      <c r="Q208" s="2" t="s">
        <v>45</v>
      </c>
      <c r="R208" s="2">
        <v>4288</v>
      </c>
    </row>
    <row r="209" spans="1:18" x14ac:dyDescent="0.25">
      <c r="A209" s="1">
        <v>45511</v>
      </c>
      <c r="B209" s="2" t="s">
        <v>17</v>
      </c>
      <c r="C209" s="2" t="s">
        <v>27</v>
      </c>
      <c r="D209">
        <v>1</v>
      </c>
      <c r="E209">
        <v>94</v>
      </c>
      <c r="F209" s="2" t="s">
        <v>28</v>
      </c>
      <c r="G209" s="2" t="s">
        <v>20</v>
      </c>
      <c r="H209">
        <v>0</v>
      </c>
      <c r="I209" s="2" t="s">
        <v>47</v>
      </c>
      <c r="J209" s="2" t="s">
        <v>22</v>
      </c>
      <c r="K209">
        <v>0</v>
      </c>
      <c r="L209" s="2" t="s">
        <v>464</v>
      </c>
      <c r="M209" s="2" t="s">
        <v>465</v>
      </c>
      <c r="N209">
        <v>49.17</v>
      </c>
      <c r="O209" s="1">
        <v>45511</v>
      </c>
      <c r="P209" s="1">
        <v>45521</v>
      </c>
      <c r="Q209" s="2" t="s">
        <v>25</v>
      </c>
      <c r="R209" s="2">
        <v>94</v>
      </c>
    </row>
    <row r="210" spans="1:18" x14ac:dyDescent="0.25">
      <c r="A210" s="1">
        <v>45031</v>
      </c>
      <c r="B210" s="2" t="s">
        <v>65</v>
      </c>
      <c r="C210" s="2" t="s">
        <v>18</v>
      </c>
      <c r="D210">
        <v>16</v>
      </c>
      <c r="E210">
        <v>490</v>
      </c>
      <c r="F210" s="2" t="s">
        <v>46</v>
      </c>
      <c r="G210" s="2" t="s">
        <v>29</v>
      </c>
      <c r="H210">
        <v>0.1</v>
      </c>
      <c r="I210" s="2" t="s">
        <v>42</v>
      </c>
      <c r="J210" s="2" t="s">
        <v>59</v>
      </c>
      <c r="K210">
        <v>0</v>
      </c>
      <c r="L210" s="2" t="s">
        <v>466</v>
      </c>
      <c r="M210" s="2" t="s">
        <v>166</v>
      </c>
      <c r="N210">
        <v>9.69</v>
      </c>
      <c r="O210" s="1">
        <v>45031</v>
      </c>
      <c r="P210" s="1">
        <v>45041</v>
      </c>
      <c r="Q210" s="2" t="s">
        <v>68</v>
      </c>
      <c r="R210" s="2">
        <v>7056</v>
      </c>
    </row>
    <row r="211" spans="1:18" x14ac:dyDescent="0.25">
      <c r="A211" s="1">
        <v>45150</v>
      </c>
      <c r="B211" s="2" t="s">
        <v>26</v>
      </c>
      <c r="C211" s="2" t="s">
        <v>36</v>
      </c>
      <c r="D211">
        <v>4</v>
      </c>
      <c r="E211">
        <v>552</v>
      </c>
      <c r="F211" s="2" t="s">
        <v>28</v>
      </c>
      <c r="G211" s="2" t="s">
        <v>29</v>
      </c>
      <c r="H211">
        <v>0.05</v>
      </c>
      <c r="I211" s="2" t="s">
        <v>21</v>
      </c>
      <c r="J211" s="2" t="s">
        <v>31</v>
      </c>
      <c r="K211">
        <v>1</v>
      </c>
      <c r="L211" s="2" t="s">
        <v>467</v>
      </c>
      <c r="M211" s="2" t="s">
        <v>468</v>
      </c>
      <c r="N211">
        <v>26.32</v>
      </c>
      <c r="O211" s="1">
        <v>45150</v>
      </c>
      <c r="P211" s="1">
        <v>45153</v>
      </c>
      <c r="Q211" s="2" t="s">
        <v>34</v>
      </c>
      <c r="R211" s="2">
        <v>2098</v>
      </c>
    </row>
    <row r="212" spans="1:18" x14ac:dyDescent="0.25">
      <c r="A212" s="1">
        <v>45096</v>
      </c>
      <c r="B212" s="2" t="s">
        <v>65</v>
      </c>
      <c r="C212" s="2" t="s">
        <v>126</v>
      </c>
      <c r="D212">
        <v>17</v>
      </c>
      <c r="E212">
        <v>596</v>
      </c>
      <c r="F212" s="2" t="s">
        <v>51</v>
      </c>
      <c r="G212" s="2" t="s">
        <v>29</v>
      </c>
      <c r="H212">
        <v>0.15</v>
      </c>
      <c r="I212" s="2" t="s">
        <v>62</v>
      </c>
      <c r="J212" s="2" t="s">
        <v>53</v>
      </c>
      <c r="K212">
        <v>0</v>
      </c>
      <c r="L212" s="2" t="s">
        <v>469</v>
      </c>
      <c r="M212" s="2" t="s">
        <v>470</v>
      </c>
      <c r="N212">
        <v>9.73</v>
      </c>
      <c r="O212" s="1">
        <v>45096</v>
      </c>
      <c r="P212" s="1">
        <v>45105</v>
      </c>
      <c r="Q212" s="2" t="s">
        <v>68</v>
      </c>
      <c r="R212" s="2">
        <v>8612</v>
      </c>
    </row>
    <row r="213" spans="1:18" x14ac:dyDescent="0.25">
      <c r="A213" s="1">
        <v>45289</v>
      </c>
      <c r="B213" s="2" t="s">
        <v>17</v>
      </c>
      <c r="C213" s="2" t="s">
        <v>126</v>
      </c>
      <c r="D213">
        <v>1</v>
      </c>
      <c r="E213">
        <v>180</v>
      </c>
      <c r="F213" s="2" t="s">
        <v>28</v>
      </c>
      <c r="G213" s="2" t="s">
        <v>20</v>
      </c>
      <c r="H213">
        <v>0.1</v>
      </c>
      <c r="I213" s="2" t="s">
        <v>21</v>
      </c>
      <c r="J213" s="2" t="s">
        <v>56</v>
      </c>
      <c r="K213">
        <v>0</v>
      </c>
      <c r="L213" s="2" t="s">
        <v>471</v>
      </c>
      <c r="M213" s="2" t="s">
        <v>472</v>
      </c>
      <c r="N213">
        <v>27.07</v>
      </c>
      <c r="O213" s="1">
        <v>45289</v>
      </c>
      <c r="P213" s="1">
        <v>45298</v>
      </c>
      <c r="Q213" s="2" t="s">
        <v>25</v>
      </c>
      <c r="R213" s="2">
        <v>162</v>
      </c>
    </row>
    <row r="214" spans="1:18" x14ac:dyDescent="0.25">
      <c r="A214" s="1">
        <v>45011</v>
      </c>
      <c r="B214" s="2" t="s">
        <v>17</v>
      </c>
      <c r="C214" s="2" t="s">
        <v>36</v>
      </c>
      <c r="D214">
        <v>12</v>
      </c>
      <c r="E214">
        <v>302</v>
      </c>
      <c r="F214" s="2" t="s">
        <v>51</v>
      </c>
      <c r="G214" s="2" t="s">
        <v>29</v>
      </c>
      <c r="H214">
        <v>0.15</v>
      </c>
      <c r="I214" s="2" t="s">
        <v>62</v>
      </c>
      <c r="J214" s="2" t="s">
        <v>53</v>
      </c>
      <c r="K214">
        <v>1</v>
      </c>
      <c r="L214" s="2" t="s">
        <v>473</v>
      </c>
      <c r="M214" s="2" t="s">
        <v>474</v>
      </c>
      <c r="N214">
        <v>43.67</v>
      </c>
      <c r="O214" s="1">
        <v>45011</v>
      </c>
      <c r="P214" s="1">
        <v>45015</v>
      </c>
      <c r="Q214" s="2" t="s">
        <v>25</v>
      </c>
      <c r="R214" s="2">
        <v>3080</v>
      </c>
    </row>
    <row r="215" spans="1:18" x14ac:dyDescent="0.25">
      <c r="A215" s="1">
        <v>45170</v>
      </c>
      <c r="B215" s="2" t="s">
        <v>26</v>
      </c>
      <c r="C215" s="2" t="s">
        <v>27</v>
      </c>
      <c r="D215">
        <v>20</v>
      </c>
      <c r="E215">
        <v>274</v>
      </c>
      <c r="F215" s="2" t="s">
        <v>51</v>
      </c>
      <c r="G215" s="2" t="s">
        <v>29</v>
      </c>
      <c r="H215">
        <v>0.15</v>
      </c>
      <c r="I215" s="2" t="s">
        <v>42</v>
      </c>
      <c r="J215" s="2" t="s">
        <v>56</v>
      </c>
      <c r="K215">
        <v>0</v>
      </c>
      <c r="L215" s="2" t="s">
        <v>475</v>
      </c>
      <c r="M215" s="2" t="s">
        <v>476</v>
      </c>
      <c r="N215">
        <v>14.76</v>
      </c>
      <c r="O215" s="1">
        <v>45170</v>
      </c>
      <c r="P215" s="1">
        <v>45176</v>
      </c>
      <c r="Q215" s="2" t="s">
        <v>34</v>
      </c>
      <c r="R215" s="2">
        <v>4658</v>
      </c>
    </row>
    <row r="216" spans="1:18" x14ac:dyDescent="0.25">
      <c r="A216" s="1">
        <v>45509</v>
      </c>
      <c r="B216" s="2" t="s">
        <v>65</v>
      </c>
      <c r="C216" s="2" t="s">
        <v>75</v>
      </c>
      <c r="D216">
        <v>6</v>
      </c>
      <c r="E216">
        <v>187</v>
      </c>
      <c r="F216" s="2" t="s">
        <v>19</v>
      </c>
      <c r="G216" s="2" t="s">
        <v>20</v>
      </c>
      <c r="H216">
        <v>0.1</v>
      </c>
      <c r="I216" s="2" t="s">
        <v>42</v>
      </c>
      <c r="J216" s="2" t="s">
        <v>56</v>
      </c>
      <c r="K216">
        <v>0</v>
      </c>
      <c r="L216" s="2" t="s">
        <v>477</v>
      </c>
      <c r="M216" s="2" t="s">
        <v>478</v>
      </c>
      <c r="N216">
        <v>11.03</v>
      </c>
      <c r="O216" s="1">
        <v>45509</v>
      </c>
      <c r="P216" s="1">
        <v>45517</v>
      </c>
      <c r="Q216" s="2" t="s">
        <v>68</v>
      </c>
      <c r="R216" s="2">
        <v>1010</v>
      </c>
    </row>
    <row r="217" spans="1:18" x14ac:dyDescent="0.25">
      <c r="A217" s="1">
        <v>45680</v>
      </c>
      <c r="B217" s="2" t="s">
        <v>35</v>
      </c>
      <c r="C217" s="2" t="s">
        <v>41</v>
      </c>
      <c r="D217">
        <v>16</v>
      </c>
      <c r="E217">
        <v>563</v>
      </c>
      <c r="F217" s="2" t="s">
        <v>51</v>
      </c>
      <c r="G217" s="2" t="s">
        <v>29</v>
      </c>
      <c r="H217">
        <v>0</v>
      </c>
      <c r="I217" s="2" t="s">
        <v>42</v>
      </c>
      <c r="J217" s="2" t="s">
        <v>31</v>
      </c>
      <c r="K217">
        <v>0</v>
      </c>
      <c r="L217" s="2" t="s">
        <v>479</v>
      </c>
      <c r="M217" s="2" t="s">
        <v>480</v>
      </c>
      <c r="N217">
        <v>18.23</v>
      </c>
      <c r="O217" s="1">
        <v>45680</v>
      </c>
      <c r="P217" s="1">
        <v>45684</v>
      </c>
      <c r="Q217" s="2" t="s">
        <v>39</v>
      </c>
      <c r="R217" s="2">
        <v>9008</v>
      </c>
    </row>
    <row r="218" spans="1:18" x14ac:dyDescent="0.25">
      <c r="A218" s="1">
        <v>45062</v>
      </c>
      <c r="B218" s="2" t="s">
        <v>17</v>
      </c>
      <c r="C218" s="2" t="s">
        <v>75</v>
      </c>
      <c r="D218">
        <v>4</v>
      </c>
      <c r="E218">
        <v>85</v>
      </c>
      <c r="F218" s="2" t="s">
        <v>51</v>
      </c>
      <c r="G218" s="2" t="s">
        <v>20</v>
      </c>
      <c r="H218">
        <v>0.1</v>
      </c>
      <c r="I218" s="2" t="s">
        <v>47</v>
      </c>
      <c r="J218" s="2" t="s">
        <v>53</v>
      </c>
      <c r="K218">
        <v>0</v>
      </c>
      <c r="L218" s="2" t="s">
        <v>481</v>
      </c>
      <c r="M218" s="2" t="s">
        <v>482</v>
      </c>
      <c r="N218">
        <v>38.51</v>
      </c>
      <c r="O218" s="1">
        <v>45062</v>
      </c>
      <c r="P218" s="1">
        <v>45069</v>
      </c>
      <c r="Q218" s="2" t="s">
        <v>25</v>
      </c>
      <c r="R218" s="2">
        <v>306</v>
      </c>
    </row>
    <row r="219" spans="1:18" x14ac:dyDescent="0.25">
      <c r="A219" s="1">
        <v>44971</v>
      </c>
      <c r="B219" s="2" t="s">
        <v>35</v>
      </c>
      <c r="C219" s="2" t="s">
        <v>75</v>
      </c>
      <c r="D219">
        <v>12</v>
      </c>
      <c r="E219">
        <v>452</v>
      </c>
      <c r="F219" s="2" t="s">
        <v>19</v>
      </c>
      <c r="G219" s="2" t="s">
        <v>20</v>
      </c>
      <c r="H219">
        <v>0.15</v>
      </c>
      <c r="I219" s="2" t="s">
        <v>47</v>
      </c>
      <c r="J219" s="2" t="s">
        <v>22</v>
      </c>
      <c r="K219">
        <v>0</v>
      </c>
      <c r="L219" s="2" t="s">
        <v>483</v>
      </c>
      <c r="M219" s="2" t="s">
        <v>484</v>
      </c>
      <c r="N219">
        <v>9.5399999999999991</v>
      </c>
      <c r="O219" s="1">
        <v>44971</v>
      </c>
      <c r="P219" s="1">
        <v>44979</v>
      </c>
      <c r="Q219" s="2" t="s">
        <v>39</v>
      </c>
      <c r="R219" s="2">
        <v>4610</v>
      </c>
    </row>
    <row r="220" spans="1:18" x14ac:dyDescent="0.25">
      <c r="A220" s="1">
        <v>45446</v>
      </c>
      <c r="B220" s="2" t="s">
        <v>40</v>
      </c>
      <c r="C220" s="2" t="s">
        <v>75</v>
      </c>
      <c r="D220">
        <v>1</v>
      </c>
      <c r="E220">
        <v>260</v>
      </c>
      <c r="F220" s="2" t="s">
        <v>51</v>
      </c>
      <c r="G220" s="2" t="s">
        <v>29</v>
      </c>
      <c r="H220">
        <v>0.15</v>
      </c>
      <c r="I220" s="2" t="s">
        <v>21</v>
      </c>
      <c r="J220" s="2" t="s">
        <v>31</v>
      </c>
      <c r="K220">
        <v>0</v>
      </c>
      <c r="L220" s="2" t="s">
        <v>485</v>
      </c>
      <c r="M220" s="2" t="s">
        <v>486</v>
      </c>
      <c r="N220">
        <v>19.2</v>
      </c>
      <c r="O220" s="1">
        <v>45446</v>
      </c>
      <c r="P220" s="1">
        <v>45455</v>
      </c>
      <c r="Q220" s="2" t="s">
        <v>45</v>
      </c>
      <c r="R220" s="2">
        <v>221</v>
      </c>
    </row>
    <row r="221" spans="1:18" x14ac:dyDescent="0.25">
      <c r="A221" s="1">
        <v>45238</v>
      </c>
      <c r="B221" s="2" t="s">
        <v>40</v>
      </c>
      <c r="C221" s="2" t="s">
        <v>75</v>
      </c>
      <c r="D221">
        <v>20</v>
      </c>
      <c r="E221">
        <v>268</v>
      </c>
      <c r="F221" s="2" t="s">
        <v>51</v>
      </c>
      <c r="G221" s="2" t="s">
        <v>29</v>
      </c>
      <c r="H221">
        <v>0.05</v>
      </c>
      <c r="I221" s="2" t="s">
        <v>52</v>
      </c>
      <c r="J221" s="2" t="s">
        <v>59</v>
      </c>
      <c r="K221">
        <v>0</v>
      </c>
      <c r="L221" s="2" t="s">
        <v>487</v>
      </c>
      <c r="M221" s="2" t="s">
        <v>488</v>
      </c>
      <c r="N221">
        <v>20.96</v>
      </c>
      <c r="O221" s="1">
        <v>45238</v>
      </c>
      <c r="P221" s="1">
        <v>45245</v>
      </c>
      <c r="Q221" s="2" t="s">
        <v>45</v>
      </c>
      <c r="R221" s="2">
        <v>5092</v>
      </c>
    </row>
    <row r="222" spans="1:18" x14ac:dyDescent="0.25">
      <c r="A222" s="1">
        <v>44950</v>
      </c>
      <c r="B222" s="2" t="s">
        <v>65</v>
      </c>
      <c r="C222" s="2" t="s">
        <v>27</v>
      </c>
      <c r="D222">
        <v>10</v>
      </c>
      <c r="E222">
        <v>266</v>
      </c>
      <c r="F222" s="2" t="s">
        <v>19</v>
      </c>
      <c r="G222" s="2" t="s">
        <v>20</v>
      </c>
      <c r="H222">
        <v>0</v>
      </c>
      <c r="I222" s="2" t="s">
        <v>52</v>
      </c>
      <c r="J222" s="2" t="s">
        <v>31</v>
      </c>
      <c r="K222">
        <v>0</v>
      </c>
      <c r="L222" s="2" t="s">
        <v>489</v>
      </c>
      <c r="M222" s="2" t="s">
        <v>490</v>
      </c>
      <c r="N222">
        <v>21.01</v>
      </c>
      <c r="O222" s="1">
        <v>44950</v>
      </c>
      <c r="P222" s="1">
        <v>44952</v>
      </c>
      <c r="Q222" s="2" t="s">
        <v>68</v>
      </c>
      <c r="R222" s="2">
        <v>2660</v>
      </c>
    </row>
    <row r="223" spans="1:18" x14ac:dyDescent="0.25">
      <c r="A223" s="1">
        <v>45736</v>
      </c>
      <c r="B223" s="2" t="s">
        <v>65</v>
      </c>
      <c r="C223" s="2" t="s">
        <v>18</v>
      </c>
      <c r="D223">
        <v>18</v>
      </c>
      <c r="E223">
        <v>493</v>
      </c>
      <c r="F223" s="2" t="s">
        <v>51</v>
      </c>
      <c r="G223" s="2" t="s">
        <v>20</v>
      </c>
      <c r="H223">
        <v>0.05</v>
      </c>
      <c r="I223" s="2" t="s">
        <v>52</v>
      </c>
      <c r="J223" s="2" t="s">
        <v>59</v>
      </c>
      <c r="K223">
        <v>1</v>
      </c>
      <c r="L223" s="2" t="s">
        <v>491</v>
      </c>
      <c r="M223" s="2" t="s">
        <v>492</v>
      </c>
      <c r="N223">
        <v>46.87</v>
      </c>
      <c r="O223" s="1">
        <v>45736</v>
      </c>
      <c r="P223" s="1">
        <v>45744</v>
      </c>
      <c r="Q223" s="2" t="s">
        <v>68</v>
      </c>
      <c r="R223" s="2">
        <v>8430</v>
      </c>
    </row>
    <row r="224" spans="1:18" x14ac:dyDescent="0.25">
      <c r="A224" s="1">
        <v>45344</v>
      </c>
      <c r="B224" s="2" t="s">
        <v>65</v>
      </c>
      <c r="C224" s="2" t="s">
        <v>50</v>
      </c>
      <c r="D224">
        <v>4</v>
      </c>
      <c r="E224">
        <v>37</v>
      </c>
      <c r="F224" s="2" t="s">
        <v>46</v>
      </c>
      <c r="G224" s="2" t="s">
        <v>20</v>
      </c>
      <c r="H224">
        <v>0.05</v>
      </c>
      <c r="I224" s="2" t="s">
        <v>42</v>
      </c>
      <c r="J224" s="2" t="s">
        <v>53</v>
      </c>
      <c r="K224">
        <v>1</v>
      </c>
      <c r="L224" s="2" t="s">
        <v>493</v>
      </c>
      <c r="M224" s="2" t="s">
        <v>494</v>
      </c>
      <c r="N224">
        <v>24.86</v>
      </c>
      <c r="O224" s="1">
        <v>45344</v>
      </c>
      <c r="P224" s="1">
        <v>45352</v>
      </c>
      <c r="Q224" s="2" t="s">
        <v>68</v>
      </c>
      <c r="R224" s="2">
        <v>141</v>
      </c>
    </row>
    <row r="225" spans="1:18" x14ac:dyDescent="0.25">
      <c r="A225" s="1">
        <v>45749</v>
      </c>
      <c r="B225" s="2" t="s">
        <v>35</v>
      </c>
      <c r="C225" s="2" t="s">
        <v>126</v>
      </c>
      <c r="D225">
        <v>12</v>
      </c>
      <c r="E225">
        <v>413</v>
      </c>
      <c r="F225" s="2" t="s">
        <v>51</v>
      </c>
      <c r="G225" s="2" t="s">
        <v>29</v>
      </c>
      <c r="H225">
        <v>0.15</v>
      </c>
      <c r="I225" s="2" t="s">
        <v>62</v>
      </c>
      <c r="J225" s="2" t="s">
        <v>59</v>
      </c>
      <c r="K225">
        <v>0</v>
      </c>
      <c r="L225" s="2" t="s">
        <v>495</v>
      </c>
      <c r="M225" s="2" t="s">
        <v>496</v>
      </c>
      <c r="N225">
        <v>23.25</v>
      </c>
      <c r="O225" s="1">
        <v>45749</v>
      </c>
      <c r="P225" s="1">
        <v>45757</v>
      </c>
      <c r="Q225" s="2" t="s">
        <v>39</v>
      </c>
      <c r="R225" s="2">
        <v>4213</v>
      </c>
    </row>
    <row r="226" spans="1:18" x14ac:dyDescent="0.25">
      <c r="A226" s="1">
        <v>45820</v>
      </c>
      <c r="B226" s="2" t="s">
        <v>35</v>
      </c>
      <c r="C226" s="2" t="s">
        <v>41</v>
      </c>
      <c r="D226">
        <v>19</v>
      </c>
      <c r="E226">
        <v>446</v>
      </c>
      <c r="F226" s="2" t="s">
        <v>19</v>
      </c>
      <c r="G226" s="2" t="s">
        <v>29</v>
      </c>
      <c r="H226">
        <v>0.1</v>
      </c>
      <c r="I226" s="2" t="s">
        <v>21</v>
      </c>
      <c r="J226" s="2" t="s">
        <v>31</v>
      </c>
      <c r="K226">
        <v>0</v>
      </c>
      <c r="L226" s="2" t="s">
        <v>497</v>
      </c>
      <c r="M226" s="2" t="s">
        <v>498</v>
      </c>
      <c r="N226">
        <v>14.88</v>
      </c>
      <c r="O226" s="1">
        <v>45820</v>
      </c>
      <c r="P226" s="1">
        <v>45826</v>
      </c>
      <c r="Q226" s="2" t="s">
        <v>39</v>
      </c>
      <c r="R226" s="2">
        <v>7627</v>
      </c>
    </row>
    <row r="227" spans="1:18" x14ac:dyDescent="0.25">
      <c r="A227" s="1">
        <v>45059</v>
      </c>
      <c r="B227" s="2" t="s">
        <v>17</v>
      </c>
      <c r="C227" s="2" t="s">
        <v>18</v>
      </c>
      <c r="D227">
        <v>7</v>
      </c>
      <c r="E227">
        <v>83</v>
      </c>
      <c r="F227" s="2" t="s">
        <v>51</v>
      </c>
      <c r="G227" s="2" t="s">
        <v>20</v>
      </c>
      <c r="H227">
        <v>0.15</v>
      </c>
      <c r="I227" s="2" t="s">
        <v>42</v>
      </c>
      <c r="J227" s="2" t="s">
        <v>56</v>
      </c>
      <c r="K227">
        <v>1</v>
      </c>
      <c r="L227" s="2" t="s">
        <v>499</v>
      </c>
      <c r="M227" s="2" t="s">
        <v>500</v>
      </c>
      <c r="N227">
        <v>15.66</v>
      </c>
      <c r="O227" s="1">
        <v>45059</v>
      </c>
      <c r="P227" s="1">
        <v>45063</v>
      </c>
      <c r="Q227" s="2" t="s">
        <v>25</v>
      </c>
      <c r="R227" s="2">
        <v>494</v>
      </c>
    </row>
    <row r="228" spans="1:18" x14ac:dyDescent="0.25">
      <c r="A228" s="1">
        <v>45010</v>
      </c>
      <c r="B228" s="2" t="s">
        <v>26</v>
      </c>
      <c r="C228" s="2" t="s">
        <v>36</v>
      </c>
      <c r="D228">
        <v>17</v>
      </c>
      <c r="E228">
        <v>340</v>
      </c>
      <c r="F228" s="2" t="s">
        <v>28</v>
      </c>
      <c r="G228" s="2" t="s">
        <v>29</v>
      </c>
      <c r="H228">
        <v>0</v>
      </c>
      <c r="I228" s="2" t="s">
        <v>30</v>
      </c>
      <c r="J228" s="2" t="s">
        <v>59</v>
      </c>
      <c r="K228">
        <v>0</v>
      </c>
      <c r="L228" s="2" t="s">
        <v>501</v>
      </c>
      <c r="M228" s="2" t="s">
        <v>502</v>
      </c>
      <c r="N228">
        <v>44.86</v>
      </c>
      <c r="O228" s="1">
        <v>45010</v>
      </c>
      <c r="P228" s="1">
        <v>45013</v>
      </c>
      <c r="Q228" s="2" t="s">
        <v>34</v>
      </c>
      <c r="R228" s="2">
        <v>5780</v>
      </c>
    </row>
    <row r="229" spans="1:18" x14ac:dyDescent="0.25">
      <c r="A229" s="1">
        <v>45618</v>
      </c>
      <c r="B229" s="2" t="s">
        <v>26</v>
      </c>
      <c r="C229" s="2" t="s">
        <v>126</v>
      </c>
      <c r="D229">
        <v>19</v>
      </c>
      <c r="E229">
        <v>364</v>
      </c>
      <c r="F229" s="2" t="s">
        <v>19</v>
      </c>
      <c r="G229" s="2" t="s">
        <v>29</v>
      </c>
      <c r="H229">
        <v>0.15</v>
      </c>
      <c r="I229" s="2" t="s">
        <v>42</v>
      </c>
      <c r="J229" s="2" t="s">
        <v>56</v>
      </c>
      <c r="K229">
        <v>1</v>
      </c>
      <c r="L229" s="2" t="s">
        <v>503</v>
      </c>
      <c r="M229" s="2" t="s">
        <v>504</v>
      </c>
      <c r="N229">
        <v>39.76</v>
      </c>
      <c r="O229" s="1">
        <v>45618</v>
      </c>
      <c r="P229" s="1">
        <v>45621</v>
      </c>
      <c r="Q229" s="2" t="s">
        <v>34</v>
      </c>
      <c r="R229" s="2">
        <v>5879</v>
      </c>
    </row>
    <row r="230" spans="1:18" x14ac:dyDescent="0.25">
      <c r="A230" s="1">
        <v>45114</v>
      </c>
      <c r="B230" s="2" t="s">
        <v>17</v>
      </c>
      <c r="C230" s="2" t="s">
        <v>75</v>
      </c>
      <c r="D230">
        <v>3</v>
      </c>
      <c r="E230">
        <v>72</v>
      </c>
      <c r="F230" s="2" t="s">
        <v>19</v>
      </c>
      <c r="G230" s="2" t="s">
        <v>20</v>
      </c>
      <c r="H230">
        <v>0</v>
      </c>
      <c r="I230" s="2" t="s">
        <v>30</v>
      </c>
      <c r="J230" s="2" t="s">
        <v>31</v>
      </c>
      <c r="K230">
        <v>1</v>
      </c>
      <c r="L230" s="2" t="s">
        <v>505</v>
      </c>
      <c r="M230" s="2" t="s">
        <v>506</v>
      </c>
      <c r="N230">
        <v>46.25</v>
      </c>
      <c r="O230" s="1">
        <v>45114</v>
      </c>
      <c r="P230" s="1">
        <v>45124</v>
      </c>
      <c r="Q230" s="2" t="s">
        <v>25</v>
      </c>
      <c r="R230" s="2">
        <v>216</v>
      </c>
    </row>
    <row r="231" spans="1:18" x14ac:dyDescent="0.25">
      <c r="A231" s="1">
        <v>45570</v>
      </c>
      <c r="B231" s="2" t="s">
        <v>17</v>
      </c>
      <c r="C231" s="2" t="s">
        <v>75</v>
      </c>
      <c r="D231">
        <v>20</v>
      </c>
      <c r="E231">
        <v>576</v>
      </c>
      <c r="F231" s="2" t="s">
        <v>51</v>
      </c>
      <c r="G231" s="2" t="s">
        <v>20</v>
      </c>
      <c r="H231">
        <v>0.05</v>
      </c>
      <c r="I231" s="2" t="s">
        <v>21</v>
      </c>
      <c r="J231" s="2" t="s">
        <v>53</v>
      </c>
      <c r="K231">
        <v>0</v>
      </c>
      <c r="L231" s="2" t="s">
        <v>507</v>
      </c>
      <c r="M231" s="2" t="s">
        <v>508</v>
      </c>
      <c r="N231">
        <v>25.22</v>
      </c>
      <c r="O231" s="1">
        <v>45570</v>
      </c>
      <c r="P231" s="1">
        <v>45574</v>
      </c>
      <c r="Q231" s="2" t="s">
        <v>25</v>
      </c>
      <c r="R231" s="2">
        <v>10944</v>
      </c>
    </row>
    <row r="232" spans="1:18" x14ac:dyDescent="0.25">
      <c r="A232" s="1">
        <v>45382</v>
      </c>
      <c r="B232" s="2" t="s">
        <v>65</v>
      </c>
      <c r="C232" s="2" t="s">
        <v>18</v>
      </c>
      <c r="D232">
        <v>7</v>
      </c>
      <c r="E232">
        <v>121</v>
      </c>
      <c r="F232" s="2" t="s">
        <v>19</v>
      </c>
      <c r="G232" s="2" t="s">
        <v>20</v>
      </c>
      <c r="H232">
        <v>0</v>
      </c>
      <c r="I232" s="2" t="s">
        <v>52</v>
      </c>
      <c r="J232" s="2" t="s">
        <v>22</v>
      </c>
      <c r="K232">
        <v>0</v>
      </c>
      <c r="L232" s="2" t="s">
        <v>509</v>
      </c>
      <c r="M232" s="2" t="s">
        <v>510</v>
      </c>
      <c r="N232">
        <v>43.8</v>
      </c>
      <c r="O232" s="1">
        <v>45382</v>
      </c>
      <c r="P232" s="1">
        <v>45390</v>
      </c>
      <c r="Q232" s="2" t="s">
        <v>68</v>
      </c>
      <c r="R232" s="2">
        <v>847</v>
      </c>
    </row>
    <row r="233" spans="1:18" x14ac:dyDescent="0.25">
      <c r="A233" s="1">
        <v>45748</v>
      </c>
      <c r="B233" s="2" t="s">
        <v>65</v>
      </c>
      <c r="C233" s="2" t="s">
        <v>126</v>
      </c>
      <c r="D233">
        <v>8</v>
      </c>
      <c r="E233">
        <v>96</v>
      </c>
      <c r="F233" s="2" t="s">
        <v>28</v>
      </c>
      <c r="G233" s="2" t="s">
        <v>20</v>
      </c>
      <c r="H233">
        <v>0.05</v>
      </c>
      <c r="I233" s="2" t="s">
        <v>47</v>
      </c>
      <c r="J233" s="2" t="s">
        <v>56</v>
      </c>
      <c r="K233">
        <v>0</v>
      </c>
      <c r="L233" s="2" t="s">
        <v>511</v>
      </c>
      <c r="M233" s="2" t="s">
        <v>512</v>
      </c>
      <c r="N233">
        <v>34.07</v>
      </c>
      <c r="O233" s="1">
        <v>45748</v>
      </c>
      <c r="P233" s="1">
        <v>45751</v>
      </c>
      <c r="Q233" s="2" t="s">
        <v>68</v>
      </c>
      <c r="R233" s="2">
        <v>730</v>
      </c>
    </row>
    <row r="234" spans="1:18" x14ac:dyDescent="0.25">
      <c r="A234" s="1">
        <v>45161</v>
      </c>
      <c r="B234" s="2" t="s">
        <v>65</v>
      </c>
      <c r="C234" s="2" t="s">
        <v>126</v>
      </c>
      <c r="D234">
        <v>14</v>
      </c>
      <c r="E234">
        <v>471</v>
      </c>
      <c r="F234" s="2" t="s">
        <v>28</v>
      </c>
      <c r="G234" s="2" t="s">
        <v>20</v>
      </c>
      <c r="H234">
        <v>0.05</v>
      </c>
      <c r="I234" s="2" t="s">
        <v>47</v>
      </c>
      <c r="J234" s="2" t="s">
        <v>31</v>
      </c>
      <c r="K234">
        <v>0</v>
      </c>
      <c r="L234" s="2" t="s">
        <v>513</v>
      </c>
      <c r="M234" s="2" t="s">
        <v>514</v>
      </c>
      <c r="N234">
        <v>26.38</v>
      </c>
      <c r="O234" s="1">
        <v>45161</v>
      </c>
      <c r="P234" s="1">
        <v>45164</v>
      </c>
      <c r="Q234" s="2" t="s">
        <v>68</v>
      </c>
      <c r="R234" s="2">
        <v>6264</v>
      </c>
    </row>
    <row r="235" spans="1:18" x14ac:dyDescent="0.25">
      <c r="A235" s="1">
        <v>45518</v>
      </c>
      <c r="B235" s="2" t="s">
        <v>26</v>
      </c>
      <c r="C235" s="2" t="s">
        <v>27</v>
      </c>
      <c r="D235">
        <v>20</v>
      </c>
      <c r="E235">
        <v>14</v>
      </c>
      <c r="F235" s="2" t="s">
        <v>51</v>
      </c>
      <c r="G235" s="2" t="s">
        <v>20</v>
      </c>
      <c r="H235">
        <v>0.1</v>
      </c>
      <c r="I235" s="2" t="s">
        <v>47</v>
      </c>
      <c r="J235" s="2" t="s">
        <v>56</v>
      </c>
      <c r="K235">
        <v>0</v>
      </c>
      <c r="L235" s="2" t="s">
        <v>515</v>
      </c>
      <c r="M235" s="2" t="s">
        <v>516</v>
      </c>
      <c r="N235">
        <v>6.22</v>
      </c>
      <c r="O235" s="1">
        <v>45518</v>
      </c>
      <c r="P235" s="1">
        <v>45525</v>
      </c>
      <c r="Q235" s="2" t="s">
        <v>34</v>
      </c>
      <c r="R235" s="2">
        <v>252</v>
      </c>
    </row>
    <row r="236" spans="1:18" x14ac:dyDescent="0.25">
      <c r="A236" s="1">
        <v>45702</v>
      </c>
      <c r="B236" s="2" t="s">
        <v>40</v>
      </c>
      <c r="C236" s="2" t="s">
        <v>75</v>
      </c>
      <c r="D236">
        <v>18</v>
      </c>
      <c r="E236">
        <v>500</v>
      </c>
      <c r="F236" s="2" t="s">
        <v>19</v>
      </c>
      <c r="G236" s="2" t="s">
        <v>29</v>
      </c>
      <c r="H236">
        <v>0.15</v>
      </c>
      <c r="I236" s="2" t="s">
        <v>30</v>
      </c>
      <c r="J236" s="2" t="s">
        <v>56</v>
      </c>
      <c r="K236">
        <v>0</v>
      </c>
      <c r="L236" s="2" t="s">
        <v>517</v>
      </c>
      <c r="M236" s="2" t="s">
        <v>518</v>
      </c>
      <c r="N236">
        <v>9.64</v>
      </c>
      <c r="O236" s="1">
        <v>45702</v>
      </c>
      <c r="P236" s="1">
        <v>45707</v>
      </c>
      <c r="Q236" s="2" t="s">
        <v>45</v>
      </c>
      <c r="R236" s="2">
        <v>7650</v>
      </c>
    </row>
    <row r="237" spans="1:18" x14ac:dyDescent="0.25">
      <c r="A237" s="1">
        <v>45241</v>
      </c>
      <c r="B237" s="2" t="s">
        <v>65</v>
      </c>
      <c r="C237" s="2" t="s">
        <v>50</v>
      </c>
      <c r="D237">
        <v>14</v>
      </c>
      <c r="E237">
        <v>16</v>
      </c>
      <c r="F237" s="2" t="s">
        <v>19</v>
      </c>
      <c r="G237" s="2" t="s">
        <v>20</v>
      </c>
      <c r="H237">
        <v>0.1</v>
      </c>
      <c r="I237" s="2" t="s">
        <v>52</v>
      </c>
      <c r="J237" s="2" t="s">
        <v>56</v>
      </c>
      <c r="K237">
        <v>0</v>
      </c>
      <c r="L237" s="2" t="s">
        <v>519</v>
      </c>
      <c r="M237" s="2" t="s">
        <v>520</v>
      </c>
      <c r="N237">
        <v>22.72</v>
      </c>
      <c r="O237" s="1">
        <v>45241</v>
      </c>
      <c r="P237" s="1">
        <v>45246</v>
      </c>
      <c r="Q237" s="2" t="s">
        <v>68</v>
      </c>
      <c r="R237" s="2">
        <v>202</v>
      </c>
    </row>
    <row r="238" spans="1:18" x14ac:dyDescent="0.25">
      <c r="A238" s="1">
        <v>45383</v>
      </c>
      <c r="B238" s="2" t="s">
        <v>40</v>
      </c>
      <c r="C238" s="2" t="s">
        <v>36</v>
      </c>
      <c r="D238">
        <v>17</v>
      </c>
      <c r="E238">
        <v>481</v>
      </c>
      <c r="F238" s="2" t="s">
        <v>46</v>
      </c>
      <c r="G238" s="2" t="s">
        <v>20</v>
      </c>
      <c r="H238">
        <v>0.15</v>
      </c>
      <c r="I238" s="2" t="s">
        <v>47</v>
      </c>
      <c r="J238" s="2" t="s">
        <v>22</v>
      </c>
      <c r="K238">
        <v>0</v>
      </c>
      <c r="L238" s="2" t="s">
        <v>521</v>
      </c>
      <c r="M238" s="2" t="s">
        <v>522</v>
      </c>
      <c r="N238">
        <v>37.090000000000003</v>
      </c>
      <c r="O238" s="1">
        <v>45383</v>
      </c>
      <c r="P238" s="1">
        <v>45391</v>
      </c>
      <c r="Q238" s="2" t="s">
        <v>45</v>
      </c>
      <c r="R238" s="2">
        <v>6950</v>
      </c>
    </row>
    <row r="239" spans="1:18" x14ac:dyDescent="0.25">
      <c r="A239" s="1">
        <v>45456</v>
      </c>
      <c r="B239" s="2" t="s">
        <v>26</v>
      </c>
      <c r="C239" s="2" t="s">
        <v>41</v>
      </c>
      <c r="D239">
        <v>5</v>
      </c>
      <c r="E239">
        <v>556</v>
      </c>
      <c r="F239" s="2" t="s">
        <v>46</v>
      </c>
      <c r="G239" s="2" t="s">
        <v>29</v>
      </c>
      <c r="H239">
        <v>0.05</v>
      </c>
      <c r="I239" s="2" t="s">
        <v>52</v>
      </c>
      <c r="J239" s="2" t="s">
        <v>53</v>
      </c>
      <c r="K239">
        <v>0</v>
      </c>
      <c r="L239" s="2" t="s">
        <v>523</v>
      </c>
      <c r="M239" s="2" t="s">
        <v>524</v>
      </c>
      <c r="N239">
        <v>29.4</v>
      </c>
      <c r="O239" s="1">
        <v>45456</v>
      </c>
      <c r="P239" s="1">
        <v>45463</v>
      </c>
      <c r="Q239" s="2" t="s">
        <v>34</v>
      </c>
      <c r="R239" s="2">
        <v>2641</v>
      </c>
    </row>
    <row r="240" spans="1:18" x14ac:dyDescent="0.25">
      <c r="A240" s="1">
        <v>45258</v>
      </c>
      <c r="B240" s="2" t="s">
        <v>35</v>
      </c>
      <c r="C240" s="2" t="s">
        <v>41</v>
      </c>
      <c r="D240">
        <v>18</v>
      </c>
      <c r="E240">
        <v>174</v>
      </c>
      <c r="F240" s="2" t="s">
        <v>19</v>
      </c>
      <c r="G240" s="2" t="s">
        <v>20</v>
      </c>
      <c r="H240">
        <v>0.1</v>
      </c>
      <c r="I240" s="2" t="s">
        <v>42</v>
      </c>
      <c r="J240" s="2" t="s">
        <v>22</v>
      </c>
      <c r="K240">
        <v>0</v>
      </c>
      <c r="L240" s="2" t="s">
        <v>525</v>
      </c>
      <c r="M240" s="2" t="s">
        <v>526</v>
      </c>
      <c r="N240">
        <v>32.19</v>
      </c>
      <c r="O240" s="1">
        <v>45258</v>
      </c>
      <c r="P240" s="1">
        <v>45263</v>
      </c>
      <c r="Q240" s="2" t="s">
        <v>39</v>
      </c>
      <c r="R240" s="2">
        <v>2819</v>
      </c>
    </row>
    <row r="241" spans="1:18" x14ac:dyDescent="0.25">
      <c r="A241" s="1">
        <v>45607</v>
      </c>
      <c r="B241" s="2" t="s">
        <v>40</v>
      </c>
      <c r="C241" s="2" t="s">
        <v>36</v>
      </c>
      <c r="D241">
        <v>11</v>
      </c>
      <c r="E241">
        <v>286</v>
      </c>
      <c r="F241" s="2" t="s">
        <v>28</v>
      </c>
      <c r="G241" s="2" t="s">
        <v>29</v>
      </c>
      <c r="H241">
        <v>0.1</v>
      </c>
      <c r="I241" s="2" t="s">
        <v>62</v>
      </c>
      <c r="J241" s="2" t="s">
        <v>56</v>
      </c>
      <c r="K241">
        <v>1</v>
      </c>
      <c r="L241" s="2" t="s">
        <v>527</v>
      </c>
      <c r="M241" s="2" t="s">
        <v>528</v>
      </c>
      <c r="N241">
        <v>8.59</v>
      </c>
      <c r="O241" s="1">
        <v>45607</v>
      </c>
      <c r="P241" s="1">
        <v>45612</v>
      </c>
      <c r="Q241" s="2" t="s">
        <v>45</v>
      </c>
      <c r="R241" s="2">
        <v>2831</v>
      </c>
    </row>
    <row r="242" spans="1:18" x14ac:dyDescent="0.25">
      <c r="A242" s="1">
        <v>45600</v>
      </c>
      <c r="B242" s="2" t="s">
        <v>35</v>
      </c>
      <c r="C242" s="2" t="s">
        <v>36</v>
      </c>
      <c r="D242">
        <v>16</v>
      </c>
      <c r="E242">
        <v>41</v>
      </c>
      <c r="F242" s="2" t="s">
        <v>51</v>
      </c>
      <c r="G242" s="2" t="s">
        <v>29</v>
      </c>
      <c r="H242">
        <v>0</v>
      </c>
      <c r="I242" s="2" t="s">
        <v>30</v>
      </c>
      <c r="J242" s="2" t="s">
        <v>53</v>
      </c>
      <c r="K242">
        <v>0</v>
      </c>
      <c r="L242" s="2" t="s">
        <v>529</v>
      </c>
      <c r="M242" s="2" t="s">
        <v>530</v>
      </c>
      <c r="N242">
        <v>24.72</v>
      </c>
      <c r="O242" s="1">
        <v>45600</v>
      </c>
      <c r="P242" s="1">
        <v>45604</v>
      </c>
      <c r="Q242" s="2" t="s">
        <v>39</v>
      </c>
      <c r="R242" s="2">
        <v>656</v>
      </c>
    </row>
    <row r="243" spans="1:18" x14ac:dyDescent="0.25">
      <c r="A243" s="1">
        <v>44927</v>
      </c>
      <c r="B243" s="2" t="s">
        <v>40</v>
      </c>
      <c r="C243" s="2" t="s">
        <v>41</v>
      </c>
      <c r="D243">
        <v>11</v>
      </c>
      <c r="E243">
        <v>468</v>
      </c>
      <c r="F243" s="2" t="s">
        <v>51</v>
      </c>
      <c r="G243" s="2" t="s">
        <v>29</v>
      </c>
      <c r="H243">
        <v>0</v>
      </c>
      <c r="I243" s="2" t="s">
        <v>47</v>
      </c>
      <c r="J243" s="2" t="s">
        <v>56</v>
      </c>
      <c r="K243">
        <v>0</v>
      </c>
      <c r="L243" s="2" t="s">
        <v>531</v>
      </c>
      <c r="M243" s="2" t="s">
        <v>532</v>
      </c>
      <c r="N243">
        <v>19.920000000000002</v>
      </c>
      <c r="O243" s="1">
        <v>44927</v>
      </c>
      <c r="P243" s="1">
        <v>44937</v>
      </c>
      <c r="Q243" s="2" t="s">
        <v>45</v>
      </c>
      <c r="R243" s="2">
        <v>5148</v>
      </c>
    </row>
    <row r="244" spans="1:18" x14ac:dyDescent="0.25">
      <c r="A244" s="1">
        <v>45675</v>
      </c>
      <c r="B244" s="2" t="s">
        <v>35</v>
      </c>
      <c r="C244" s="2" t="s">
        <v>75</v>
      </c>
      <c r="D244">
        <v>1</v>
      </c>
      <c r="E244">
        <v>412</v>
      </c>
      <c r="F244" s="2" t="s">
        <v>46</v>
      </c>
      <c r="G244" s="2" t="s">
        <v>29</v>
      </c>
      <c r="H244">
        <v>0.1</v>
      </c>
      <c r="I244" s="2" t="s">
        <v>21</v>
      </c>
      <c r="J244" s="2" t="s">
        <v>31</v>
      </c>
      <c r="K244">
        <v>0</v>
      </c>
      <c r="L244" s="2" t="s">
        <v>533</v>
      </c>
      <c r="M244" s="2" t="s">
        <v>534</v>
      </c>
      <c r="N244">
        <v>7.46</v>
      </c>
      <c r="O244" s="1">
        <v>45675</v>
      </c>
      <c r="P244" s="1">
        <v>45677</v>
      </c>
      <c r="Q244" s="2" t="s">
        <v>39</v>
      </c>
      <c r="R244" s="2">
        <v>371</v>
      </c>
    </row>
    <row r="245" spans="1:18" x14ac:dyDescent="0.25">
      <c r="A245" s="1">
        <v>45048</v>
      </c>
      <c r="B245" s="2" t="s">
        <v>40</v>
      </c>
      <c r="C245" s="2" t="s">
        <v>126</v>
      </c>
      <c r="D245">
        <v>13</v>
      </c>
      <c r="E245">
        <v>134</v>
      </c>
      <c r="F245" s="2" t="s">
        <v>28</v>
      </c>
      <c r="G245" s="2" t="s">
        <v>20</v>
      </c>
      <c r="H245">
        <v>0.05</v>
      </c>
      <c r="I245" s="2" t="s">
        <v>21</v>
      </c>
      <c r="J245" s="2" t="s">
        <v>53</v>
      </c>
      <c r="K245">
        <v>0</v>
      </c>
      <c r="L245" s="2" t="s">
        <v>535</v>
      </c>
      <c r="M245" s="2" t="s">
        <v>536</v>
      </c>
      <c r="N245">
        <v>9.6</v>
      </c>
      <c r="O245" s="1">
        <v>45048</v>
      </c>
      <c r="P245" s="1">
        <v>45056</v>
      </c>
      <c r="Q245" s="2" t="s">
        <v>45</v>
      </c>
      <c r="R245" s="2">
        <v>1655</v>
      </c>
    </row>
    <row r="246" spans="1:18" x14ac:dyDescent="0.25">
      <c r="A246" s="1">
        <v>45804</v>
      </c>
      <c r="B246" s="2" t="s">
        <v>65</v>
      </c>
      <c r="C246" s="2" t="s">
        <v>126</v>
      </c>
      <c r="D246">
        <v>10</v>
      </c>
      <c r="E246">
        <v>351</v>
      </c>
      <c r="F246" s="2" t="s">
        <v>19</v>
      </c>
      <c r="G246" s="2" t="s">
        <v>29</v>
      </c>
      <c r="H246">
        <v>0.15</v>
      </c>
      <c r="I246" s="2" t="s">
        <v>42</v>
      </c>
      <c r="J246" s="2" t="s">
        <v>22</v>
      </c>
      <c r="K246">
        <v>0</v>
      </c>
      <c r="L246" s="2" t="s">
        <v>537</v>
      </c>
      <c r="M246" s="2" t="s">
        <v>538</v>
      </c>
      <c r="N246">
        <v>42.74</v>
      </c>
      <c r="O246" s="1">
        <v>45804</v>
      </c>
      <c r="P246" s="1">
        <v>45810</v>
      </c>
      <c r="Q246" s="2" t="s">
        <v>68</v>
      </c>
      <c r="R246" s="2">
        <v>2984</v>
      </c>
    </row>
    <row r="247" spans="1:18" x14ac:dyDescent="0.25">
      <c r="A247" s="1">
        <v>45653</v>
      </c>
      <c r="B247" s="2" t="s">
        <v>26</v>
      </c>
      <c r="C247" s="2" t="s">
        <v>50</v>
      </c>
      <c r="D247">
        <v>14</v>
      </c>
      <c r="E247">
        <v>551</v>
      </c>
      <c r="F247" s="2" t="s">
        <v>46</v>
      </c>
      <c r="G247" s="2" t="s">
        <v>20</v>
      </c>
      <c r="H247">
        <v>0.1</v>
      </c>
      <c r="I247" s="2" t="s">
        <v>52</v>
      </c>
      <c r="J247" s="2" t="s">
        <v>22</v>
      </c>
      <c r="K247">
        <v>1</v>
      </c>
      <c r="L247" s="2" t="s">
        <v>539</v>
      </c>
      <c r="M247" s="2" t="s">
        <v>540</v>
      </c>
      <c r="N247">
        <v>12.35</v>
      </c>
      <c r="O247" s="1">
        <v>45653</v>
      </c>
      <c r="P247" s="1">
        <v>45662</v>
      </c>
      <c r="Q247" s="2" t="s">
        <v>34</v>
      </c>
      <c r="R247" s="2">
        <v>6943</v>
      </c>
    </row>
    <row r="248" spans="1:18" x14ac:dyDescent="0.25">
      <c r="A248" s="1">
        <v>45734</v>
      </c>
      <c r="B248" s="2" t="s">
        <v>65</v>
      </c>
      <c r="C248" s="2" t="s">
        <v>41</v>
      </c>
      <c r="D248">
        <v>2</v>
      </c>
      <c r="E248">
        <v>131</v>
      </c>
      <c r="F248" s="2" t="s">
        <v>19</v>
      </c>
      <c r="G248" s="2" t="s">
        <v>29</v>
      </c>
      <c r="H248">
        <v>0.1</v>
      </c>
      <c r="I248" s="2" t="s">
        <v>21</v>
      </c>
      <c r="J248" s="2" t="s">
        <v>56</v>
      </c>
      <c r="K248">
        <v>0</v>
      </c>
      <c r="L248" s="2" t="s">
        <v>541</v>
      </c>
      <c r="M248" s="2" t="s">
        <v>542</v>
      </c>
      <c r="N248">
        <v>14.74</v>
      </c>
      <c r="O248" s="1">
        <v>45734</v>
      </c>
      <c r="P248" s="1">
        <v>45740</v>
      </c>
      <c r="Q248" s="2" t="s">
        <v>68</v>
      </c>
      <c r="R248" s="2">
        <v>236</v>
      </c>
    </row>
    <row r="249" spans="1:18" x14ac:dyDescent="0.25">
      <c r="A249" s="1">
        <v>45375</v>
      </c>
      <c r="B249" s="2" t="s">
        <v>17</v>
      </c>
      <c r="C249" s="2" t="s">
        <v>18</v>
      </c>
      <c r="D249">
        <v>6</v>
      </c>
      <c r="E249">
        <v>595</v>
      </c>
      <c r="F249" s="2" t="s">
        <v>46</v>
      </c>
      <c r="G249" s="2" t="s">
        <v>20</v>
      </c>
      <c r="H249">
        <v>0</v>
      </c>
      <c r="I249" s="2" t="s">
        <v>52</v>
      </c>
      <c r="J249" s="2" t="s">
        <v>59</v>
      </c>
      <c r="K249">
        <v>1</v>
      </c>
      <c r="L249" s="2" t="s">
        <v>543</v>
      </c>
      <c r="M249" s="2" t="s">
        <v>158</v>
      </c>
      <c r="N249">
        <v>28.92</v>
      </c>
      <c r="O249" s="1">
        <v>45375</v>
      </c>
      <c r="P249" s="1">
        <v>45382</v>
      </c>
      <c r="Q249" s="2" t="s">
        <v>25</v>
      </c>
      <c r="R249" s="2">
        <v>3570</v>
      </c>
    </row>
    <row r="250" spans="1:18" x14ac:dyDescent="0.25">
      <c r="A250" s="1">
        <v>45652</v>
      </c>
      <c r="B250" s="2" t="s">
        <v>17</v>
      </c>
      <c r="C250" s="2" t="s">
        <v>18</v>
      </c>
      <c r="D250">
        <v>6</v>
      </c>
      <c r="E250">
        <v>517</v>
      </c>
      <c r="F250" s="2" t="s">
        <v>46</v>
      </c>
      <c r="G250" s="2" t="s">
        <v>20</v>
      </c>
      <c r="H250">
        <v>0.05</v>
      </c>
      <c r="I250" s="2" t="s">
        <v>62</v>
      </c>
      <c r="J250" s="2" t="s">
        <v>22</v>
      </c>
      <c r="K250">
        <v>1</v>
      </c>
      <c r="L250" s="2" t="s">
        <v>544</v>
      </c>
      <c r="M250" s="2" t="s">
        <v>340</v>
      </c>
      <c r="N250">
        <v>5.15</v>
      </c>
      <c r="O250" s="1">
        <v>45652</v>
      </c>
      <c r="P250" s="1">
        <v>45660</v>
      </c>
      <c r="Q250" s="2" t="s">
        <v>25</v>
      </c>
      <c r="R250" s="2">
        <v>2947</v>
      </c>
    </row>
    <row r="251" spans="1:18" x14ac:dyDescent="0.25">
      <c r="A251" s="1">
        <v>44937</v>
      </c>
      <c r="B251" s="2" t="s">
        <v>35</v>
      </c>
      <c r="C251" s="2" t="s">
        <v>36</v>
      </c>
      <c r="D251">
        <v>6</v>
      </c>
      <c r="E251">
        <v>203</v>
      </c>
      <c r="F251" s="2" t="s">
        <v>51</v>
      </c>
      <c r="G251" s="2" t="s">
        <v>29</v>
      </c>
      <c r="H251">
        <v>0.05</v>
      </c>
      <c r="I251" s="2" t="s">
        <v>21</v>
      </c>
      <c r="J251" s="2" t="s">
        <v>31</v>
      </c>
      <c r="K251">
        <v>0</v>
      </c>
      <c r="L251" s="2" t="s">
        <v>545</v>
      </c>
      <c r="M251" s="2" t="s">
        <v>546</v>
      </c>
      <c r="N251">
        <v>24.39</v>
      </c>
      <c r="O251" s="1">
        <v>44937</v>
      </c>
      <c r="P251" s="1">
        <v>44940</v>
      </c>
      <c r="Q251" s="2" t="s">
        <v>39</v>
      </c>
      <c r="R251" s="2">
        <v>1157</v>
      </c>
    </row>
    <row r="252" spans="1:18" x14ac:dyDescent="0.25">
      <c r="A252" s="1">
        <v>45809</v>
      </c>
      <c r="B252" s="2" t="s">
        <v>26</v>
      </c>
      <c r="C252" s="2" t="s">
        <v>18</v>
      </c>
      <c r="D252">
        <v>13</v>
      </c>
      <c r="E252">
        <v>306</v>
      </c>
      <c r="F252" s="2" t="s">
        <v>28</v>
      </c>
      <c r="G252" s="2" t="s">
        <v>20</v>
      </c>
      <c r="H252">
        <v>0.15</v>
      </c>
      <c r="I252" s="2" t="s">
        <v>42</v>
      </c>
      <c r="J252" s="2" t="s">
        <v>59</v>
      </c>
      <c r="K252">
        <v>0</v>
      </c>
      <c r="L252" s="2" t="s">
        <v>547</v>
      </c>
      <c r="M252" s="2" t="s">
        <v>548</v>
      </c>
      <c r="N252">
        <v>25.16</v>
      </c>
      <c r="O252" s="1">
        <v>45809</v>
      </c>
      <c r="P252" s="1">
        <v>45818</v>
      </c>
      <c r="Q252" s="2" t="s">
        <v>34</v>
      </c>
      <c r="R252" s="2">
        <v>3381</v>
      </c>
    </row>
    <row r="253" spans="1:18" x14ac:dyDescent="0.25">
      <c r="A253" s="1">
        <v>45561</v>
      </c>
      <c r="B253" s="2" t="s">
        <v>17</v>
      </c>
      <c r="C253" s="2" t="s">
        <v>36</v>
      </c>
      <c r="D253">
        <v>11</v>
      </c>
      <c r="E253">
        <v>473</v>
      </c>
      <c r="F253" s="2" t="s">
        <v>51</v>
      </c>
      <c r="G253" s="2" t="s">
        <v>29</v>
      </c>
      <c r="H253">
        <v>0.15</v>
      </c>
      <c r="I253" s="2" t="s">
        <v>47</v>
      </c>
      <c r="J253" s="2" t="s">
        <v>53</v>
      </c>
      <c r="K253">
        <v>1</v>
      </c>
      <c r="L253" s="2" t="s">
        <v>549</v>
      </c>
      <c r="M253" s="2" t="s">
        <v>550</v>
      </c>
      <c r="N253">
        <v>16.8</v>
      </c>
      <c r="O253" s="1">
        <v>45561</v>
      </c>
      <c r="P253" s="1">
        <v>45566</v>
      </c>
      <c r="Q253" s="2" t="s">
        <v>25</v>
      </c>
      <c r="R253" s="2">
        <v>4423</v>
      </c>
    </row>
    <row r="254" spans="1:18" x14ac:dyDescent="0.25">
      <c r="A254" s="1">
        <v>45514</v>
      </c>
      <c r="B254" s="2" t="s">
        <v>17</v>
      </c>
      <c r="C254" s="2" t="s">
        <v>27</v>
      </c>
      <c r="D254">
        <v>20</v>
      </c>
      <c r="E254">
        <v>337</v>
      </c>
      <c r="F254" s="2" t="s">
        <v>46</v>
      </c>
      <c r="G254" s="2" t="s">
        <v>29</v>
      </c>
      <c r="H254">
        <v>0.1</v>
      </c>
      <c r="I254" s="2" t="s">
        <v>52</v>
      </c>
      <c r="J254" s="2" t="s">
        <v>31</v>
      </c>
      <c r="K254">
        <v>0</v>
      </c>
      <c r="L254" s="2" t="s">
        <v>551</v>
      </c>
      <c r="M254" s="2" t="s">
        <v>552</v>
      </c>
      <c r="N254">
        <v>43.17</v>
      </c>
      <c r="O254" s="1">
        <v>45514</v>
      </c>
      <c r="P254" s="1">
        <v>45521</v>
      </c>
      <c r="Q254" s="2" t="s">
        <v>25</v>
      </c>
      <c r="R254" s="2">
        <v>6066</v>
      </c>
    </row>
    <row r="255" spans="1:18" x14ac:dyDescent="0.25">
      <c r="A255" s="1">
        <v>45718</v>
      </c>
      <c r="B255" s="2" t="s">
        <v>26</v>
      </c>
      <c r="C255" s="2" t="s">
        <v>27</v>
      </c>
      <c r="D255">
        <v>12</v>
      </c>
      <c r="E255">
        <v>34</v>
      </c>
      <c r="F255" s="2" t="s">
        <v>46</v>
      </c>
      <c r="G255" s="2" t="s">
        <v>29</v>
      </c>
      <c r="H255">
        <v>0.1</v>
      </c>
      <c r="I255" s="2" t="s">
        <v>42</v>
      </c>
      <c r="J255" s="2" t="s">
        <v>59</v>
      </c>
      <c r="K255">
        <v>0</v>
      </c>
      <c r="L255" s="2" t="s">
        <v>553</v>
      </c>
      <c r="M255" s="2" t="s">
        <v>554</v>
      </c>
      <c r="N255">
        <v>17.64</v>
      </c>
      <c r="O255" s="1">
        <v>45718</v>
      </c>
      <c r="P255" s="1">
        <v>45726</v>
      </c>
      <c r="Q255" s="2" t="s">
        <v>34</v>
      </c>
      <c r="R255" s="2">
        <v>367</v>
      </c>
    </row>
    <row r="256" spans="1:18" x14ac:dyDescent="0.25">
      <c r="A256" s="1">
        <v>44978</v>
      </c>
      <c r="B256" s="2" t="s">
        <v>17</v>
      </c>
      <c r="C256" s="2" t="s">
        <v>75</v>
      </c>
      <c r="D256">
        <v>4</v>
      </c>
      <c r="E256">
        <v>477</v>
      </c>
      <c r="F256" s="2" t="s">
        <v>19</v>
      </c>
      <c r="G256" s="2" t="s">
        <v>20</v>
      </c>
      <c r="H256">
        <v>0</v>
      </c>
      <c r="I256" s="2" t="s">
        <v>47</v>
      </c>
      <c r="J256" s="2" t="s">
        <v>53</v>
      </c>
      <c r="K256">
        <v>0</v>
      </c>
      <c r="L256" s="2" t="s">
        <v>555</v>
      </c>
      <c r="M256" s="2" t="s">
        <v>556</v>
      </c>
      <c r="N256">
        <v>45.54</v>
      </c>
      <c r="O256" s="1">
        <v>44978</v>
      </c>
      <c r="P256" s="1">
        <v>44987</v>
      </c>
      <c r="Q256" s="2" t="s">
        <v>25</v>
      </c>
      <c r="R256" s="2">
        <v>1908</v>
      </c>
    </row>
    <row r="257" spans="1:18" x14ac:dyDescent="0.25">
      <c r="A257" s="1">
        <v>45616</v>
      </c>
      <c r="B257" s="2" t="s">
        <v>17</v>
      </c>
      <c r="C257" s="2" t="s">
        <v>18</v>
      </c>
      <c r="D257">
        <v>6</v>
      </c>
      <c r="E257">
        <v>563</v>
      </c>
      <c r="F257" s="2" t="s">
        <v>46</v>
      </c>
      <c r="G257" s="2" t="s">
        <v>29</v>
      </c>
      <c r="H257">
        <v>0</v>
      </c>
      <c r="I257" s="2" t="s">
        <v>30</v>
      </c>
      <c r="J257" s="2" t="s">
        <v>53</v>
      </c>
      <c r="K257">
        <v>0</v>
      </c>
      <c r="L257" s="2" t="s">
        <v>557</v>
      </c>
      <c r="M257" s="2" t="s">
        <v>558</v>
      </c>
      <c r="N257">
        <v>43.73</v>
      </c>
      <c r="O257" s="1">
        <v>45616</v>
      </c>
      <c r="P257" s="1">
        <v>45623</v>
      </c>
      <c r="Q257" s="2" t="s">
        <v>25</v>
      </c>
      <c r="R257" s="2">
        <v>3378</v>
      </c>
    </row>
    <row r="258" spans="1:18" x14ac:dyDescent="0.25">
      <c r="A258" s="1">
        <v>45164</v>
      </c>
      <c r="B258" s="2" t="s">
        <v>17</v>
      </c>
      <c r="C258" s="2" t="s">
        <v>41</v>
      </c>
      <c r="D258">
        <v>20</v>
      </c>
      <c r="E258">
        <v>18</v>
      </c>
      <c r="F258" s="2" t="s">
        <v>19</v>
      </c>
      <c r="G258" s="2" t="s">
        <v>29</v>
      </c>
      <c r="H258">
        <v>0</v>
      </c>
      <c r="I258" s="2" t="s">
        <v>52</v>
      </c>
      <c r="J258" s="2" t="s">
        <v>56</v>
      </c>
      <c r="K258">
        <v>1</v>
      </c>
      <c r="L258" s="2" t="s">
        <v>559</v>
      </c>
      <c r="M258" s="2" t="s">
        <v>560</v>
      </c>
      <c r="N258">
        <v>35.369999999999997</v>
      </c>
      <c r="O258" s="1">
        <v>45164</v>
      </c>
      <c r="P258" s="1">
        <v>45167</v>
      </c>
      <c r="Q258" s="2" t="s">
        <v>25</v>
      </c>
      <c r="R258" s="2">
        <v>360</v>
      </c>
    </row>
    <row r="259" spans="1:18" x14ac:dyDescent="0.25">
      <c r="A259" s="1">
        <v>45292</v>
      </c>
      <c r="B259" s="2" t="s">
        <v>26</v>
      </c>
      <c r="C259" s="2" t="s">
        <v>50</v>
      </c>
      <c r="D259">
        <v>7</v>
      </c>
      <c r="E259">
        <v>209</v>
      </c>
      <c r="F259" s="2" t="s">
        <v>19</v>
      </c>
      <c r="G259" s="2" t="s">
        <v>29</v>
      </c>
      <c r="H259">
        <v>0</v>
      </c>
      <c r="I259" s="2" t="s">
        <v>42</v>
      </c>
      <c r="J259" s="2" t="s">
        <v>59</v>
      </c>
      <c r="K259">
        <v>0</v>
      </c>
      <c r="L259" s="2" t="s">
        <v>561</v>
      </c>
      <c r="M259" s="2" t="s">
        <v>562</v>
      </c>
      <c r="N259">
        <v>20.64</v>
      </c>
      <c r="O259" s="1">
        <v>45292</v>
      </c>
      <c r="P259" s="1">
        <v>45299</v>
      </c>
      <c r="Q259" s="2" t="s">
        <v>34</v>
      </c>
      <c r="R259" s="2">
        <v>1463</v>
      </c>
    </row>
    <row r="260" spans="1:18" x14ac:dyDescent="0.25">
      <c r="A260" s="1">
        <v>45620</v>
      </c>
      <c r="B260" s="2" t="s">
        <v>26</v>
      </c>
      <c r="C260" s="2" t="s">
        <v>126</v>
      </c>
      <c r="D260">
        <v>12</v>
      </c>
      <c r="E260">
        <v>330</v>
      </c>
      <c r="F260" s="2" t="s">
        <v>51</v>
      </c>
      <c r="G260" s="2" t="s">
        <v>29</v>
      </c>
      <c r="H260">
        <v>0.05</v>
      </c>
      <c r="I260" s="2" t="s">
        <v>52</v>
      </c>
      <c r="J260" s="2" t="s">
        <v>59</v>
      </c>
      <c r="K260">
        <v>0</v>
      </c>
      <c r="L260" s="2" t="s">
        <v>563</v>
      </c>
      <c r="M260" s="2" t="s">
        <v>564</v>
      </c>
      <c r="N260">
        <v>48.33</v>
      </c>
      <c r="O260" s="1">
        <v>45620</v>
      </c>
      <c r="P260" s="1">
        <v>45626</v>
      </c>
      <c r="Q260" s="2" t="s">
        <v>34</v>
      </c>
      <c r="R260" s="2">
        <v>3762</v>
      </c>
    </row>
    <row r="261" spans="1:18" x14ac:dyDescent="0.25">
      <c r="A261" s="1">
        <v>45529</v>
      </c>
      <c r="B261" s="2" t="s">
        <v>26</v>
      </c>
      <c r="C261" s="2" t="s">
        <v>75</v>
      </c>
      <c r="D261">
        <v>7</v>
      </c>
      <c r="E261">
        <v>50</v>
      </c>
      <c r="F261" s="2" t="s">
        <v>46</v>
      </c>
      <c r="G261" s="2" t="s">
        <v>29</v>
      </c>
      <c r="H261">
        <v>0.15</v>
      </c>
      <c r="I261" s="2" t="s">
        <v>52</v>
      </c>
      <c r="J261" s="2" t="s">
        <v>59</v>
      </c>
      <c r="K261">
        <v>0</v>
      </c>
      <c r="L261" s="2" t="s">
        <v>565</v>
      </c>
      <c r="M261" s="2" t="s">
        <v>566</v>
      </c>
      <c r="N261">
        <v>17.12</v>
      </c>
      <c r="O261" s="1">
        <v>45529</v>
      </c>
      <c r="P261" s="1">
        <v>45536</v>
      </c>
      <c r="Q261" s="2" t="s">
        <v>34</v>
      </c>
      <c r="R261" s="2">
        <v>298</v>
      </c>
    </row>
    <row r="262" spans="1:18" x14ac:dyDescent="0.25">
      <c r="A262" s="1">
        <v>45087</v>
      </c>
      <c r="B262" s="2" t="s">
        <v>26</v>
      </c>
      <c r="C262" s="2" t="s">
        <v>18</v>
      </c>
      <c r="D262">
        <v>2</v>
      </c>
      <c r="E262">
        <v>375</v>
      </c>
      <c r="F262" s="2" t="s">
        <v>46</v>
      </c>
      <c r="G262" s="2" t="s">
        <v>20</v>
      </c>
      <c r="H262">
        <v>0.15</v>
      </c>
      <c r="I262" s="2" t="s">
        <v>47</v>
      </c>
      <c r="J262" s="2" t="s">
        <v>22</v>
      </c>
      <c r="K262">
        <v>0</v>
      </c>
      <c r="L262" s="2" t="s">
        <v>567</v>
      </c>
      <c r="M262" s="2" t="s">
        <v>568</v>
      </c>
      <c r="N262">
        <v>34.64</v>
      </c>
      <c r="O262" s="1">
        <v>45087</v>
      </c>
      <c r="P262" s="1">
        <v>45095</v>
      </c>
      <c r="Q262" s="2" t="s">
        <v>34</v>
      </c>
      <c r="R262" s="2">
        <v>638</v>
      </c>
    </row>
    <row r="263" spans="1:18" x14ac:dyDescent="0.25">
      <c r="A263" s="1">
        <v>45644</v>
      </c>
      <c r="B263" s="2" t="s">
        <v>35</v>
      </c>
      <c r="C263" s="2" t="s">
        <v>126</v>
      </c>
      <c r="D263">
        <v>7</v>
      </c>
      <c r="E263">
        <v>468</v>
      </c>
      <c r="F263" s="2" t="s">
        <v>28</v>
      </c>
      <c r="G263" s="2" t="s">
        <v>29</v>
      </c>
      <c r="H263">
        <v>0.1</v>
      </c>
      <c r="I263" s="2" t="s">
        <v>47</v>
      </c>
      <c r="J263" s="2" t="s">
        <v>56</v>
      </c>
      <c r="K263">
        <v>0</v>
      </c>
      <c r="L263" s="2" t="s">
        <v>569</v>
      </c>
      <c r="M263" s="2" t="s">
        <v>570</v>
      </c>
      <c r="N263">
        <v>15.64</v>
      </c>
      <c r="O263" s="1">
        <v>45644</v>
      </c>
      <c r="P263" s="1">
        <v>45652</v>
      </c>
      <c r="Q263" s="2" t="s">
        <v>39</v>
      </c>
      <c r="R263" s="2">
        <v>2948</v>
      </c>
    </row>
    <row r="264" spans="1:18" x14ac:dyDescent="0.25">
      <c r="A264" s="1">
        <v>45166</v>
      </c>
      <c r="B264" s="2" t="s">
        <v>17</v>
      </c>
      <c r="C264" s="2" t="s">
        <v>41</v>
      </c>
      <c r="D264">
        <v>3</v>
      </c>
      <c r="E264">
        <v>376</v>
      </c>
      <c r="F264" s="2" t="s">
        <v>28</v>
      </c>
      <c r="G264" s="2" t="s">
        <v>29</v>
      </c>
      <c r="H264">
        <v>0.05</v>
      </c>
      <c r="I264" s="2" t="s">
        <v>42</v>
      </c>
      <c r="J264" s="2" t="s">
        <v>56</v>
      </c>
      <c r="K264">
        <v>1</v>
      </c>
      <c r="L264" s="2" t="s">
        <v>571</v>
      </c>
      <c r="M264" s="2" t="s">
        <v>572</v>
      </c>
      <c r="N264">
        <v>6.15</v>
      </c>
      <c r="O264" s="1">
        <v>45166</v>
      </c>
      <c r="P264" s="1">
        <v>45170</v>
      </c>
      <c r="Q264" s="2" t="s">
        <v>25</v>
      </c>
      <c r="R264" s="2">
        <v>1072</v>
      </c>
    </row>
    <row r="265" spans="1:18" x14ac:dyDescent="0.25">
      <c r="A265" s="1">
        <v>44948</v>
      </c>
      <c r="B265" s="2" t="s">
        <v>65</v>
      </c>
      <c r="C265" s="2" t="s">
        <v>27</v>
      </c>
      <c r="D265">
        <v>13</v>
      </c>
      <c r="E265">
        <v>140</v>
      </c>
      <c r="F265" s="2" t="s">
        <v>28</v>
      </c>
      <c r="G265" s="2" t="s">
        <v>29</v>
      </c>
      <c r="H265">
        <v>0</v>
      </c>
      <c r="I265" s="2" t="s">
        <v>21</v>
      </c>
      <c r="J265" s="2" t="s">
        <v>56</v>
      </c>
      <c r="K265">
        <v>0</v>
      </c>
      <c r="L265" s="2" t="s">
        <v>573</v>
      </c>
      <c r="M265" s="2" t="s">
        <v>574</v>
      </c>
      <c r="N265">
        <v>17.690000000000001</v>
      </c>
      <c r="O265" s="1">
        <v>44948</v>
      </c>
      <c r="P265" s="1">
        <v>44957</v>
      </c>
      <c r="Q265" s="2" t="s">
        <v>68</v>
      </c>
      <c r="R265" s="2">
        <v>1820</v>
      </c>
    </row>
    <row r="266" spans="1:18" x14ac:dyDescent="0.25">
      <c r="A266" s="1">
        <v>44964</v>
      </c>
      <c r="B266" s="2" t="s">
        <v>35</v>
      </c>
      <c r="C266" s="2" t="s">
        <v>50</v>
      </c>
      <c r="D266">
        <v>3</v>
      </c>
      <c r="E266">
        <v>506</v>
      </c>
      <c r="F266" s="2" t="s">
        <v>19</v>
      </c>
      <c r="G266" s="2" t="s">
        <v>29</v>
      </c>
      <c r="H266">
        <v>0.15</v>
      </c>
      <c r="I266" s="2" t="s">
        <v>42</v>
      </c>
      <c r="J266" s="2" t="s">
        <v>56</v>
      </c>
      <c r="K266">
        <v>0</v>
      </c>
      <c r="L266" s="2" t="s">
        <v>575</v>
      </c>
      <c r="M266" s="2" t="s">
        <v>576</v>
      </c>
      <c r="N266">
        <v>25.71</v>
      </c>
      <c r="O266" s="1">
        <v>44964</v>
      </c>
      <c r="P266" s="1">
        <v>44971</v>
      </c>
      <c r="Q266" s="2" t="s">
        <v>39</v>
      </c>
      <c r="R266" s="2">
        <v>1290</v>
      </c>
    </row>
    <row r="267" spans="1:18" x14ac:dyDescent="0.25">
      <c r="A267" s="1">
        <v>45252</v>
      </c>
      <c r="B267" s="2" t="s">
        <v>26</v>
      </c>
      <c r="C267" s="2" t="s">
        <v>50</v>
      </c>
      <c r="D267">
        <v>8</v>
      </c>
      <c r="E267">
        <v>139</v>
      </c>
      <c r="F267" s="2" t="s">
        <v>28</v>
      </c>
      <c r="G267" s="2" t="s">
        <v>20</v>
      </c>
      <c r="H267">
        <v>0.05</v>
      </c>
      <c r="I267" s="2" t="s">
        <v>42</v>
      </c>
      <c r="J267" s="2" t="s">
        <v>22</v>
      </c>
      <c r="K267">
        <v>1</v>
      </c>
      <c r="L267" s="2" t="s">
        <v>577</v>
      </c>
      <c r="M267" s="2" t="s">
        <v>578</v>
      </c>
      <c r="N267">
        <v>48.51</v>
      </c>
      <c r="O267" s="1">
        <v>45252</v>
      </c>
      <c r="P267" s="1">
        <v>45259</v>
      </c>
      <c r="Q267" s="2" t="s">
        <v>34</v>
      </c>
      <c r="R267" s="2">
        <v>1056</v>
      </c>
    </row>
    <row r="268" spans="1:18" x14ac:dyDescent="0.25">
      <c r="A268" s="1">
        <v>44951</v>
      </c>
      <c r="B268" s="2" t="s">
        <v>65</v>
      </c>
      <c r="C268" s="2" t="s">
        <v>36</v>
      </c>
      <c r="D268">
        <v>6</v>
      </c>
      <c r="E268">
        <v>135</v>
      </c>
      <c r="F268" s="2" t="s">
        <v>46</v>
      </c>
      <c r="G268" s="2" t="s">
        <v>29</v>
      </c>
      <c r="H268">
        <v>0.15</v>
      </c>
      <c r="I268" s="2" t="s">
        <v>47</v>
      </c>
      <c r="J268" s="2" t="s">
        <v>56</v>
      </c>
      <c r="K268">
        <v>1</v>
      </c>
      <c r="L268" s="2" t="s">
        <v>579</v>
      </c>
      <c r="M268" s="2" t="s">
        <v>580</v>
      </c>
      <c r="N268">
        <v>33.5</v>
      </c>
      <c r="O268" s="1">
        <v>44951</v>
      </c>
      <c r="P268" s="1">
        <v>44955</v>
      </c>
      <c r="Q268" s="2" t="s">
        <v>68</v>
      </c>
      <c r="R268" s="2">
        <v>688</v>
      </c>
    </row>
    <row r="269" spans="1:18" x14ac:dyDescent="0.25">
      <c r="A269" s="1">
        <v>45721</v>
      </c>
      <c r="B269" s="2" t="s">
        <v>26</v>
      </c>
      <c r="C269" s="2" t="s">
        <v>75</v>
      </c>
      <c r="D269">
        <v>18</v>
      </c>
      <c r="E269">
        <v>376</v>
      </c>
      <c r="F269" s="2" t="s">
        <v>51</v>
      </c>
      <c r="G269" s="2" t="s">
        <v>20</v>
      </c>
      <c r="H269">
        <v>0.05</v>
      </c>
      <c r="I269" s="2" t="s">
        <v>52</v>
      </c>
      <c r="J269" s="2" t="s">
        <v>56</v>
      </c>
      <c r="K269">
        <v>0</v>
      </c>
      <c r="L269" s="2" t="s">
        <v>581</v>
      </c>
      <c r="M269" s="2" t="s">
        <v>582</v>
      </c>
      <c r="N269">
        <v>26.78</v>
      </c>
      <c r="O269" s="1">
        <v>45721</v>
      </c>
      <c r="P269" s="1">
        <v>45725</v>
      </c>
      <c r="Q269" s="2" t="s">
        <v>34</v>
      </c>
      <c r="R269" s="2">
        <v>6430</v>
      </c>
    </row>
    <row r="270" spans="1:18" x14ac:dyDescent="0.25">
      <c r="A270" s="1">
        <v>44959</v>
      </c>
      <c r="B270" s="2" t="s">
        <v>35</v>
      </c>
      <c r="C270" s="2" t="s">
        <v>126</v>
      </c>
      <c r="D270">
        <v>10</v>
      </c>
      <c r="E270">
        <v>538</v>
      </c>
      <c r="F270" s="2" t="s">
        <v>51</v>
      </c>
      <c r="G270" s="2" t="s">
        <v>29</v>
      </c>
      <c r="H270">
        <v>0.1</v>
      </c>
      <c r="I270" s="2" t="s">
        <v>62</v>
      </c>
      <c r="J270" s="2" t="s">
        <v>31</v>
      </c>
      <c r="K270">
        <v>1</v>
      </c>
      <c r="L270" s="2" t="s">
        <v>583</v>
      </c>
      <c r="M270" s="2" t="s">
        <v>584</v>
      </c>
      <c r="N270">
        <v>17.25</v>
      </c>
      <c r="O270" s="1">
        <v>44959</v>
      </c>
      <c r="P270" s="1">
        <v>44969</v>
      </c>
      <c r="Q270" s="2" t="s">
        <v>39</v>
      </c>
      <c r="R270" s="2">
        <v>4842</v>
      </c>
    </row>
    <row r="271" spans="1:18" x14ac:dyDescent="0.25">
      <c r="A271" s="1">
        <v>45070</v>
      </c>
      <c r="B271" s="2" t="s">
        <v>35</v>
      </c>
      <c r="C271" s="2" t="s">
        <v>75</v>
      </c>
      <c r="D271">
        <v>15</v>
      </c>
      <c r="E271">
        <v>505</v>
      </c>
      <c r="F271" s="2" t="s">
        <v>28</v>
      </c>
      <c r="G271" s="2" t="s">
        <v>20</v>
      </c>
      <c r="H271">
        <v>0.1</v>
      </c>
      <c r="I271" s="2" t="s">
        <v>30</v>
      </c>
      <c r="J271" s="2" t="s">
        <v>22</v>
      </c>
      <c r="K271">
        <v>0</v>
      </c>
      <c r="L271" s="2" t="s">
        <v>585</v>
      </c>
      <c r="M271" s="2" t="s">
        <v>586</v>
      </c>
      <c r="N271">
        <v>37.5</v>
      </c>
      <c r="O271" s="1">
        <v>45070</v>
      </c>
      <c r="P271" s="1">
        <v>45078</v>
      </c>
      <c r="Q271" s="2" t="s">
        <v>39</v>
      </c>
      <c r="R271" s="2">
        <v>6818</v>
      </c>
    </row>
    <row r="272" spans="1:18" x14ac:dyDescent="0.25">
      <c r="A272" s="1">
        <v>45442</v>
      </c>
      <c r="B272" s="2" t="s">
        <v>26</v>
      </c>
      <c r="C272" s="2" t="s">
        <v>126</v>
      </c>
      <c r="D272">
        <v>4</v>
      </c>
      <c r="E272">
        <v>312</v>
      </c>
      <c r="F272" s="2" t="s">
        <v>46</v>
      </c>
      <c r="G272" s="2" t="s">
        <v>20</v>
      </c>
      <c r="H272">
        <v>0.15</v>
      </c>
      <c r="I272" s="2" t="s">
        <v>52</v>
      </c>
      <c r="J272" s="2" t="s">
        <v>56</v>
      </c>
      <c r="K272">
        <v>1</v>
      </c>
      <c r="L272" s="2" t="s">
        <v>587</v>
      </c>
      <c r="M272" s="2" t="s">
        <v>130</v>
      </c>
      <c r="N272">
        <v>17.989999999999998</v>
      </c>
      <c r="O272" s="1">
        <v>45442</v>
      </c>
      <c r="P272" s="1">
        <v>45449</v>
      </c>
      <c r="Q272" s="2" t="s">
        <v>34</v>
      </c>
      <c r="R272" s="2">
        <v>1061</v>
      </c>
    </row>
    <row r="273" spans="1:18" x14ac:dyDescent="0.25">
      <c r="A273" s="1">
        <v>45314</v>
      </c>
      <c r="B273" s="2" t="s">
        <v>65</v>
      </c>
      <c r="C273" s="2" t="s">
        <v>36</v>
      </c>
      <c r="D273">
        <v>15</v>
      </c>
      <c r="E273">
        <v>580</v>
      </c>
      <c r="F273" s="2" t="s">
        <v>46</v>
      </c>
      <c r="G273" s="2" t="s">
        <v>29</v>
      </c>
      <c r="H273">
        <v>0.15</v>
      </c>
      <c r="I273" s="2" t="s">
        <v>21</v>
      </c>
      <c r="J273" s="2" t="s">
        <v>53</v>
      </c>
      <c r="K273">
        <v>0</v>
      </c>
      <c r="L273" s="2" t="s">
        <v>588</v>
      </c>
      <c r="M273" s="2" t="s">
        <v>589</v>
      </c>
      <c r="N273">
        <v>31.22</v>
      </c>
      <c r="O273" s="1">
        <v>45314</v>
      </c>
      <c r="P273" s="1">
        <v>45322</v>
      </c>
      <c r="Q273" s="2" t="s">
        <v>68</v>
      </c>
      <c r="R273" s="2">
        <v>7395</v>
      </c>
    </row>
    <row r="274" spans="1:18" x14ac:dyDescent="0.25">
      <c r="A274" s="1">
        <v>44963</v>
      </c>
      <c r="B274" s="2" t="s">
        <v>35</v>
      </c>
      <c r="C274" s="2" t="s">
        <v>41</v>
      </c>
      <c r="D274">
        <v>10</v>
      </c>
      <c r="E274">
        <v>217</v>
      </c>
      <c r="F274" s="2" t="s">
        <v>28</v>
      </c>
      <c r="G274" s="2" t="s">
        <v>29</v>
      </c>
      <c r="H274">
        <v>0.15</v>
      </c>
      <c r="I274" s="2" t="s">
        <v>62</v>
      </c>
      <c r="J274" s="2" t="s">
        <v>53</v>
      </c>
      <c r="K274">
        <v>0</v>
      </c>
      <c r="L274" s="2" t="s">
        <v>590</v>
      </c>
      <c r="M274" s="2" t="s">
        <v>591</v>
      </c>
      <c r="N274">
        <v>33.14</v>
      </c>
      <c r="O274" s="1">
        <v>44963</v>
      </c>
      <c r="P274" s="1">
        <v>44972</v>
      </c>
      <c r="Q274" s="2" t="s">
        <v>39</v>
      </c>
      <c r="R274" s="2">
        <v>1844</v>
      </c>
    </row>
    <row r="275" spans="1:18" x14ac:dyDescent="0.25">
      <c r="A275" s="1">
        <v>45488</v>
      </c>
      <c r="B275" s="2" t="s">
        <v>65</v>
      </c>
      <c r="C275" s="2" t="s">
        <v>27</v>
      </c>
      <c r="D275">
        <v>15</v>
      </c>
      <c r="E275">
        <v>476</v>
      </c>
      <c r="F275" s="2" t="s">
        <v>19</v>
      </c>
      <c r="G275" s="2" t="s">
        <v>20</v>
      </c>
      <c r="H275">
        <v>0.05</v>
      </c>
      <c r="I275" s="2" t="s">
        <v>47</v>
      </c>
      <c r="J275" s="2" t="s">
        <v>22</v>
      </c>
      <c r="K275">
        <v>0</v>
      </c>
      <c r="L275" s="2" t="s">
        <v>592</v>
      </c>
      <c r="M275" s="2" t="s">
        <v>593</v>
      </c>
      <c r="N275">
        <v>24.48</v>
      </c>
      <c r="O275" s="1">
        <v>45488</v>
      </c>
      <c r="P275" s="1">
        <v>45492</v>
      </c>
      <c r="Q275" s="2" t="s">
        <v>68</v>
      </c>
      <c r="R275" s="2">
        <v>6783</v>
      </c>
    </row>
    <row r="276" spans="1:18" x14ac:dyDescent="0.25">
      <c r="A276" s="1">
        <v>45722</v>
      </c>
      <c r="B276" s="2" t="s">
        <v>17</v>
      </c>
      <c r="C276" s="2" t="s">
        <v>41</v>
      </c>
      <c r="D276">
        <v>5</v>
      </c>
      <c r="E276">
        <v>89</v>
      </c>
      <c r="F276" s="2" t="s">
        <v>46</v>
      </c>
      <c r="G276" s="2" t="s">
        <v>20</v>
      </c>
      <c r="H276">
        <v>0.1</v>
      </c>
      <c r="I276" s="2" t="s">
        <v>42</v>
      </c>
      <c r="J276" s="2" t="s">
        <v>56</v>
      </c>
      <c r="K276">
        <v>0</v>
      </c>
      <c r="L276" s="2" t="s">
        <v>594</v>
      </c>
      <c r="M276" s="2" t="s">
        <v>595</v>
      </c>
      <c r="N276">
        <v>22.42</v>
      </c>
      <c r="O276" s="1">
        <v>45722</v>
      </c>
      <c r="P276" s="1">
        <v>45732</v>
      </c>
      <c r="Q276" s="2" t="s">
        <v>25</v>
      </c>
      <c r="R276" s="2">
        <v>400</v>
      </c>
    </row>
    <row r="277" spans="1:18" x14ac:dyDescent="0.25">
      <c r="A277" s="1">
        <v>45136</v>
      </c>
      <c r="B277" s="2" t="s">
        <v>40</v>
      </c>
      <c r="C277" s="2" t="s">
        <v>27</v>
      </c>
      <c r="D277">
        <v>17</v>
      </c>
      <c r="E277">
        <v>7</v>
      </c>
      <c r="F277" s="2" t="s">
        <v>28</v>
      </c>
      <c r="G277" s="2" t="s">
        <v>29</v>
      </c>
      <c r="H277">
        <v>0.1</v>
      </c>
      <c r="I277" s="2" t="s">
        <v>42</v>
      </c>
      <c r="J277" s="2" t="s">
        <v>31</v>
      </c>
      <c r="K277">
        <v>0</v>
      </c>
      <c r="L277" s="2" t="s">
        <v>596</v>
      </c>
      <c r="M277" s="2" t="s">
        <v>597</v>
      </c>
      <c r="N277">
        <v>42.37</v>
      </c>
      <c r="O277" s="1">
        <v>45136</v>
      </c>
      <c r="P277" s="1">
        <v>45146</v>
      </c>
      <c r="Q277" s="2" t="s">
        <v>45</v>
      </c>
      <c r="R277" s="2">
        <v>107</v>
      </c>
    </row>
    <row r="278" spans="1:18" x14ac:dyDescent="0.25">
      <c r="A278" s="1">
        <v>45133</v>
      </c>
      <c r="B278" s="2" t="s">
        <v>35</v>
      </c>
      <c r="C278" s="2" t="s">
        <v>126</v>
      </c>
      <c r="D278">
        <v>6</v>
      </c>
      <c r="E278">
        <v>355</v>
      </c>
      <c r="F278" s="2" t="s">
        <v>51</v>
      </c>
      <c r="G278" s="2" t="s">
        <v>29</v>
      </c>
      <c r="H278">
        <v>0.1</v>
      </c>
      <c r="I278" s="2" t="s">
        <v>62</v>
      </c>
      <c r="J278" s="2" t="s">
        <v>22</v>
      </c>
      <c r="K278">
        <v>0</v>
      </c>
      <c r="L278" s="2" t="s">
        <v>598</v>
      </c>
      <c r="M278" s="2" t="s">
        <v>599</v>
      </c>
      <c r="N278">
        <v>30.49</v>
      </c>
      <c r="O278" s="1">
        <v>45133</v>
      </c>
      <c r="P278" s="1">
        <v>45136</v>
      </c>
      <c r="Q278" s="2" t="s">
        <v>39</v>
      </c>
      <c r="R278" s="2">
        <v>1917</v>
      </c>
    </row>
    <row r="279" spans="1:18" x14ac:dyDescent="0.25">
      <c r="A279" s="1">
        <v>45392</v>
      </c>
      <c r="B279" s="2" t="s">
        <v>65</v>
      </c>
      <c r="C279" s="2" t="s">
        <v>75</v>
      </c>
      <c r="D279">
        <v>8</v>
      </c>
      <c r="E279">
        <v>295</v>
      </c>
      <c r="F279" s="2" t="s">
        <v>46</v>
      </c>
      <c r="G279" s="2" t="s">
        <v>29</v>
      </c>
      <c r="H279">
        <v>0.1</v>
      </c>
      <c r="I279" s="2" t="s">
        <v>52</v>
      </c>
      <c r="J279" s="2" t="s">
        <v>22</v>
      </c>
      <c r="K279">
        <v>0</v>
      </c>
      <c r="L279" s="2" t="s">
        <v>600</v>
      </c>
      <c r="M279" s="2" t="s">
        <v>601</v>
      </c>
      <c r="N279">
        <v>36.04</v>
      </c>
      <c r="O279" s="1">
        <v>45392</v>
      </c>
      <c r="P279" s="1">
        <v>45395</v>
      </c>
      <c r="Q279" s="2" t="s">
        <v>68</v>
      </c>
      <c r="R279" s="2">
        <v>2124</v>
      </c>
    </row>
    <row r="280" spans="1:18" x14ac:dyDescent="0.25">
      <c r="A280" s="1">
        <v>45681</v>
      </c>
      <c r="B280" s="2" t="s">
        <v>35</v>
      </c>
      <c r="C280" s="2" t="s">
        <v>36</v>
      </c>
      <c r="D280">
        <v>16</v>
      </c>
      <c r="E280">
        <v>61</v>
      </c>
      <c r="F280" s="2" t="s">
        <v>28</v>
      </c>
      <c r="G280" s="2" t="s">
        <v>20</v>
      </c>
      <c r="H280">
        <v>0</v>
      </c>
      <c r="I280" s="2" t="s">
        <v>47</v>
      </c>
      <c r="J280" s="2" t="s">
        <v>53</v>
      </c>
      <c r="K280">
        <v>0</v>
      </c>
      <c r="L280" s="2" t="s">
        <v>602</v>
      </c>
      <c r="M280" s="2" t="s">
        <v>603</v>
      </c>
      <c r="N280">
        <v>7.03</v>
      </c>
      <c r="O280" s="1">
        <v>45681</v>
      </c>
      <c r="P280" s="1">
        <v>45684</v>
      </c>
      <c r="Q280" s="2" t="s">
        <v>39</v>
      </c>
      <c r="R280" s="2">
        <v>976</v>
      </c>
    </row>
    <row r="281" spans="1:18" x14ac:dyDescent="0.25">
      <c r="A281" s="1">
        <v>45774</v>
      </c>
      <c r="B281" s="2" t="s">
        <v>65</v>
      </c>
      <c r="C281" s="2" t="s">
        <v>18</v>
      </c>
      <c r="D281">
        <v>2</v>
      </c>
      <c r="E281">
        <v>560</v>
      </c>
      <c r="F281" s="2" t="s">
        <v>19</v>
      </c>
      <c r="G281" s="2" t="s">
        <v>20</v>
      </c>
      <c r="H281">
        <v>0.1</v>
      </c>
      <c r="I281" s="2" t="s">
        <v>52</v>
      </c>
      <c r="J281" s="2" t="s">
        <v>53</v>
      </c>
      <c r="K281">
        <v>1</v>
      </c>
      <c r="L281" s="2" t="s">
        <v>604</v>
      </c>
      <c r="M281" s="2" t="s">
        <v>605</v>
      </c>
      <c r="N281">
        <v>42.34</v>
      </c>
      <c r="O281" s="1">
        <v>45774</v>
      </c>
      <c r="P281" s="1">
        <v>45780</v>
      </c>
      <c r="Q281" s="2" t="s">
        <v>68</v>
      </c>
      <c r="R281" s="2">
        <v>1008</v>
      </c>
    </row>
    <row r="282" spans="1:18" x14ac:dyDescent="0.25">
      <c r="A282" s="1">
        <v>45708</v>
      </c>
      <c r="B282" s="2" t="s">
        <v>17</v>
      </c>
      <c r="C282" s="2" t="s">
        <v>27</v>
      </c>
      <c r="D282">
        <v>4</v>
      </c>
      <c r="E282">
        <v>233</v>
      </c>
      <c r="F282" s="2" t="s">
        <v>19</v>
      </c>
      <c r="G282" s="2" t="s">
        <v>20</v>
      </c>
      <c r="H282">
        <v>0.1</v>
      </c>
      <c r="I282" s="2" t="s">
        <v>42</v>
      </c>
      <c r="J282" s="2" t="s">
        <v>22</v>
      </c>
      <c r="K282">
        <v>0</v>
      </c>
      <c r="L282" s="2" t="s">
        <v>606</v>
      </c>
      <c r="M282" s="2" t="s">
        <v>607</v>
      </c>
      <c r="N282">
        <v>11.88</v>
      </c>
      <c r="O282" s="1">
        <v>45708</v>
      </c>
      <c r="P282" s="1">
        <v>45711</v>
      </c>
      <c r="Q282" s="2" t="s">
        <v>25</v>
      </c>
      <c r="R282" s="2">
        <v>839</v>
      </c>
    </row>
    <row r="283" spans="1:18" x14ac:dyDescent="0.25">
      <c r="A283" s="1">
        <v>45183</v>
      </c>
      <c r="B283" s="2" t="s">
        <v>35</v>
      </c>
      <c r="C283" s="2" t="s">
        <v>126</v>
      </c>
      <c r="D283">
        <v>10</v>
      </c>
      <c r="E283">
        <v>231</v>
      </c>
      <c r="F283" s="2" t="s">
        <v>28</v>
      </c>
      <c r="G283" s="2" t="s">
        <v>29</v>
      </c>
      <c r="H283">
        <v>0.15</v>
      </c>
      <c r="I283" s="2" t="s">
        <v>62</v>
      </c>
      <c r="J283" s="2" t="s">
        <v>56</v>
      </c>
      <c r="K283">
        <v>0</v>
      </c>
      <c r="L283" s="2" t="s">
        <v>608</v>
      </c>
      <c r="M283" s="2" t="s">
        <v>498</v>
      </c>
      <c r="N283">
        <v>28.33</v>
      </c>
      <c r="O283" s="1">
        <v>45183</v>
      </c>
      <c r="P283" s="1">
        <v>45188</v>
      </c>
      <c r="Q283" s="2" t="s">
        <v>39</v>
      </c>
      <c r="R283" s="2">
        <v>1964</v>
      </c>
    </row>
    <row r="284" spans="1:18" x14ac:dyDescent="0.25">
      <c r="A284" s="1">
        <v>45399</v>
      </c>
      <c r="B284" s="2" t="s">
        <v>65</v>
      </c>
      <c r="C284" s="2" t="s">
        <v>75</v>
      </c>
      <c r="D284">
        <v>7</v>
      </c>
      <c r="E284">
        <v>354</v>
      </c>
      <c r="F284" s="2" t="s">
        <v>46</v>
      </c>
      <c r="G284" s="2" t="s">
        <v>20</v>
      </c>
      <c r="H284">
        <v>0.15</v>
      </c>
      <c r="I284" s="2" t="s">
        <v>30</v>
      </c>
      <c r="J284" s="2" t="s">
        <v>56</v>
      </c>
      <c r="K284">
        <v>1</v>
      </c>
      <c r="L284" s="2" t="s">
        <v>609</v>
      </c>
      <c r="M284" s="2" t="s">
        <v>610</v>
      </c>
      <c r="N284">
        <v>15.74</v>
      </c>
      <c r="O284" s="1">
        <v>45399</v>
      </c>
      <c r="P284" s="1">
        <v>45409</v>
      </c>
      <c r="Q284" s="2" t="s">
        <v>68</v>
      </c>
      <c r="R284" s="2">
        <v>2106</v>
      </c>
    </row>
    <row r="285" spans="1:18" x14ac:dyDescent="0.25">
      <c r="A285" s="1">
        <v>45610</v>
      </c>
      <c r="B285" s="2" t="s">
        <v>40</v>
      </c>
      <c r="C285" s="2" t="s">
        <v>75</v>
      </c>
      <c r="D285">
        <v>12</v>
      </c>
      <c r="E285">
        <v>561</v>
      </c>
      <c r="F285" s="2" t="s">
        <v>28</v>
      </c>
      <c r="G285" s="2" t="s">
        <v>29</v>
      </c>
      <c r="H285">
        <v>0</v>
      </c>
      <c r="I285" s="2" t="s">
        <v>30</v>
      </c>
      <c r="J285" s="2" t="s">
        <v>31</v>
      </c>
      <c r="K285">
        <v>0</v>
      </c>
      <c r="L285" s="2" t="s">
        <v>611</v>
      </c>
      <c r="M285" s="2" t="s">
        <v>612</v>
      </c>
      <c r="N285">
        <v>35.020000000000003</v>
      </c>
      <c r="O285" s="1">
        <v>45610</v>
      </c>
      <c r="P285" s="1">
        <v>45614</v>
      </c>
      <c r="Q285" s="2" t="s">
        <v>45</v>
      </c>
      <c r="R285" s="2">
        <v>6732</v>
      </c>
    </row>
    <row r="286" spans="1:18" x14ac:dyDescent="0.25">
      <c r="A286" s="1">
        <v>45498</v>
      </c>
      <c r="B286" s="2" t="s">
        <v>35</v>
      </c>
      <c r="C286" s="2" t="s">
        <v>41</v>
      </c>
      <c r="D286">
        <v>15</v>
      </c>
      <c r="E286">
        <v>247</v>
      </c>
      <c r="F286" s="2" t="s">
        <v>51</v>
      </c>
      <c r="G286" s="2" t="s">
        <v>20</v>
      </c>
      <c r="H286">
        <v>0.1</v>
      </c>
      <c r="I286" s="2" t="s">
        <v>62</v>
      </c>
      <c r="J286" s="2" t="s">
        <v>31</v>
      </c>
      <c r="K286">
        <v>0</v>
      </c>
      <c r="L286" s="2" t="s">
        <v>613</v>
      </c>
      <c r="M286" s="2" t="s">
        <v>614</v>
      </c>
      <c r="N286">
        <v>45.42</v>
      </c>
      <c r="O286" s="1">
        <v>45498</v>
      </c>
      <c r="P286" s="1">
        <v>45500</v>
      </c>
      <c r="Q286" s="2" t="s">
        <v>39</v>
      </c>
      <c r="R286" s="2">
        <v>3334</v>
      </c>
    </row>
    <row r="287" spans="1:18" x14ac:dyDescent="0.25">
      <c r="A287" s="1">
        <v>45509</v>
      </c>
      <c r="B287" s="2" t="s">
        <v>17</v>
      </c>
      <c r="C287" s="2" t="s">
        <v>27</v>
      </c>
      <c r="D287">
        <v>19</v>
      </c>
      <c r="E287">
        <v>271</v>
      </c>
      <c r="F287" s="2" t="s">
        <v>28</v>
      </c>
      <c r="G287" s="2" t="s">
        <v>20</v>
      </c>
      <c r="H287">
        <v>0.1</v>
      </c>
      <c r="I287" s="2" t="s">
        <v>30</v>
      </c>
      <c r="J287" s="2" t="s">
        <v>53</v>
      </c>
      <c r="K287">
        <v>0</v>
      </c>
      <c r="L287" s="2" t="s">
        <v>615</v>
      </c>
      <c r="M287" s="2" t="s">
        <v>616</v>
      </c>
      <c r="N287">
        <v>35.33</v>
      </c>
      <c r="O287" s="1">
        <v>45509</v>
      </c>
      <c r="P287" s="1">
        <v>45519</v>
      </c>
      <c r="Q287" s="2" t="s">
        <v>25</v>
      </c>
      <c r="R287" s="2">
        <v>4634</v>
      </c>
    </row>
    <row r="288" spans="1:18" x14ac:dyDescent="0.25">
      <c r="A288" s="1">
        <v>45680</v>
      </c>
      <c r="B288" s="2" t="s">
        <v>65</v>
      </c>
      <c r="C288" s="2" t="s">
        <v>18</v>
      </c>
      <c r="D288">
        <v>6</v>
      </c>
      <c r="E288">
        <v>533</v>
      </c>
      <c r="F288" s="2" t="s">
        <v>28</v>
      </c>
      <c r="G288" s="2" t="s">
        <v>20</v>
      </c>
      <c r="H288">
        <v>0</v>
      </c>
      <c r="I288" s="2" t="s">
        <v>52</v>
      </c>
      <c r="J288" s="2" t="s">
        <v>56</v>
      </c>
      <c r="K288">
        <v>1</v>
      </c>
      <c r="L288" s="2" t="s">
        <v>617</v>
      </c>
      <c r="M288" s="2" t="s">
        <v>618</v>
      </c>
      <c r="N288">
        <v>25.09</v>
      </c>
      <c r="O288" s="1">
        <v>45680</v>
      </c>
      <c r="P288" s="1">
        <v>45690</v>
      </c>
      <c r="Q288" s="2" t="s">
        <v>68</v>
      </c>
      <c r="R288" s="2">
        <v>3198</v>
      </c>
    </row>
    <row r="289" spans="1:18" x14ac:dyDescent="0.25">
      <c r="A289" s="1">
        <v>45774</v>
      </c>
      <c r="B289" s="2" t="s">
        <v>65</v>
      </c>
      <c r="C289" s="2" t="s">
        <v>126</v>
      </c>
      <c r="D289">
        <v>16</v>
      </c>
      <c r="E289">
        <v>330</v>
      </c>
      <c r="F289" s="2" t="s">
        <v>28</v>
      </c>
      <c r="G289" s="2" t="s">
        <v>20</v>
      </c>
      <c r="H289">
        <v>0.15</v>
      </c>
      <c r="I289" s="2" t="s">
        <v>62</v>
      </c>
      <c r="J289" s="2" t="s">
        <v>56</v>
      </c>
      <c r="K289">
        <v>1</v>
      </c>
      <c r="L289" s="2" t="s">
        <v>619</v>
      </c>
      <c r="M289" s="2" t="s">
        <v>620</v>
      </c>
      <c r="N289">
        <v>39.39</v>
      </c>
      <c r="O289" s="1">
        <v>45774</v>
      </c>
      <c r="P289" s="1">
        <v>45780</v>
      </c>
      <c r="Q289" s="2" t="s">
        <v>68</v>
      </c>
      <c r="R289" s="2">
        <v>4488</v>
      </c>
    </row>
    <row r="290" spans="1:18" x14ac:dyDescent="0.25">
      <c r="A290" s="1">
        <v>45555</v>
      </c>
      <c r="B290" s="2" t="s">
        <v>26</v>
      </c>
      <c r="C290" s="2" t="s">
        <v>27</v>
      </c>
      <c r="D290">
        <v>6</v>
      </c>
      <c r="E290">
        <v>170</v>
      </c>
      <c r="F290" s="2" t="s">
        <v>28</v>
      </c>
      <c r="G290" s="2" t="s">
        <v>29</v>
      </c>
      <c r="H290">
        <v>0</v>
      </c>
      <c r="I290" s="2" t="s">
        <v>21</v>
      </c>
      <c r="J290" s="2" t="s">
        <v>31</v>
      </c>
      <c r="K290">
        <v>0</v>
      </c>
      <c r="L290" s="2" t="s">
        <v>621</v>
      </c>
      <c r="M290" s="2" t="s">
        <v>622</v>
      </c>
      <c r="N290">
        <v>38.61</v>
      </c>
      <c r="O290" s="1">
        <v>45555</v>
      </c>
      <c r="P290" s="1">
        <v>45558</v>
      </c>
      <c r="Q290" s="2" t="s">
        <v>34</v>
      </c>
      <c r="R290" s="2">
        <v>1020</v>
      </c>
    </row>
    <row r="291" spans="1:18" x14ac:dyDescent="0.25">
      <c r="A291" s="1">
        <v>45177</v>
      </c>
      <c r="B291" s="2" t="s">
        <v>65</v>
      </c>
      <c r="C291" s="2" t="s">
        <v>18</v>
      </c>
      <c r="D291">
        <v>19</v>
      </c>
      <c r="E291">
        <v>213</v>
      </c>
      <c r="F291" s="2" t="s">
        <v>51</v>
      </c>
      <c r="G291" s="2" t="s">
        <v>20</v>
      </c>
      <c r="H291">
        <v>0.15</v>
      </c>
      <c r="I291" s="2" t="s">
        <v>47</v>
      </c>
      <c r="J291" s="2" t="s">
        <v>22</v>
      </c>
      <c r="K291">
        <v>0</v>
      </c>
      <c r="L291" s="2" t="s">
        <v>623</v>
      </c>
      <c r="M291" s="2" t="s">
        <v>624</v>
      </c>
      <c r="N291">
        <v>42.88</v>
      </c>
      <c r="O291" s="1">
        <v>45177</v>
      </c>
      <c r="P291" s="1">
        <v>45184</v>
      </c>
      <c r="Q291" s="2" t="s">
        <v>68</v>
      </c>
      <c r="R291" s="2">
        <v>3440</v>
      </c>
    </row>
    <row r="292" spans="1:18" x14ac:dyDescent="0.25">
      <c r="A292" s="1">
        <v>45767</v>
      </c>
      <c r="B292" s="2" t="s">
        <v>26</v>
      </c>
      <c r="C292" s="2" t="s">
        <v>18</v>
      </c>
      <c r="D292">
        <v>5</v>
      </c>
      <c r="E292">
        <v>579</v>
      </c>
      <c r="F292" s="2" t="s">
        <v>28</v>
      </c>
      <c r="G292" s="2" t="s">
        <v>20</v>
      </c>
      <c r="H292">
        <v>0</v>
      </c>
      <c r="I292" s="2" t="s">
        <v>62</v>
      </c>
      <c r="J292" s="2" t="s">
        <v>53</v>
      </c>
      <c r="K292">
        <v>1</v>
      </c>
      <c r="L292" s="2" t="s">
        <v>625</v>
      </c>
      <c r="M292" s="2" t="s">
        <v>626</v>
      </c>
      <c r="N292">
        <v>44.09</v>
      </c>
      <c r="O292" s="1">
        <v>45767</v>
      </c>
      <c r="P292" s="1">
        <v>45775</v>
      </c>
      <c r="Q292" s="2" t="s">
        <v>34</v>
      </c>
      <c r="R292" s="2">
        <v>2895</v>
      </c>
    </row>
    <row r="293" spans="1:18" x14ac:dyDescent="0.25">
      <c r="A293" s="1">
        <v>45463</v>
      </c>
      <c r="B293" s="2" t="s">
        <v>35</v>
      </c>
      <c r="C293" s="2" t="s">
        <v>27</v>
      </c>
      <c r="D293">
        <v>3</v>
      </c>
      <c r="E293">
        <v>457</v>
      </c>
      <c r="F293" s="2" t="s">
        <v>46</v>
      </c>
      <c r="G293" s="2" t="s">
        <v>29</v>
      </c>
      <c r="H293">
        <v>0.1</v>
      </c>
      <c r="I293" s="2" t="s">
        <v>42</v>
      </c>
      <c r="J293" s="2" t="s">
        <v>31</v>
      </c>
      <c r="K293">
        <v>0</v>
      </c>
      <c r="L293" s="2" t="s">
        <v>627</v>
      </c>
      <c r="M293" s="2" t="s">
        <v>628</v>
      </c>
      <c r="N293">
        <v>17.57</v>
      </c>
      <c r="O293" s="1">
        <v>45463</v>
      </c>
      <c r="P293" s="1">
        <v>45470</v>
      </c>
      <c r="Q293" s="2" t="s">
        <v>39</v>
      </c>
      <c r="R293" s="2">
        <v>1234</v>
      </c>
    </row>
    <row r="294" spans="1:18" x14ac:dyDescent="0.25">
      <c r="A294" s="1">
        <v>44937</v>
      </c>
      <c r="B294" s="2" t="s">
        <v>17</v>
      </c>
      <c r="C294" s="2" t="s">
        <v>75</v>
      </c>
      <c r="D294">
        <v>12</v>
      </c>
      <c r="E294">
        <v>522</v>
      </c>
      <c r="F294" s="2" t="s">
        <v>51</v>
      </c>
      <c r="G294" s="2" t="s">
        <v>29</v>
      </c>
      <c r="H294">
        <v>0</v>
      </c>
      <c r="I294" s="2" t="s">
        <v>21</v>
      </c>
      <c r="J294" s="2" t="s">
        <v>53</v>
      </c>
      <c r="K294">
        <v>1</v>
      </c>
      <c r="L294" s="2" t="s">
        <v>629</v>
      </c>
      <c r="M294" s="2" t="s">
        <v>630</v>
      </c>
      <c r="N294">
        <v>49.59</v>
      </c>
      <c r="O294" s="1">
        <v>44937</v>
      </c>
      <c r="P294" s="1">
        <v>44946</v>
      </c>
      <c r="Q294" s="2" t="s">
        <v>25</v>
      </c>
      <c r="R294" s="2">
        <v>6264</v>
      </c>
    </row>
    <row r="295" spans="1:18" x14ac:dyDescent="0.25">
      <c r="A295" s="1">
        <v>45111</v>
      </c>
      <c r="B295" s="2" t="s">
        <v>35</v>
      </c>
      <c r="C295" s="2" t="s">
        <v>36</v>
      </c>
      <c r="D295">
        <v>17</v>
      </c>
      <c r="E295">
        <v>468</v>
      </c>
      <c r="F295" s="2" t="s">
        <v>51</v>
      </c>
      <c r="G295" s="2" t="s">
        <v>29</v>
      </c>
      <c r="H295">
        <v>0.05</v>
      </c>
      <c r="I295" s="2" t="s">
        <v>52</v>
      </c>
      <c r="J295" s="2" t="s">
        <v>59</v>
      </c>
      <c r="K295">
        <v>0</v>
      </c>
      <c r="L295" s="2" t="s">
        <v>631</v>
      </c>
      <c r="M295" s="2" t="s">
        <v>632</v>
      </c>
      <c r="N295">
        <v>13.84</v>
      </c>
      <c r="O295" s="1">
        <v>45111</v>
      </c>
      <c r="P295" s="1">
        <v>45114</v>
      </c>
      <c r="Q295" s="2" t="s">
        <v>39</v>
      </c>
      <c r="R295" s="2">
        <v>7558</v>
      </c>
    </row>
    <row r="296" spans="1:18" x14ac:dyDescent="0.25">
      <c r="A296" s="1">
        <v>45724</v>
      </c>
      <c r="B296" s="2" t="s">
        <v>40</v>
      </c>
      <c r="C296" s="2" t="s">
        <v>50</v>
      </c>
      <c r="D296">
        <v>9</v>
      </c>
      <c r="E296">
        <v>9</v>
      </c>
      <c r="F296" s="2" t="s">
        <v>51</v>
      </c>
      <c r="G296" s="2" t="s">
        <v>29</v>
      </c>
      <c r="H296">
        <v>0.15</v>
      </c>
      <c r="I296" s="2" t="s">
        <v>30</v>
      </c>
      <c r="J296" s="2" t="s">
        <v>22</v>
      </c>
      <c r="K296">
        <v>0</v>
      </c>
      <c r="L296" s="2" t="s">
        <v>633</v>
      </c>
      <c r="M296" s="2" t="s">
        <v>634</v>
      </c>
      <c r="N296">
        <v>42.7</v>
      </c>
      <c r="O296" s="1">
        <v>45724</v>
      </c>
      <c r="P296" s="1">
        <v>45734</v>
      </c>
      <c r="Q296" s="2" t="s">
        <v>45</v>
      </c>
      <c r="R296" s="2">
        <v>69</v>
      </c>
    </row>
    <row r="297" spans="1:18" x14ac:dyDescent="0.25">
      <c r="A297" s="1">
        <v>45698</v>
      </c>
      <c r="B297" s="2" t="s">
        <v>26</v>
      </c>
      <c r="C297" s="2" t="s">
        <v>41</v>
      </c>
      <c r="D297">
        <v>6</v>
      </c>
      <c r="E297">
        <v>521</v>
      </c>
      <c r="F297" s="2" t="s">
        <v>28</v>
      </c>
      <c r="G297" s="2" t="s">
        <v>20</v>
      </c>
      <c r="H297">
        <v>0.15</v>
      </c>
      <c r="I297" s="2" t="s">
        <v>42</v>
      </c>
      <c r="J297" s="2" t="s">
        <v>59</v>
      </c>
      <c r="K297">
        <v>0</v>
      </c>
      <c r="L297" s="2" t="s">
        <v>635</v>
      </c>
      <c r="M297" s="2" t="s">
        <v>636</v>
      </c>
      <c r="N297">
        <v>31.14</v>
      </c>
      <c r="O297" s="1">
        <v>45698</v>
      </c>
      <c r="P297" s="1">
        <v>45700</v>
      </c>
      <c r="Q297" s="2" t="s">
        <v>34</v>
      </c>
      <c r="R297" s="2">
        <v>2657</v>
      </c>
    </row>
    <row r="298" spans="1:18" x14ac:dyDescent="0.25">
      <c r="A298" s="1">
        <v>45733</v>
      </c>
      <c r="B298" s="2" t="s">
        <v>65</v>
      </c>
      <c r="C298" s="2" t="s">
        <v>50</v>
      </c>
      <c r="D298">
        <v>10</v>
      </c>
      <c r="E298">
        <v>290</v>
      </c>
      <c r="F298" s="2" t="s">
        <v>46</v>
      </c>
      <c r="G298" s="2" t="s">
        <v>29</v>
      </c>
      <c r="H298">
        <v>0.1</v>
      </c>
      <c r="I298" s="2" t="s">
        <v>52</v>
      </c>
      <c r="J298" s="2" t="s">
        <v>59</v>
      </c>
      <c r="K298">
        <v>0</v>
      </c>
      <c r="L298" s="2" t="s">
        <v>637</v>
      </c>
      <c r="M298" s="2" t="s">
        <v>638</v>
      </c>
      <c r="N298">
        <v>32.96</v>
      </c>
      <c r="O298" s="1">
        <v>45733</v>
      </c>
      <c r="P298" s="1">
        <v>45737</v>
      </c>
      <c r="Q298" s="2" t="s">
        <v>68</v>
      </c>
      <c r="R298" s="2">
        <v>2610</v>
      </c>
    </row>
    <row r="299" spans="1:18" x14ac:dyDescent="0.25">
      <c r="A299" s="1">
        <v>45239</v>
      </c>
      <c r="B299" s="2" t="s">
        <v>17</v>
      </c>
      <c r="C299" s="2" t="s">
        <v>126</v>
      </c>
      <c r="D299">
        <v>3</v>
      </c>
      <c r="E299">
        <v>142</v>
      </c>
      <c r="F299" s="2" t="s">
        <v>51</v>
      </c>
      <c r="G299" s="2" t="s">
        <v>29</v>
      </c>
      <c r="H299">
        <v>0.05</v>
      </c>
      <c r="I299" s="2" t="s">
        <v>62</v>
      </c>
      <c r="J299" s="2" t="s">
        <v>22</v>
      </c>
      <c r="K299">
        <v>0</v>
      </c>
      <c r="L299" s="2" t="s">
        <v>639</v>
      </c>
      <c r="M299" s="2" t="s">
        <v>640</v>
      </c>
      <c r="N299">
        <v>32.799999999999997</v>
      </c>
      <c r="O299" s="1">
        <v>45239</v>
      </c>
      <c r="P299" s="1">
        <v>45245</v>
      </c>
      <c r="Q299" s="2" t="s">
        <v>25</v>
      </c>
      <c r="R299" s="2">
        <v>405</v>
      </c>
    </row>
    <row r="300" spans="1:18" x14ac:dyDescent="0.25">
      <c r="A300" s="1">
        <v>45260</v>
      </c>
      <c r="B300" s="2" t="s">
        <v>40</v>
      </c>
      <c r="C300" s="2" t="s">
        <v>126</v>
      </c>
      <c r="D300">
        <v>15</v>
      </c>
      <c r="E300">
        <v>354</v>
      </c>
      <c r="F300" s="2" t="s">
        <v>19</v>
      </c>
      <c r="G300" s="2" t="s">
        <v>29</v>
      </c>
      <c r="H300">
        <v>0.05</v>
      </c>
      <c r="I300" s="2" t="s">
        <v>47</v>
      </c>
      <c r="J300" s="2" t="s">
        <v>22</v>
      </c>
      <c r="K300">
        <v>1</v>
      </c>
      <c r="L300" s="2" t="s">
        <v>641</v>
      </c>
      <c r="M300" s="2" t="s">
        <v>642</v>
      </c>
      <c r="N300">
        <v>25.3</v>
      </c>
      <c r="O300" s="1">
        <v>45260</v>
      </c>
      <c r="P300" s="1">
        <v>45268</v>
      </c>
      <c r="Q300" s="2" t="s">
        <v>45</v>
      </c>
      <c r="R300" s="2">
        <v>5044</v>
      </c>
    </row>
    <row r="301" spans="1:18" x14ac:dyDescent="0.25">
      <c r="A301" s="1">
        <v>45519</v>
      </c>
      <c r="B301" s="2" t="s">
        <v>26</v>
      </c>
      <c r="C301" s="2" t="s">
        <v>75</v>
      </c>
      <c r="D301">
        <v>20</v>
      </c>
      <c r="E301">
        <v>359</v>
      </c>
      <c r="F301" s="2" t="s">
        <v>19</v>
      </c>
      <c r="G301" s="2" t="s">
        <v>20</v>
      </c>
      <c r="H301">
        <v>0</v>
      </c>
      <c r="I301" s="2" t="s">
        <v>30</v>
      </c>
      <c r="J301" s="2" t="s">
        <v>56</v>
      </c>
      <c r="K301">
        <v>1</v>
      </c>
      <c r="L301" s="2" t="s">
        <v>643</v>
      </c>
      <c r="M301" s="2" t="s">
        <v>644</v>
      </c>
      <c r="N301">
        <v>21.11</v>
      </c>
      <c r="O301" s="1">
        <v>45519</v>
      </c>
      <c r="P301" s="1">
        <v>45524</v>
      </c>
      <c r="Q301" s="2" t="s">
        <v>34</v>
      </c>
      <c r="R301" s="2">
        <v>7180</v>
      </c>
    </row>
    <row r="302" spans="1:18" x14ac:dyDescent="0.25">
      <c r="A302" s="1">
        <v>45006</v>
      </c>
      <c r="B302" s="2" t="s">
        <v>65</v>
      </c>
      <c r="C302" s="2" t="s">
        <v>75</v>
      </c>
      <c r="D302">
        <v>16</v>
      </c>
      <c r="E302">
        <v>33</v>
      </c>
      <c r="F302" s="2" t="s">
        <v>46</v>
      </c>
      <c r="G302" s="2" t="s">
        <v>29</v>
      </c>
      <c r="H302">
        <v>0.05</v>
      </c>
      <c r="I302" s="2" t="s">
        <v>21</v>
      </c>
      <c r="J302" s="2" t="s">
        <v>22</v>
      </c>
      <c r="K302">
        <v>0</v>
      </c>
      <c r="L302" s="2" t="s">
        <v>645</v>
      </c>
      <c r="M302" s="2" t="s">
        <v>646</v>
      </c>
      <c r="N302">
        <v>22.94</v>
      </c>
      <c r="O302" s="1">
        <v>45006</v>
      </c>
      <c r="P302" s="1">
        <v>45011</v>
      </c>
      <c r="Q302" s="2" t="s">
        <v>68</v>
      </c>
      <c r="R302" s="2">
        <v>502</v>
      </c>
    </row>
    <row r="303" spans="1:18" x14ac:dyDescent="0.25">
      <c r="A303" s="1">
        <v>45225</v>
      </c>
      <c r="B303" s="2" t="s">
        <v>65</v>
      </c>
      <c r="C303" s="2" t="s">
        <v>50</v>
      </c>
      <c r="D303">
        <v>2</v>
      </c>
      <c r="E303">
        <v>124</v>
      </c>
      <c r="F303" s="2" t="s">
        <v>19</v>
      </c>
      <c r="G303" s="2" t="s">
        <v>29</v>
      </c>
      <c r="H303">
        <v>0</v>
      </c>
      <c r="I303" s="2" t="s">
        <v>21</v>
      </c>
      <c r="J303" s="2" t="s">
        <v>22</v>
      </c>
      <c r="K303">
        <v>0</v>
      </c>
      <c r="L303" s="2" t="s">
        <v>647</v>
      </c>
      <c r="M303" s="2" t="s">
        <v>648</v>
      </c>
      <c r="N303">
        <v>37.049999999999997</v>
      </c>
      <c r="O303" s="1">
        <v>45225</v>
      </c>
      <c r="P303" s="1">
        <v>45230</v>
      </c>
      <c r="Q303" s="2" t="s">
        <v>68</v>
      </c>
      <c r="R303" s="2">
        <v>248</v>
      </c>
    </row>
    <row r="304" spans="1:18" x14ac:dyDescent="0.25">
      <c r="A304" s="1">
        <v>45233</v>
      </c>
      <c r="B304" s="2" t="s">
        <v>65</v>
      </c>
      <c r="C304" s="2" t="s">
        <v>27</v>
      </c>
      <c r="D304">
        <v>12</v>
      </c>
      <c r="E304">
        <v>18</v>
      </c>
      <c r="F304" s="2" t="s">
        <v>51</v>
      </c>
      <c r="G304" s="2" t="s">
        <v>29</v>
      </c>
      <c r="H304">
        <v>0.1</v>
      </c>
      <c r="I304" s="2" t="s">
        <v>47</v>
      </c>
      <c r="J304" s="2" t="s">
        <v>22</v>
      </c>
      <c r="K304">
        <v>0</v>
      </c>
      <c r="L304" s="2" t="s">
        <v>649</v>
      </c>
      <c r="M304" s="2" t="s">
        <v>650</v>
      </c>
      <c r="N304">
        <v>12.18</v>
      </c>
      <c r="O304" s="1">
        <v>45233</v>
      </c>
      <c r="P304" s="1">
        <v>45241</v>
      </c>
      <c r="Q304" s="2" t="s">
        <v>68</v>
      </c>
      <c r="R304" s="2">
        <v>194</v>
      </c>
    </row>
    <row r="305" spans="1:18" x14ac:dyDescent="0.25">
      <c r="A305" s="1">
        <v>45687</v>
      </c>
      <c r="B305" s="2" t="s">
        <v>35</v>
      </c>
      <c r="C305" s="2" t="s">
        <v>41</v>
      </c>
      <c r="D305">
        <v>16</v>
      </c>
      <c r="E305">
        <v>346</v>
      </c>
      <c r="F305" s="2" t="s">
        <v>46</v>
      </c>
      <c r="G305" s="2" t="s">
        <v>29</v>
      </c>
      <c r="H305">
        <v>0.15</v>
      </c>
      <c r="I305" s="2" t="s">
        <v>42</v>
      </c>
      <c r="J305" s="2" t="s">
        <v>31</v>
      </c>
      <c r="K305">
        <v>0</v>
      </c>
      <c r="L305" s="2" t="s">
        <v>651</v>
      </c>
      <c r="M305" s="2" t="s">
        <v>652</v>
      </c>
      <c r="N305">
        <v>13.43</v>
      </c>
      <c r="O305" s="1">
        <v>45687</v>
      </c>
      <c r="P305" s="1">
        <v>45693</v>
      </c>
      <c r="Q305" s="2" t="s">
        <v>39</v>
      </c>
      <c r="R305" s="2">
        <v>4706</v>
      </c>
    </row>
    <row r="306" spans="1:18" x14ac:dyDescent="0.25">
      <c r="A306" s="1">
        <v>45316</v>
      </c>
      <c r="B306" s="2" t="s">
        <v>65</v>
      </c>
      <c r="C306" s="2" t="s">
        <v>18</v>
      </c>
      <c r="D306">
        <v>13</v>
      </c>
      <c r="E306">
        <v>453</v>
      </c>
      <c r="F306" s="2" t="s">
        <v>28</v>
      </c>
      <c r="G306" s="2" t="s">
        <v>20</v>
      </c>
      <c r="H306">
        <v>0.05</v>
      </c>
      <c r="I306" s="2" t="s">
        <v>30</v>
      </c>
      <c r="J306" s="2" t="s">
        <v>31</v>
      </c>
      <c r="K306">
        <v>0</v>
      </c>
      <c r="L306" s="2" t="s">
        <v>653</v>
      </c>
      <c r="M306" s="2" t="s">
        <v>654</v>
      </c>
      <c r="N306">
        <v>46.28</v>
      </c>
      <c r="O306" s="1">
        <v>45316</v>
      </c>
      <c r="P306" s="1">
        <v>45325</v>
      </c>
      <c r="Q306" s="2" t="s">
        <v>68</v>
      </c>
      <c r="R306" s="2">
        <v>5595</v>
      </c>
    </row>
    <row r="307" spans="1:18" x14ac:dyDescent="0.25">
      <c r="A307" s="1">
        <v>45745</v>
      </c>
      <c r="B307" s="2" t="s">
        <v>26</v>
      </c>
      <c r="C307" s="2" t="s">
        <v>18</v>
      </c>
      <c r="D307">
        <v>10</v>
      </c>
      <c r="E307">
        <v>278</v>
      </c>
      <c r="F307" s="2" t="s">
        <v>19</v>
      </c>
      <c r="G307" s="2" t="s">
        <v>29</v>
      </c>
      <c r="H307">
        <v>0.15</v>
      </c>
      <c r="I307" s="2" t="s">
        <v>47</v>
      </c>
      <c r="J307" s="2" t="s">
        <v>31</v>
      </c>
      <c r="K307">
        <v>1</v>
      </c>
      <c r="L307" s="2" t="s">
        <v>655</v>
      </c>
      <c r="M307" s="2" t="s">
        <v>656</v>
      </c>
      <c r="N307">
        <v>35.020000000000003</v>
      </c>
      <c r="O307" s="1">
        <v>45745</v>
      </c>
      <c r="P307" s="1">
        <v>45749</v>
      </c>
      <c r="Q307" s="2" t="s">
        <v>34</v>
      </c>
      <c r="R307" s="2">
        <v>2363</v>
      </c>
    </row>
    <row r="308" spans="1:18" x14ac:dyDescent="0.25">
      <c r="A308" s="1">
        <v>45598</v>
      </c>
      <c r="B308" s="2" t="s">
        <v>40</v>
      </c>
      <c r="C308" s="2" t="s">
        <v>41</v>
      </c>
      <c r="D308">
        <v>16</v>
      </c>
      <c r="E308">
        <v>90</v>
      </c>
      <c r="F308" s="2" t="s">
        <v>28</v>
      </c>
      <c r="G308" s="2" t="s">
        <v>20</v>
      </c>
      <c r="H308">
        <v>0</v>
      </c>
      <c r="I308" s="2" t="s">
        <v>30</v>
      </c>
      <c r="J308" s="2" t="s">
        <v>56</v>
      </c>
      <c r="K308">
        <v>1</v>
      </c>
      <c r="L308" s="2" t="s">
        <v>657</v>
      </c>
      <c r="M308" s="2" t="s">
        <v>658</v>
      </c>
      <c r="N308">
        <v>44.69</v>
      </c>
      <c r="O308" s="1">
        <v>45598</v>
      </c>
      <c r="P308" s="1">
        <v>45605</v>
      </c>
      <c r="Q308" s="2" t="s">
        <v>45</v>
      </c>
      <c r="R308" s="2">
        <v>1440</v>
      </c>
    </row>
    <row r="309" spans="1:18" x14ac:dyDescent="0.25">
      <c r="A309" s="1">
        <v>45473</v>
      </c>
      <c r="B309" s="2" t="s">
        <v>40</v>
      </c>
      <c r="C309" s="2" t="s">
        <v>41</v>
      </c>
      <c r="D309">
        <v>11</v>
      </c>
      <c r="E309">
        <v>535</v>
      </c>
      <c r="F309" s="2" t="s">
        <v>51</v>
      </c>
      <c r="G309" s="2" t="s">
        <v>20</v>
      </c>
      <c r="H309">
        <v>0</v>
      </c>
      <c r="I309" s="2" t="s">
        <v>42</v>
      </c>
      <c r="J309" s="2" t="s">
        <v>59</v>
      </c>
      <c r="K309">
        <v>0</v>
      </c>
      <c r="L309" s="2" t="s">
        <v>659</v>
      </c>
      <c r="M309" s="2" t="s">
        <v>660</v>
      </c>
      <c r="N309">
        <v>35.96</v>
      </c>
      <c r="O309" s="1">
        <v>45473</v>
      </c>
      <c r="P309" s="1">
        <v>45482</v>
      </c>
      <c r="Q309" s="2" t="s">
        <v>45</v>
      </c>
      <c r="R309" s="2">
        <v>5885</v>
      </c>
    </row>
    <row r="310" spans="1:18" x14ac:dyDescent="0.25">
      <c r="A310" s="1">
        <v>44937</v>
      </c>
      <c r="B310" s="2" t="s">
        <v>26</v>
      </c>
      <c r="C310" s="2" t="s">
        <v>75</v>
      </c>
      <c r="D310">
        <v>9</v>
      </c>
      <c r="E310">
        <v>16</v>
      </c>
      <c r="F310" s="2" t="s">
        <v>51</v>
      </c>
      <c r="G310" s="2" t="s">
        <v>29</v>
      </c>
      <c r="H310">
        <v>0.1</v>
      </c>
      <c r="I310" s="2" t="s">
        <v>42</v>
      </c>
      <c r="J310" s="2" t="s">
        <v>31</v>
      </c>
      <c r="K310">
        <v>1</v>
      </c>
      <c r="L310" s="2" t="s">
        <v>661</v>
      </c>
      <c r="M310" s="2" t="s">
        <v>662</v>
      </c>
      <c r="N310">
        <v>27.81</v>
      </c>
      <c r="O310" s="1">
        <v>44937</v>
      </c>
      <c r="P310" s="1">
        <v>44945</v>
      </c>
      <c r="Q310" s="2" t="s">
        <v>34</v>
      </c>
      <c r="R310" s="2">
        <v>130</v>
      </c>
    </row>
    <row r="311" spans="1:18" x14ac:dyDescent="0.25">
      <c r="A311" s="1">
        <v>45813</v>
      </c>
      <c r="B311" s="2" t="s">
        <v>35</v>
      </c>
      <c r="C311" s="2" t="s">
        <v>36</v>
      </c>
      <c r="D311">
        <v>13</v>
      </c>
      <c r="E311">
        <v>467</v>
      </c>
      <c r="F311" s="2" t="s">
        <v>46</v>
      </c>
      <c r="G311" s="2" t="s">
        <v>20</v>
      </c>
      <c r="H311">
        <v>0</v>
      </c>
      <c r="I311" s="2" t="s">
        <v>21</v>
      </c>
      <c r="J311" s="2" t="s">
        <v>59</v>
      </c>
      <c r="K311">
        <v>0</v>
      </c>
      <c r="L311" s="2" t="s">
        <v>663</v>
      </c>
      <c r="M311" s="2" t="s">
        <v>664</v>
      </c>
      <c r="N311">
        <v>18.63</v>
      </c>
      <c r="O311" s="1">
        <v>45813</v>
      </c>
      <c r="P311" s="1">
        <v>45822</v>
      </c>
      <c r="Q311" s="2" t="s">
        <v>39</v>
      </c>
      <c r="R311" s="2">
        <v>6071</v>
      </c>
    </row>
    <row r="312" spans="1:18" x14ac:dyDescent="0.25">
      <c r="A312" s="1">
        <v>45372</v>
      </c>
      <c r="B312" s="2" t="s">
        <v>35</v>
      </c>
      <c r="C312" s="2" t="s">
        <v>50</v>
      </c>
      <c r="D312">
        <v>16</v>
      </c>
      <c r="E312">
        <v>593</v>
      </c>
      <c r="F312" s="2" t="s">
        <v>51</v>
      </c>
      <c r="G312" s="2" t="s">
        <v>29</v>
      </c>
      <c r="H312">
        <v>0.1</v>
      </c>
      <c r="I312" s="2" t="s">
        <v>21</v>
      </c>
      <c r="J312" s="2" t="s">
        <v>31</v>
      </c>
      <c r="K312">
        <v>0</v>
      </c>
      <c r="L312" s="2" t="s">
        <v>665</v>
      </c>
      <c r="M312" s="2" t="s">
        <v>666</v>
      </c>
      <c r="N312">
        <v>18.77</v>
      </c>
      <c r="O312" s="1">
        <v>45372</v>
      </c>
      <c r="P312" s="1">
        <v>45375</v>
      </c>
      <c r="Q312" s="2" t="s">
        <v>39</v>
      </c>
      <c r="R312" s="2">
        <v>8539</v>
      </c>
    </row>
    <row r="313" spans="1:18" x14ac:dyDescent="0.25">
      <c r="A313" s="1">
        <v>45169</v>
      </c>
      <c r="B313" s="2" t="s">
        <v>26</v>
      </c>
      <c r="C313" s="2" t="s">
        <v>36</v>
      </c>
      <c r="D313">
        <v>6</v>
      </c>
      <c r="E313">
        <v>567</v>
      </c>
      <c r="F313" s="2" t="s">
        <v>46</v>
      </c>
      <c r="G313" s="2" t="s">
        <v>20</v>
      </c>
      <c r="H313">
        <v>0.05</v>
      </c>
      <c r="I313" s="2" t="s">
        <v>30</v>
      </c>
      <c r="J313" s="2" t="s">
        <v>31</v>
      </c>
      <c r="K313">
        <v>0</v>
      </c>
      <c r="L313" s="2" t="s">
        <v>667</v>
      </c>
      <c r="M313" s="2" t="s">
        <v>668</v>
      </c>
      <c r="N313">
        <v>45.98</v>
      </c>
      <c r="O313" s="1">
        <v>45169</v>
      </c>
      <c r="P313" s="1">
        <v>45177</v>
      </c>
      <c r="Q313" s="2" t="s">
        <v>34</v>
      </c>
      <c r="R313" s="2">
        <v>3232</v>
      </c>
    </row>
    <row r="314" spans="1:18" x14ac:dyDescent="0.25">
      <c r="A314" s="1">
        <v>45572</v>
      </c>
      <c r="B314" s="2" t="s">
        <v>26</v>
      </c>
      <c r="C314" s="2" t="s">
        <v>27</v>
      </c>
      <c r="D314">
        <v>17</v>
      </c>
      <c r="E314">
        <v>523</v>
      </c>
      <c r="F314" s="2" t="s">
        <v>28</v>
      </c>
      <c r="G314" s="2" t="s">
        <v>29</v>
      </c>
      <c r="H314">
        <v>0.05</v>
      </c>
      <c r="I314" s="2" t="s">
        <v>21</v>
      </c>
      <c r="J314" s="2" t="s">
        <v>56</v>
      </c>
      <c r="K314">
        <v>0</v>
      </c>
      <c r="L314" s="2" t="s">
        <v>669</v>
      </c>
      <c r="M314" s="2" t="s">
        <v>670</v>
      </c>
      <c r="N314">
        <v>37.380000000000003</v>
      </c>
      <c r="O314" s="1">
        <v>45572</v>
      </c>
      <c r="P314" s="1">
        <v>45582</v>
      </c>
      <c r="Q314" s="2" t="s">
        <v>34</v>
      </c>
      <c r="R314" s="2">
        <v>8446</v>
      </c>
    </row>
    <row r="315" spans="1:18" x14ac:dyDescent="0.25">
      <c r="A315" s="1">
        <v>45028</v>
      </c>
      <c r="B315" s="2" t="s">
        <v>35</v>
      </c>
      <c r="C315" s="2" t="s">
        <v>18</v>
      </c>
      <c r="D315">
        <v>17</v>
      </c>
      <c r="E315">
        <v>376</v>
      </c>
      <c r="F315" s="2" t="s">
        <v>46</v>
      </c>
      <c r="G315" s="2" t="s">
        <v>20</v>
      </c>
      <c r="H315">
        <v>0</v>
      </c>
      <c r="I315" s="2" t="s">
        <v>30</v>
      </c>
      <c r="J315" s="2" t="s">
        <v>56</v>
      </c>
      <c r="K315">
        <v>0</v>
      </c>
      <c r="L315" s="2" t="s">
        <v>671</v>
      </c>
      <c r="M315" s="2" t="s">
        <v>672</v>
      </c>
      <c r="N315">
        <v>33.380000000000003</v>
      </c>
      <c r="O315" s="1">
        <v>45028</v>
      </c>
      <c r="P315" s="1">
        <v>45031</v>
      </c>
      <c r="Q315" s="2" t="s">
        <v>39</v>
      </c>
      <c r="R315" s="2">
        <v>6392</v>
      </c>
    </row>
    <row r="316" spans="1:18" x14ac:dyDescent="0.25">
      <c r="A316" s="1">
        <v>45236</v>
      </c>
      <c r="B316" s="2" t="s">
        <v>26</v>
      </c>
      <c r="C316" s="2" t="s">
        <v>126</v>
      </c>
      <c r="D316">
        <v>5</v>
      </c>
      <c r="E316">
        <v>95</v>
      </c>
      <c r="F316" s="2" t="s">
        <v>28</v>
      </c>
      <c r="G316" s="2" t="s">
        <v>29</v>
      </c>
      <c r="H316">
        <v>0.15</v>
      </c>
      <c r="I316" s="2" t="s">
        <v>42</v>
      </c>
      <c r="J316" s="2" t="s">
        <v>53</v>
      </c>
      <c r="K316">
        <v>0</v>
      </c>
      <c r="L316" s="2" t="s">
        <v>673</v>
      </c>
      <c r="M316" s="2" t="s">
        <v>674</v>
      </c>
      <c r="N316">
        <v>48.55</v>
      </c>
      <c r="O316" s="1">
        <v>45236</v>
      </c>
      <c r="P316" s="1">
        <v>45246</v>
      </c>
      <c r="Q316" s="2" t="s">
        <v>34</v>
      </c>
      <c r="R316" s="2">
        <v>404</v>
      </c>
    </row>
    <row r="317" spans="1:18" x14ac:dyDescent="0.25">
      <c r="A317" s="1">
        <v>45044</v>
      </c>
      <c r="B317" s="2" t="s">
        <v>65</v>
      </c>
      <c r="C317" s="2" t="s">
        <v>36</v>
      </c>
      <c r="D317">
        <v>2</v>
      </c>
      <c r="E317">
        <v>211</v>
      </c>
      <c r="F317" s="2" t="s">
        <v>51</v>
      </c>
      <c r="G317" s="2" t="s">
        <v>20</v>
      </c>
      <c r="H317">
        <v>0.15</v>
      </c>
      <c r="I317" s="2" t="s">
        <v>52</v>
      </c>
      <c r="J317" s="2" t="s">
        <v>53</v>
      </c>
      <c r="K317">
        <v>0</v>
      </c>
      <c r="L317" s="2" t="s">
        <v>675</v>
      </c>
      <c r="M317" s="2" t="s">
        <v>676</v>
      </c>
      <c r="N317">
        <v>7.78</v>
      </c>
      <c r="O317" s="1">
        <v>45044</v>
      </c>
      <c r="P317" s="1">
        <v>45054</v>
      </c>
      <c r="Q317" s="2" t="s">
        <v>68</v>
      </c>
      <c r="R317" s="2">
        <v>359</v>
      </c>
    </row>
    <row r="318" spans="1:18" x14ac:dyDescent="0.25">
      <c r="A318" s="1">
        <v>45278</v>
      </c>
      <c r="B318" s="2" t="s">
        <v>65</v>
      </c>
      <c r="C318" s="2" t="s">
        <v>126</v>
      </c>
      <c r="D318">
        <v>7</v>
      </c>
      <c r="E318">
        <v>393</v>
      </c>
      <c r="F318" s="2" t="s">
        <v>19</v>
      </c>
      <c r="G318" s="2" t="s">
        <v>29</v>
      </c>
      <c r="H318">
        <v>0.1</v>
      </c>
      <c r="I318" s="2" t="s">
        <v>30</v>
      </c>
      <c r="J318" s="2" t="s">
        <v>59</v>
      </c>
      <c r="K318">
        <v>0</v>
      </c>
      <c r="L318" s="2" t="s">
        <v>677</v>
      </c>
      <c r="M318" s="2" t="s">
        <v>678</v>
      </c>
      <c r="N318">
        <v>34.35</v>
      </c>
      <c r="O318" s="1">
        <v>45278</v>
      </c>
      <c r="P318" s="1">
        <v>45281</v>
      </c>
      <c r="Q318" s="2" t="s">
        <v>68</v>
      </c>
      <c r="R318" s="2">
        <v>2476</v>
      </c>
    </row>
    <row r="319" spans="1:18" x14ac:dyDescent="0.25">
      <c r="A319" s="1">
        <v>45575</v>
      </c>
      <c r="B319" s="2" t="s">
        <v>26</v>
      </c>
      <c r="C319" s="2" t="s">
        <v>27</v>
      </c>
      <c r="D319">
        <v>13</v>
      </c>
      <c r="E319">
        <v>114</v>
      </c>
      <c r="F319" s="2" t="s">
        <v>28</v>
      </c>
      <c r="G319" s="2" t="s">
        <v>29</v>
      </c>
      <c r="H319">
        <v>0</v>
      </c>
      <c r="I319" s="2" t="s">
        <v>62</v>
      </c>
      <c r="J319" s="2" t="s">
        <v>59</v>
      </c>
      <c r="K319">
        <v>0</v>
      </c>
      <c r="L319" s="2" t="s">
        <v>679</v>
      </c>
      <c r="M319" s="2" t="s">
        <v>680</v>
      </c>
      <c r="N319">
        <v>43.81</v>
      </c>
      <c r="O319" s="1">
        <v>45575</v>
      </c>
      <c r="P319" s="1">
        <v>45581</v>
      </c>
      <c r="Q319" s="2" t="s">
        <v>34</v>
      </c>
      <c r="R319" s="2">
        <v>1482</v>
      </c>
    </row>
    <row r="320" spans="1:18" x14ac:dyDescent="0.25">
      <c r="A320" s="1">
        <v>44962</v>
      </c>
      <c r="B320" s="2" t="s">
        <v>35</v>
      </c>
      <c r="C320" s="2" t="s">
        <v>75</v>
      </c>
      <c r="D320">
        <v>18</v>
      </c>
      <c r="E320">
        <v>336</v>
      </c>
      <c r="F320" s="2" t="s">
        <v>19</v>
      </c>
      <c r="G320" s="2" t="s">
        <v>29</v>
      </c>
      <c r="H320">
        <v>0</v>
      </c>
      <c r="I320" s="2" t="s">
        <v>42</v>
      </c>
      <c r="J320" s="2" t="s">
        <v>22</v>
      </c>
      <c r="K320">
        <v>0</v>
      </c>
      <c r="L320" s="2" t="s">
        <v>681</v>
      </c>
      <c r="M320" s="2" t="s">
        <v>682</v>
      </c>
      <c r="N320">
        <v>18.59</v>
      </c>
      <c r="O320" s="1">
        <v>44962</v>
      </c>
      <c r="P320" s="1">
        <v>44964</v>
      </c>
      <c r="Q320" s="2" t="s">
        <v>39</v>
      </c>
      <c r="R320" s="2">
        <v>6048</v>
      </c>
    </row>
    <row r="321" spans="1:18" x14ac:dyDescent="0.25">
      <c r="A321" s="1">
        <v>45508</v>
      </c>
      <c r="B321" s="2" t="s">
        <v>40</v>
      </c>
      <c r="C321" s="2" t="s">
        <v>50</v>
      </c>
      <c r="D321">
        <v>9</v>
      </c>
      <c r="E321">
        <v>24</v>
      </c>
      <c r="F321" s="2" t="s">
        <v>46</v>
      </c>
      <c r="G321" s="2" t="s">
        <v>20</v>
      </c>
      <c r="H321">
        <v>0.15</v>
      </c>
      <c r="I321" s="2" t="s">
        <v>21</v>
      </c>
      <c r="J321" s="2" t="s">
        <v>31</v>
      </c>
      <c r="K321">
        <v>1</v>
      </c>
      <c r="L321" s="2" t="s">
        <v>683</v>
      </c>
      <c r="M321" s="2" t="s">
        <v>684</v>
      </c>
      <c r="N321">
        <v>22.06</v>
      </c>
      <c r="O321" s="1">
        <v>45508</v>
      </c>
      <c r="P321" s="1">
        <v>45518</v>
      </c>
      <c r="Q321" s="2" t="s">
        <v>45</v>
      </c>
      <c r="R321" s="2">
        <v>184</v>
      </c>
    </row>
    <row r="322" spans="1:18" x14ac:dyDescent="0.25">
      <c r="A322" s="1">
        <v>45588</v>
      </c>
      <c r="B322" s="2" t="s">
        <v>40</v>
      </c>
      <c r="C322" s="2" t="s">
        <v>75</v>
      </c>
      <c r="D322">
        <v>12</v>
      </c>
      <c r="E322">
        <v>352</v>
      </c>
      <c r="F322" s="2" t="s">
        <v>28</v>
      </c>
      <c r="G322" s="2" t="s">
        <v>29</v>
      </c>
      <c r="H322">
        <v>0.05</v>
      </c>
      <c r="I322" s="2" t="s">
        <v>21</v>
      </c>
      <c r="J322" s="2" t="s">
        <v>53</v>
      </c>
      <c r="K322">
        <v>0</v>
      </c>
      <c r="L322" s="2" t="s">
        <v>685</v>
      </c>
      <c r="M322" s="2" t="s">
        <v>686</v>
      </c>
      <c r="N322">
        <v>18.39</v>
      </c>
      <c r="O322" s="1">
        <v>45588</v>
      </c>
      <c r="P322" s="1">
        <v>45597</v>
      </c>
      <c r="Q322" s="2" t="s">
        <v>45</v>
      </c>
      <c r="R322" s="2">
        <v>4013</v>
      </c>
    </row>
    <row r="323" spans="1:18" x14ac:dyDescent="0.25">
      <c r="A323" s="1">
        <v>45335</v>
      </c>
      <c r="B323" s="2" t="s">
        <v>65</v>
      </c>
      <c r="C323" s="2" t="s">
        <v>50</v>
      </c>
      <c r="D323">
        <v>7</v>
      </c>
      <c r="E323">
        <v>354</v>
      </c>
      <c r="F323" s="2" t="s">
        <v>46</v>
      </c>
      <c r="G323" s="2" t="s">
        <v>20</v>
      </c>
      <c r="H323">
        <v>0.05</v>
      </c>
      <c r="I323" s="2" t="s">
        <v>47</v>
      </c>
      <c r="J323" s="2" t="s">
        <v>31</v>
      </c>
      <c r="K323">
        <v>0</v>
      </c>
      <c r="L323" s="2" t="s">
        <v>687</v>
      </c>
      <c r="M323" s="2" t="s">
        <v>688</v>
      </c>
      <c r="N323">
        <v>5.93</v>
      </c>
      <c r="O323" s="1">
        <v>45335</v>
      </c>
      <c r="P323" s="1">
        <v>45342</v>
      </c>
      <c r="Q323" s="2" t="s">
        <v>68</v>
      </c>
      <c r="R323" s="2">
        <v>2354</v>
      </c>
    </row>
    <row r="324" spans="1:18" x14ac:dyDescent="0.25">
      <c r="A324" s="1">
        <v>45446</v>
      </c>
      <c r="B324" s="2" t="s">
        <v>26</v>
      </c>
      <c r="C324" s="2" t="s">
        <v>75</v>
      </c>
      <c r="D324">
        <v>15</v>
      </c>
      <c r="E324">
        <v>10</v>
      </c>
      <c r="F324" s="2" t="s">
        <v>46</v>
      </c>
      <c r="G324" s="2" t="s">
        <v>29</v>
      </c>
      <c r="H324">
        <v>0</v>
      </c>
      <c r="I324" s="2" t="s">
        <v>30</v>
      </c>
      <c r="J324" s="2" t="s">
        <v>31</v>
      </c>
      <c r="K324">
        <v>0</v>
      </c>
      <c r="L324" s="2" t="s">
        <v>689</v>
      </c>
      <c r="M324" s="2" t="s">
        <v>690</v>
      </c>
      <c r="N324">
        <v>36.270000000000003</v>
      </c>
      <c r="O324" s="1">
        <v>45446</v>
      </c>
      <c r="P324" s="1">
        <v>45450</v>
      </c>
      <c r="Q324" s="2" t="s">
        <v>34</v>
      </c>
      <c r="R324" s="2">
        <v>150</v>
      </c>
    </row>
    <row r="325" spans="1:18" x14ac:dyDescent="0.25">
      <c r="A325" s="1">
        <v>45030</v>
      </c>
      <c r="B325" s="2" t="s">
        <v>26</v>
      </c>
      <c r="C325" s="2" t="s">
        <v>126</v>
      </c>
      <c r="D325">
        <v>17</v>
      </c>
      <c r="E325">
        <v>464</v>
      </c>
      <c r="F325" s="2" t="s">
        <v>28</v>
      </c>
      <c r="G325" s="2" t="s">
        <v>29</v>
      </c>
      <c r="H325">
        <v>0.15</v>
      </c>
      <c r="I325" s="2" t="s">
        <v>47</v>
      </c>
      <c r="J325" s="2" t="s">
        <v>56</v>
      </c>
      <c r="K325">
        <v>1</v>
      </c>
      <c r="L325" s="2" t="s">
        <v>691</v>
      </c>
      <c r="M325" s="2" t="s">
        <v>692</v>
      </c>
      <c r="N325">
        <v>46.83</v>
      </c>
      <c r="O325" s="1">
        <v>45030</v>
      </c>
      <c r="P325" s="1">
        <v>45034</v>
      </c>
      <c r="Q325" s="2" t="s">
        <v>34</v>
      </c>
      <c r="R325" s="2">
        <v>6705</v>
      </c>
    </row>
    <row r="326" spans="1:18" x14ac:dyDescent="0.25">
      <c r="A326" s="1">
        <v>45584</v>
      </c>
      <c r="B326" s="2" t="s">
        <v>40</v>
      </c>
      <c r="C326" s="2" t="s">
        <v>18</v>
      </c>
      <c r="D326">
        <v>16</v>
      </c>
      <c r="E326">
        <v>436</v>
      </c>
      <c r="F326" s="2" t="s">
        <v>46</v>
      </c>
      <c r="G326" s="2" t="s">
        <v>29</v>
      </c>
      <c r="H326">
        <v>0.05</v>
      </c>
      <c r="I326" s="2" t="s">
        <v>52</v>
      </c>
      <c r="J326" s="2" t="s">
        <v>22</v>
      </c>
      <c r="K326">
        <v>0</v>
      </c>
      <c r="L326" s="2" t="s">
        <v>693</v>
      </c>
      <c r="M326" s="2" t="s">
        <v>694</v>
      </c>
      <c r="N326">
        <v>47.61</v>
      </c>
      <c r="O326" s="1">
        <v>45584</v>
      </c>
      <c r="P326" s="1">
        <v>45588</v>
      </c>
      <c r="Q326" s="2" t="s">
        <v>45</v>
      </c>
      <c r="R326" s="2">
        <v>6627</v>
      </c>
    </row>
    <row r="327" spans="1:18" x14ac:dyDescent="0.25">
      <c r="A327" s="1">
        <v>45278</v>
      </c>
      <c r="B327" s="2" t="s">
        <v>26</v>
      </c>
      <c r="C327" s="2" t="s">
        <v>18</v>
      </c>
      <c r="D327">
        <v>9</v>
      </c>
      <c r="E327">
        <v>220</v>
      </c>
      <c r="F327" s="2" t="s">
        <v>19</v>
      </c>
      <c r="G327" s="2" t="s">
        <v>20</v>
      </c>
      <c r="H327">
        <v>0.05</v>
      </c>
      <c r="I327" s="2" t="s">
        <v>62</v>
      </c>
      <c r="J327" s="2" t="s">
        <v>31</v>
      </c>
      <c r="K327">
        <v>0</v>
      </c>
      <c r="L327" s="2" t="s">
        <v>695</v>
      </c>
      <c r="M327" s="2" t="s">
        <v>696</v>
      </c>
      <c r="N327">
        <v>44.78</v>
      </c>
      <c r="O327" s="1">
        <v>45278</v>
      </c>
      <c r="P327" s="1">
        <v>45282</v>
      </c>
      <c r="Q327" s="2" t="s">
        <v>34</v>
      </c>
      <c r="R327" s="2">
        <v>1881</v>
      </c>
    </row>
    <row r="328" spans="1:18" x14ac:dyDescent="0.25">
      <c r="A328" s="1">
        <v>45169</v>
      </c>
      <c r="B328" s="2" t="s">
        <v>35</v>
      </c>
      <c r="C328" s="2" t="s">
        <v>18</v>
      </c>
      <c r="D328">
        <v>5</v>
      </c>
      <c r="E328">
        <v>311</v>
      </c>
      <c r="F328" s="2" t="s">
        <v>28</v>
      </c>
      <c r="G328" s="2" t="s">
        <v>20</v>
      </c>
      <c r="H328">
        <v>0.15</v>
      </c>
      <c r="I328" s="2" t="s">
        <v>52</v>
      </c>
      <c r="J328" s="2" t="s">
        <v>59</v>
      </c>
      <c r="K328">
        <v>0</v>
      </c>
      <c r="L328" s="2" t="s">
        <v>697</v>
      </c>
      <c r="M328" s="2" t="s">
        <v>698</v>
      </c>
      <c r="N328">
        <v>36.979999999999997</v>
      </c>
      <c r="O328" s="1">
        <v>45169</v>
      </c>
      <c r="P328" s="1">
        <v>45175</v>
      </c>
      <c r="Q328" s="2" t="s">
        <v>39</v>
      </c>
      <c r="R328" s="2">
        <v>1322</v>
      </c>
    </row>
    <row r="329" spans="1:18" x14ac:dyDescent="0.25">
      <c r="A329" s="1">
        <v>45188</v>
      </c>
      <c r="B329" s="2" t="s">
        <v>26</v>
      </c>
      <c r="C329" s="2" t="s">
        <v>18</v>
      </c>
      <c r="D329">
        <v>4</v>
      </c>
      <c r="E329">
        <v>548</v>
      </c>
      <c r="F329" s="2" t="s">
        <v>51</v>
      </c>
      <c r="G329" s="2" t="s">
        <v>29</v>
      </c>
      <c r="H329">
        <v>0.15</v>
      </c>
      <c r="I329" s="2" t="s">
        <v>42</v>
      </c>
      <c r="J329" s="2" t="s">
        <v>31</v>
      </c>
      <c r="K329">
        <v>0</v>
      </c>
      <c r="L329" s="2" t="s">
        <v>699</v>
      </c>
      <c r="M329" s="2" t="s">
        <v>700</v>
      </c>
      <c r="N329">
        <v>25.88</v>
      </c>
      <c r="O329" s="1">
        <v>45188</v>
      </c>
      <c r="P329" s="1">
        <v>45195</v>
      </c>
      <c r="Q329" s="2" t="s">
        <v>34</v>
      </c>
      <c r="R329" s="2">
        <v>1863</v>
      </c>
    </row>
    <row r="330" spans="1:18" x14ac:dyDescent="0.25">
      <c r="A330" s="1">
        <v>44984</v>
      </c>
      <c r="B330" s="2" t="s">
        <v>40</v>
      </c>
      <c r="C330" s="2" t="s">
        <v>18</v>
      </c>
      <c r="D330">
        <v>9</v>
      </c>
      <c r="E330">
        <v>53</v>
      </c>
      <c r="F330" s="2" t="s">
        <v>51</v>
      </c>
      <c r="G330" s="2" t="s">
        <v>29</v>
      </c>
      <c r="H330">
        <v>0.15</v>
      </c>
      <c r="I330" s="2" t="s">
        <v>52</v>
      </c>
      <c r="J330" s="2" t="s">
        <v>22</v>
      </c>
      <c r="K330">
        <v>0</v>
      </c>
      <c r="L330" s="2" t="s">
        <v>701</v>
      </c>
      <c r="M330" s="2" t="s">
        <v>702</v>
      </c>
      <c r="N330">
        <v>14.59</v>
      </c>
      <c r="O330" s="1">
        <v>44984</v>
      </c>
      <c r="P330" s="1">
        <v>44989</v>
      </c>
      <c r="Q330" s="2" t="s">
        <v>45</v>
      </c>
      <c r="R330" s="2">
        <v>405</v>
      </c>
    </row>
    <row r="331" spans="1:18" x14ac:dyDescent="0.25">
      <c r="A331" s="1">
        <v>45319</v>
      </c>
      <c r="B331" s="2" t="s">
        <v>26</v>
      </c>
      <c r="C331" s="2" t="s">
        <v>75</v>
      </c>
      <c r="D331">
        <v>9</v>
      </c>
      <c r="E331">
        <v>435</v>
      </c>
      <c r="F331" s="2" t="s">
        <v>51</v>
      </c>
      <c r="G331" s="2" t="s">
        <v>20</v>
      </c>
      <c r="H331">
        <v>0.1</v>
      </c>
      <c r="I331" s="2" t="s">
        <v>62</v>
      </c>
      <c r="J331" s="2" t="s">
        <v>22</v>
      </c>
      <c r="K331">
        <v>0</v>
      </c>
      <c r="L331" s="2" t="s">
        <v>703</v>
      </c>
      <c r="M331" s="2" t="s">
        <v>704</v>
      </c>
      <c r="N331">
        <v>20.11</v>
      </c>
      <c r="O331" s="1">
        <v>45319</v>
      </c>
      <c r="P331" s="1">
        <v>45322</v>
      </c>
      <c r="Q331" s="2" t="s">
        <v>34</v>
      </c>
      <c r="R331" s="2">
        <v>3524</v>
      </c>
    </row>
    <row r="332" spans="1:18" x14ac:dyDescent="0.25">
      <c r="A332" s="1">
        <v>45783</v>
      </c>
      <c r="B332" s="2" t="s">
        <v>26</v>
      </c>
      <c r="C332" s="2" t="s">
        <v>50</v>
      </c>
      <c r="D332">
        <v>9</v>
      </c>
      <c r="E332">
        <v>124</v>
      </c>
      <c r="F332" s="2" t="s">
        <v>46</v>
      </c>
      <c r="G332" s="2" t="s">
        <v>20</v>
      </c>
      <c r="H332">
        <v>0</v>
      </c>
      <c r="I332" s="2" t="s">
        <v>21</v>
      </c>
      <c r="J332" s="2" t="s">
        <v>56</v>
      </c>
      <c r="K332">
        <v>0</v>
      </c>
      <c r="L332" s="2" t="s">
        <v>705</v>
      </c>
      <c r="M332" s="2" t="s">
        <v>706</v>
      </c>
      <c r="N332">
        <v>13.31</v>
      </c>
      <c r="O332" s="1">
        <v>45783</v>
      </c>
      <c r="P332" s="1">
        <v>45787</v>
      </c>
      <c r="Q332" s="2" t="s">
        <v>34</v>
      </c>
      <c r="R332" s="2">
        <v>1116</v>
      </c>
    </row>
    <row r="333" spans="1:18" x14ac:dyDescent="0.25">
      <c r="A333" s="1">
        <v>45548</v>
      </c>
      <c r="B333" s="2" t="s">
        <v>17</v>
      </c>
      <c r="C333" s="2" t="s">
        <v>50</v>
      </c>
      <c r="D333">
        <v>2</v>
      </c>
      <c r="E333">
        <v>375</v>
      </c>
      <c r="F333" s="2" t="s">
        <v>51</v>
      </c>
      <c r="G333" s="2" t="s">
        <v>29</v>
      </c>
      <c r="H333">
        <v>0.05</v>
      </c>
      <c r="I333" s="2" t="s">
        <v>52</v>
      </c>
      <c r="J333" s="2" t="s">
        <v>53</v>
      </c>
      <c r="K333">
        <v>0</v>
      </c>
      <c r="L333" s="2" t="s">
        <v>707</v>
      </c>
      <c r="M333" s="2" t="s">
        <v>708</v>
      </c>
      <c r="N333">
        <v>26.39</v>
      </c>
      <c r="O333" s="1">
        <v>45548</v>
      </c>
      <c r="P333" s="1">
        <v>45550</v>
      </c>
      <c r="Q333" s="2" t="s">
        <v>25</v>
      </c>
      <c r="R333" s="2">
        <v>712</v>
      </c>
    </row>
    <row r="334" spans="1:18" x14ac:dyDescent="0.25">
      <c r="A334" s="1">
        <v>45071</v>
      </c>
      <c r="B334" s="2" t="s">
        <v>17</v>
      </c>
      <c r="C334" s="2" t="s">
        <v>126</v>
      </c>
      <c r="D334">
        <v>13</v>
      </c>
      <c r="E334">
        <v>211</v>
      </c>
      <c r="F334" s="2" t="s">
        <v>19</v>
      </c>
      <c r="G334" s="2" t="s">
        <v>29</v>
      </c>
      <c r="H334">
        <v>0.1</v>
      </c>
      <c r="I334" s="2" t="s">
        <v>62</v>
      </c>
      <c r="J334" s="2" t="s">
        <v>31</v>
      </c>
      <c r="K334">
        <v>1</v>
      </c>
      <c r="L334" s="2" t="s">
        <v>709</v>
      </c>
      <c r="M334" s="2" t="s">
        <v>710</v>
      </c>
      <c r="N334">
        <v>19.579999999999998</v>
      </c>
      <c r="O334" s="1">
        <v>45071</v>
      </c>
      <c r="P334" s="1">
        <v>45075</v>
      </c>
      <c r="Q334" s="2" t="s">
        <v>25</v>
      </c>
      <c r="R334" s="2">
        <v>2469</v>
      </c>
    </row>
    <row r="335" spans="1:18" x14ac:dyDescent="0.25">
      <c r="A335" s="1">
        <v>45561</v>
      </c>
      <c r="B335" s="2" t="s">
        <v>26</v>
      </c>
      <c r="C335" s="2" t="s">
        <v>75</v>
      </c>
      <c r="D335">
        <v>7</v>
      </c>
      <c r="E335">
        <v>89</v>
      </c>
      <c r="F335" s="2" t="s">
        <v>46</v>
      </c>
      <c r="G335" s="2" t="s">
        <v>29</v>
      </c>
      <c r="H335">
        <v>0</v>
      </c>
      <c r="I335" s="2" t="s">
        <v>30</v>
      </c>
      <c r="J335" s="2" t="s">
        <v>22</v>
      </c>
      <c r="K335">
        <v>0</v>
      </c>
      <c r="L335" s="2" t="s">
        <v>711</v>
      </c>
      <c r="M335" s="2" t="s">
        <v>712</v>
      </c>
      <c r="N335">
        <v>8.36</v>
      </c>
      <c r="O335" s="1">
        <v>45561</v>
      </c>
      <c r="P335" s="1">
        <v>45566</v>
      </c>
      <c r="Q335" s="2" t="s">
        <v>34</v>
      </c>
      <c r="R335" s="2">
        <v>623</v>
      </c>
    </row>
    <row r="336" spans="1:18" x14ac:dyDescent="0.25">
      <c r="A336" s="1">
        <v>44970</v>
      </c>
      <c r="B336" s="2" t="s">
        <v>26</v>
      </c>
      <c r="C336" s="2" t="s">
        <v>27</v>
      </c>
      <c r="D336">
        <v>5</v>
      </c>
      <c r="E336">
        <v>254</v>
      </c>
      <c r="F336" s="2" t="s">
        <v>19</v>
      </c>
      <c r="G336" s="2" t="s">
        <v>20</v>
      </c>
      <c r="H336">
        <v>0.05</v>
      </c>
      <c r="I336" s="2" t="s">
        <v>62</v>
      </c>
      <c r="J336" s="2" t="s">
        <v>22</v>
      </c>
      <c r="K336">
        <v>0</v>
      </c>
      <c r="L336" s="2" t="s">
        <v>713</v>
      </c>
      <c r="M336" s="2" t="s">
        <v>714</v>
      </c>
      <c r="N336">
        <v>9.9700000000000006</v>
      </c>
      <c r="O336" s="1">
        <v>44970</v>
      </c>
      <c r="P336" s="1">
        <v>44975</v>
      </c>
      <c r="Q336" s="2" t="s">
        <v>34</v>
      </c>
      <c r="R336" s="2">
        <v>1206</v>
      </c>
    </row>
    <row r="337" spans="1:18" x14ac:dyDescent="0.25">
      <c r="A337" s="1">
        <v>45463</v>
      </c>
      <c r="B337" s="2" t="s">
        <v>40</v>
      </c>
      <c r="C337" s="2" t="s">
        <v>41</v>
      </c>
      <c r="D337">
        <v>5</v>
      </c>
      <c r="E337">
        <v>432</v>
      </c>
      <c r="F337" s="2" t="s">
        <v>46</v>
      </c>
      <c r="G337" s="2" t="s">
        <v>20</v>
      </c>
      <c r="H337">
        <v>0.1</v>
      </c>
      <c r="I337" s="2" t="s">
        <v>62</v>
      </c>
      <c r="J337" s="2" t="s">
        <v>31</v>
      </c>
      <c r="K337">
        <v>1</v>
      </c>
      <c r="L337" s="2" t="s">
        <v>715</v>
      </c>
      <c r="M337" s="2" t="s">
        <v>716</v>
      </c>
      <c r="N337">
        <v>41.48</v>
      </c>
      <c r="O337" s="1">
        <v>45463</v>
      </c>
      <c r="P337" s="1">
        <v>45470</v>
      </c>
      <c r="Q337" s="2" t="s">
        <v>45</v>
      </c>
      <c r="R337" s="2">
        <v>1944</v>
      </c>
    </row>
    <row r="338" spans="1:18" x14ac:dyDescent="0.25">
      <c r="A338" s="1">
        <v>45373</v>
      </c>
      <c r="B338" s="2" t="s">
        <v>65</v>
      </c>
      <c r="C338" s="2" t="s">
        <v>18</v>
      </c>
      <c r="D338">
        <v>19</v>
      </c>
      <c r="E338">
        <v>590</v>
      </c>
      <c r="F338" s="2" t="s">
        <v>51</v>
      </c>
      <c r="G338" s="2" t="s">
        <v>29</v>
      </c>
      <c r="H338">
        <v>0.05</v>
      </c>
      <c r="I338" s="2" t="s">
        <v>30</v>
      </c>
      <c r="J338" s="2" t="s">
        <v>22</v>
      </c>
      <c r="K338">
        <v>0</v>
      </c>
      <c r="L338" s="2" t="s">
        <v>717</v>
      </c>
      <c r="M338" s="2" t="s">
        <v>718</v>
      </c>
      <c r="N338">
        <v>5.91</v>
      </c>
      <c r="O338" s="1">
        <v>45373</v>
      </c>
      <c r="P338" s="1">
        <v>45376</v>
      </c>
      <c r="Q338" s="2" t="s">
        <v>68</v>
      </c>
      <c r="R338" s="2">
        <v>10650</v>
      </c>
    </row>
    <row r="339" spans="1:18" x14ac:dyDescent="0.25">
      <c r="A339" s="1">
        <v>45330</v>
      </c>
      <c r="B339" s="2" t="s">
        <v>65</v>
      </c>
      <c r="C339" s="2" t="s">
        <v>50</v>
      </c>
      <c r="D339">
        <v>11</v>
      </c>
      <c r="E339">
        <v>151</v>
      </c>
      <c r="F339" s="2" t="s">
        <v>19</v>
      </c>
      <c r="G339" s="2" t="s">
        <v>20</v>
      </c>
      <c r="H339">
        <v>0.1</v>
      </c>
      <c r="I339" s="2" t="s">
        <v>42</v>
      </c>
      <c r="J339" s="2" t="s">
        <v>53</v>
      </c>
      <c r="K339">
        <v>1</v>
      </c>
      <c r="L339" s="2" t="s">
        <v>719</v>
      </c>
      <c r="M339" s="2" t="s">
        <v>720</v>
      </c>
      <c r="N339">
        <v>22.65</v>
      </c>
      <c r="O339" s="1">
        <v>45330</v>
      </c>
      <c r="P339" s="1">
        <v>45333</v>
      </c>
      <c r="Q339" s="2" t="s">
        <v>68</v>
      </c>
      <c r="R339" s="2">
        <v>1495</v>
      </c>
    </row>
    <row r="340" spans="1:18" x14ac:dyDescent="0.25">
      <c r="A340" s="1">
        <v>45444</v>
      </c>
      <c r="B340" s="2" t="s">
        <v>17</v>
      </c>
      <c r="C340" s="2" t="s">
        <v>36</v>
      </c>
      <c r="D340">
        <v>3</v>
      </c>
      <c r="E340">
        <v>205</v>
      </c>
      <c r="F340" s="2" t="s">
        <v>19</v>
      </c>
      <c r="G340" s="2" t="s">
        <v>29</v>
      </c>
      <c r="H340">
        <v>0.1</v>
      </c>
      <c r="I340" s="2" t="s">
        <v>42</v>
      </c>
      <c r="J340" s="2" t="s">
        <v>22</v>
      </c>
      <c r="K340">
        <v>1</v>
      </c>
      <c r="L340" s="2" t="s">
        <v>721</v>
      </c>
      <c r="M340" s="2" t="s">
        <v>722</v>
      </c>
      <c r="N340">
        <v>7.72</v>
      </c>
      <c r="O340" s="1">
        <v>45444</v>
      </c>
      <c r="P340" s="1">
        <v>45447</v>
      </c>
      <c r="Q340" s="2" t="s">
        <v>25</v>
      </c>
      <c r="R340" s="2">
        <v>554</v>
      </c>
    </row>
    <row r="341" spans="1:18" x14ac:dyDescent="0.25">
      <c r="A341" s="1">
        <v>45438</v>
      </c>
      <c r="B341" s="2" t="s">
        <v>35</v>
      </c>
      <c r="C341" s="2" t="s">
        <v>18</v>
      </c>
      <c r="D341">
        <v>16</v>
      </c>
      <c r="E341">
        <v>587</v>
      </c>
      <c r="F341" s="2" t="s">
        <v>46</v>
      </c>
      <c r="G341" s="2" t="s">
        <v>20</v>
      </c>
      <c r="H341">
        <v>0</v>
      </c>
      <c r="I341" s="2" t="s">
        <v>52</v>
      </c>
      <c r="J341" s="2" t="s">
        <v>53</v>
      </c>
      <c r="K341">
        <v>1</v>
      </c>
      <c r="L341" s="2" t="s">
        <v>723</v>
      </c>
      <c r="M341" s="2" t="s">
        <v>724</v>
      </c>
      <c r="N341">
        <v>17.059999999999999</v>
      </c>
      <c r="O341" s="1">
        <v>45438</v>
      </c>
      <c r="P341" s="1">
        <v>45444</v>
      </c>
      <c r="Q341" s="2" t="s">
        <v>39</v>
      </c>
      <c r="R341" s="2">
        <v>9392</v>
      </c>
    </row>
    <row r="342" spans="1:18" x14ac:dyDescent="0.25">
      <c r="A342" s="1">
        <v>45468</v>
      </c>
      <c r="B342" s="2" t="s">
        <v>17</v>
      </c>
      <c r="C342" s="2" t="s">
        <v>126</v>
      </c>
      <c r="D342">
        <v>16</v>
      </c>
      <c r="E342">
        <v>105</v>
      </c>
      <c r="F342" s="2" t="s">
        <v>28</v>
      </c>
      <c r="G342" s="2" t="s">
        <v>20</v>
      </c>
      <c r="H342">
        <v>0</v>
      </c>
      <c r="I342" s="2" t="s">
        <v>47</v>
      </c>
      <c r="J342" s="2" t="s">
        <v>31</v>
      </c>
      <c r="K342">
        <v>0</v>
      </c>
      <c r="L342" s="2" t="s">
        <v>725</v>
      </c>
      <c r="M342" s="2" t="s">
        <v>578</v>
      </c>
      <c r="N342">
        <v>33.99</v>
      </c>
      <c r="O342" s="1">
        <v>45468</v>
      </c>
      <c r="P342" s="1">
        <v>45473</v>
      </c>
      <c r="Q342" s="2" t="s">
        <v>25</v>
      </c>
      <c r="R342" s="2">
        <v>1680</v>
      </c>
    </row>
    <row r="343" spans="1:18" x14ac:dyDescent="0.25">
      <c r="A343" s="1">
        <v>45320</v>
      </c>
      <c r="B343" s="2" t="s">
        <v>40</v>
      </c>
      <c r="C343" s="2" t="s">
        <v>126</v>
      </c>
      <c r="D343">
        <v>16</v>
      </c>
      <c r="E343">
        <v>598</v>
      </c>
      <c r="F343" s="2" t="s">
        <v>28</v>
      </c>
      <c r="G343" s="2" t="s">
        <v>29</v>
      </c>
      <c r="H343">
        <v>0.1</v>
      </c>
      <c r="I343" s="2" t="s">
        <v>42</v>
      </c>
      <c r="J343" s="2" t="s">
        <v>59</v>
      </c>
      <c r="K343">
        <v>0</v>
      </c>
      <c r="L343" s="2" t="s">
        <v>726</v>
      </c>
      <c r="M343" s="2" t="s">
        <v>727</v>
      </c>
      <c r="N343">
        <v>47.86</v>
      </c>
      <c r="O343" s="1">
        <v>45320</v>
      </c>
      <c r="P343" s="1">
        <v>45329</v>
      </c>
      <c r="Q343" s="2" t="s">
        <v>45</v>
      </c>
      <c r="R343" s="2">
        <v>8611</v>
      </c>
    </row>
    <row r="344" spans="1:18" x14ac:dyDescent="0.25">
      <c r="A344" s="1">
        <v>45633</v>
      </c>
      <c r="B344" s="2" t="s">
        <v>26</v>
      </c>
      <c r="C344" s="2" t="s">
        <v>41</v>
      </c>
      <c r="D344">
        <v>8</v>
      </c>
      <c r="E344">
        <v>368</v>
      </c>
      <c r="F344" s="2" t="s">
        <v>19</v>
      </c>
      <c r="G344" s="2" t="s">
        <v>29</v>
      </c>
      <c r="H344">
        <v>0.05</v>
      </c>
      <c r="I344" s="2" t="s">
        <v>30</v>
      </c>
      <c r="J344" s="2" t="s">
        <v>59</v>
      </c>
      <c r="K344">
        <v>0</v>
      </c>
      <c r="L344" s="2" t="s">
        <v>728</v>
      </c>
      <c r="M344" s="2" t="s">
        <v>729</v>
      </c>
      <c r="N344">
        <v>18.100000000000001</v>
      </c>
      <c r="O344" s="1">
        <v>45633</v>
      </c>
      <c r="P344" s="1">
        <v>45635</v>
      </c>
      <c r="Q344" s="2" t="s">
        <v>34</v>
      </c>
      <c r="R344" s="2">
        <v>2797</v>
      </c>
    </row>
    <row r="345" spans="1:18" x14ac:dyDescent="0.25">
      <c r="A345" s="1">
        <v>45251</v>
      </c>
      <c r="B345" s="2" t="s">
        <v>65</v>
      </c>
      <c r="C345" s="2" t="s">
        <v>41</v>
      </c>
      <c r="D345">
        <v>10</v>
      </c>
      <c r="E345">
        <v>333</v>
      </c>
      <c r="F345" s="2" t="s">
        <v>28</v>
      </c>
      <c r="G345" s="2" t="s">
        <v>29</v>
      </c>
      <c r="H345">
        <v>0.15</v>
      </c>
      <c r="I345" s="2" t="s">
        <v>30</v>
      </c>
      <c r="J345" s="2" t="s">
        <v>56</v>
      </c>
      <c r="K345">
        <v>0</v>
      </c>
      <c r="L345" s="2" t="s">
        <v>730</v>
      </c>
      <c r="M345" s="2" t="s">
        <v>731</v>
      </c>
      <c r="N345">
        <v>39.35</v>
      </c>
      <c r="O345" s="1">
        <v>45251</v>
      </c>
      <c r="P345" s="1">
        <v>45256</v>
      </c>
      <c r="Q345" s="2" t="s">
        <v>68</v>
      </c>
      <c r="R345" s="2">
        <v>2830</v>
      </c>
    </row>
    <row r="346" spans="1:18" x14ac:dyDescent="0.25">
      <c r="A346" s="1">
        <v>45642</v>
      </c>
      <c r="B346" s="2" t="s">
        <v>35</v>
      </c>
      <c r="C346" s="2" t="s">
        <v>41</v>
      </c>
      <c r="D346">
        <v>8</v>
      </c>
      <c r="E346">
        <v>379</v>
      </c>
      <c r="F346" s="2" t="s">
        <v>28</v>
      </c>
      <c r="G346" s="2" t="s">
        <v>20</v>
      </c>
      <c r="H346">
        <v>0.1</v>
      </c>
      <c r="I346" s="2" t="s">
        <v>42</v>
      </c>
      <c r="J346" s="2" t="s">
        <v>56</v>
      </c>
      <c r="K346">
        <v>1</v>
      </c>
      <c r="L346" s="2" t="s">
        <v>732</v>
      </c>
      <c r="M346" s="2" t="s">
        <v>733</v>
      </c>
      <c r="N346">
        <v>5.22</v>
      </c>
      <c r="O346" s="1">
        <v>45642</v>
      </c>
      <c r="P346" s="1">
        <v>45650</v>
      </c>
      <c r="Q346" s="2" t="s">
        <v>39</v>
      </c>
      <c r="R346" s="2">
        <v>2729</v>
      </c>
    </row>
    <row r="347" spans="1:18" x14ac:dyDescent="0.25">
      <c r="A347" s="1">
        <v>45143</v>
      </c>
      <c r="B347" s="2" t="s">
        <v>40</v>
      </c>
      <c r="C347" s="2" t="s">
        <v>50</v>
      </c>
      <c r="D347">
        <v>12</v>
      </c>
      <c r="E347">
        <v>169</v>
      </c>
      <c r="F347" s="2" t="s">
        <v>46</v>
      </c>
      <c r="G347" s="2" t="s">
        <v>29</v>
      </c>
      <c r="H347">
        <v>0.05</v>
      </c>
      <c r="I347" s="2" t="s">
        <v>52</v>
      </c>
      <c r="J347" s="2" t="s">
        <v>31</v>
      </c>
      <c r="K347">
        <v>0</v>
      </c>
      <c r="L347" s="2" t="s">
        <v>734</v>
      </c>
      <c r="M347" s="2" t="s">
        <v>735</v>
      </c>
      <c r="N347">
        <v>28.65</v>
      </c>
      <c r="O347" s="1">
        <v>45143</v>
      </c>
      <c r="P347" s="1">
        <v>45153</v>
      </c>
      <c r="Q347" s="2" t="s">
        <v>45</v>
      </c>
      <c r="R347" s="2">
        <v>1927</v>
      </c>
    </row>
    <row r="348" spans="1:18" x14ac:dyDescent="0.25">
      <c r="A348" s="1">
        <v>45168</v>
      </c>
      <c r="B348" s="2" t="s">
        <v>40</v>
      </c>
      <c r="C348" s="2" t="s">
        <v>41</v>
      </c>
      <c r="D348">
        <v>7</v>
      </c>
      <c r="E348">
        <v>103</v>
      </c>
      <c r="F348" s="2" t="s">
        <v>51</v>
      </c>
      <c r="G348" s="2" t="s">
        <v>29</v>
      </c>
      <c r="H348">
        <v>0.1</v>
      </c>
      <c r="I348" s="2" t="s">
        <v>62</v>
      </c>
      <c r="J348" s="2" t="s">
        <v>22</v>
      </c>
      <c r="K348">
        <v>1</v>
      </c>
      <c r="L348" s="2" t="s">
        <v>736</v>
      </c>
      <c r="M348" s="2" t="s">
        <v>737</v>
      </c>
      <c r="N348">
        <v>5.29</v>
      </c>
      <c r="O348" s="1">
        <v>45168</v>
      </c>
      <c r="P348" s="1">
        <v>45175</v>
      </c>
      <c r="Q348" s="2" t="s">
        <v>45</v>
      </c>
      <c r="R348" s="2">
        <v>649</v>
      </c>
    </row>
    <row r="349" spans="1:18" x14ac:dyDescent="0.25">
      <c r="A349" s="1">
        <v>45741</v>
      </c>
      <c r="B349" s="2" t="s">
        <v>17</v>
      </c>
      <c r="C349" s="2" t="s">
        <v>126</v>
      </c>
      <c r="D349">
        <v>3</v>
      </c>
      <c r="E349">
        <v>379</v>
      </c>
      <c r="F349" s="2" t="s">
        <v>51</v>
      </c>
      <c r="G349" s="2" t="s">
        <v>20</v>
      </c>
      <c r="H349">
        <v>0.15</v>
      </c>
      <c r="I349" s="2" t="s">
        <v>42</v>
      </c>
      <c r="J349" s="2" t="s">
        <v>22</v>
      </c>
      <c r="K349">
        <v>0</v>
      </c>
      <c r="L349" s="2" t="s">
        <v>738</v>
      </c>
      <c r="M349" s="2" t="s">
        <v>739</v>
      </c>
      <c r="N349">
        <v>8.2200000000000006</v>
      </c>
      <c r="O349" s="1">
        <v>45741</v>
      </c>
      <c r="P349" s="1">
        <v>45743</v>
      </c>
      <c r="Q349" s="2" t="s">
        <v>25</v>
      </c>
      <c r="R349" s="2">
        <v>966</v>
      </c>
    </row>
    <row r="350" spans="1:18" x14ac:dyDescent="0.25">
      <c r="A350" s="1">
        <v>45639</v>
      </c>
      <c r="B350" s="2" t="s">
        <v>35</v>
      </c>
      <c r="C350" s="2" t="s">
        <v>27</v>
      </c>
      <c r="D350">
        <v>15</v>
      </c>
      <c r="E350">
        <v>27</v>
      </c>
      <c r="F350" s="2" t="s">
        <v>46</v>
      </c>
      <c r="G350" s="2" t="s">
        <v>20</v>
      </c>
      <c r="H350">
        <v>0</v>
      </c>
      <c r="I350" s="2" t="s">
        <v>30</v>
      </c>
      <c r="J350" s="2" t="s">
        <v>22</v>
      </c>
      <c r="K350">
        <v>0</v>
      </c>
      <c r="L350" s="2" t="s">
        <v>740</v>
      </c>
      <c r="M350" s="2" t="s">
        <v>741</v>
      </c>
      <c r="N350">
        <v>43.69</v>
      </c>
      <c r="O350" s="1">
        <v>45639</v>
      </c>
      <c r="P350" s="1">
        <v>45648</v>
      </c>
      <c r="Q350" s="2" t="s">
        <v>39</v>
      </c>
      <c r="R350" s="2">
        <v>405</v>
      </c>
    </row>
    <row r="351" spans="1:18" x14ac:dyDescent="0.25">
      <c r="A351" s="1">
        <v>45176</v>
      </c>
      <c r="B351" s="2" t="s">
        <v>40</v>
      </c>
      <c r="C351" s="2" t="s">
        <v>27</v>
      </c>
      <c r="D351">
        <v>14</v>
      </c>
      <c r="E351">
        <v>52</v>
      </c>
      <c r="F351" s="2" t="s">
        <v>28</v>
      </c>
      <c r="G351" s="2" t="s">
        <v>29</v>
      </c>
      <c r="H351">
        <v>0</v>
      </c>
      <c r="I351" s="2" t="s">
        <v>62</v>
      </c>
      <c r="J351" s="2" t="s">
        <v>31</v>
      </c>
      <c r="K351">
        <v>1</v>
      </c>
      <c r="L351" s="2" t="s">
        <v>742</v>
      </c>
      <c r="M351" s="2" t="s">
        <v>743</v>
      </c>
      <c r="N351">
        <v>48.02</v>
      </c>
      <c r="O351" s="1">
        <v>45176</v>
      </c>
      <c r="P351" s="1">
        <v>45183</v>
      </c>
      <c r="Q351" s="2" t="s">
        <v>45</v>
      </c>
      <c r="R351" s="2">
        <v>728</v>
      </c>
    </row>
    <row r="352" spans="1:18" x14ac:dyDescent="0.25">
      <c r="A352" s="1">
        <v>45272</v>
      </c>
      <c r="B352" s="2" t="s">
        <v>35</v>
      </c>
      <c r="C352" s="2" t="s">
        <v>50</v>
      </c>
      <c r="D352">
        <v>7</v>
      </c>
      <c r="E352">
        <v>570</v>
      </c>
      <c r="F352" s="2" t="s">
        <v>46</v>
      </c>
      <c r="G352" s="2" t="s">
        <v>20</v>
      </c>
      <c r="H352">
        <v>0</v>
      </c>
      <c r="I352" s="2" t="s">
        <v>47</v>
      </c>
      <c r="J352" s="2" t="s">
        <v>53</v>
      </c>
      <c r="K352">
        <v>0</v>
      </c>
      <c r="L352" s="2" t="s">
        <v>744</v>
      </c>
      <c r="M352" s="2" t="s">
        <v>745</v>
      </c>
      <c r="N352">
        <v>42.33</v>
      </c>
      <c r="O352" s="1">
        <v>45272</v>
      </c>
      <c r="P352" s="1">
        <v>45281</v>
      </c>
      <c r="Q352" s="2" t="s">
        <v>39</v>
      </c>
      <c r="R352" s="2">
        <v>3990</v>
      </c>
    </row>
    <row r="353" spans="1:18" x14ac:dyDescent="0.25">
      <c r="A353" s="1">
        <v>45407</v>
      </c>
      <c r="B353" s="2" t="s">
        <v>17</v>
      </c>
      <c r="C353" s="2" t="s">
        <v>50</v>
      </c>
      <c r="D353">
        <v>19</v>
      </c>
      <c r="E353">
        <v>526</v>
      </c>
      <c r="F353" s="2" t="s">
        <v>19</v>
      </c>
      <c r="G353" s="2" t="s">
        <v>29</v>
      </c>
      <c r="H353">
        <v>0</v>
      </c>
      <c r="I353" s="2" t="s">
        <v>62</v>
      </c>
      <c r="J353" s="2" t="s">
        <v>53</v>
      </c>
      <c r="K353">
        <v>0</v>
      </c>
      <c r="L353" s="2" t="s">
        <v>746</v>
      </c>
      <c r="M353" s="2" t="s">
        <v>747</v>
      </c>
      <c r="N353">
        <v>32.770000000000003</v>
      </c>
      <c r="O353" s="1">
        <v>45407</v>
      </c>
      <c r="P353" s="1">
        <v>45417</v>
      </c>
      <c r="Q353" s="2" t="s">
        <v>25</v>
      </c>
      <c r="R353" s="2">
        <v>9994</v>
      </c>
    </row>
    <row r="354" spans="1:18" x14ac:dyDescent="0.25">
      <c r="A354" s="1">
        <v>45781</v>
      </c>
      <c r="B354" s="2" t="s">
        <v>35</v>
      </c>
      <c r="C354" s="2" t="s">
        <v>18</v>
      </c>
      <c r="D354">
        <v>8</v>
      </c>
      <c r="E354">
        <v>295</v>
      </c>
      <c r="F354" s="2" t="s">
        <v>28</v>
      </c>
      <c r="G354" s="2" t="s">
        <v>20</v>
      </c>
      <c r="H354">
        <v>0.15</v>
      </c>
      <c r="I354" s="2" t="s">
        <v>52</v>
      </c>
      <c r="J354" s="2" t="s">
        <v>31</v>
      </c>
      <c r="K354">
        <v>0</v>
      </c>
      <c r="L354" s="2" t="s">
        <v>748</v>
      </c>
      <c r="M354" s="2" t="s">
        <v>749</v>
      </c>
      <c r="N354">
        <v>10.46</v>
      </c>
      <c r="O354" s="1">
        <v>45781</v>
      </c>
      <c r="P354" s="1">
        <v>45784</v>
      </c>
      <c r="Q354" s="2" t="s">
        <v>39</v>
      </c>
      <c r="R354" s="2">
        <v>2006</v>
      </c>
    </row>
    <row r="355" spans="1:18" x14ac:dyDescent="0.25">
      <c r="A355" s="1">
        <v>45185</v>
      </c>
      <c r="B355" s="2" t="s">
        <v>26</v>
      </c>
      <c r="C355" s="2" t="s">
        <v>50</v>
      </c>
      <c r="D355">
        <v>18</v>
      </c>
      <c r="E355">
        <v>448</v>
      </c>
      <c r="F355" s="2" t="s">
        <v>46</v>
      </c>
      <c r="G355" s="2" t="s">
        <v>20</v>
      </c>
      <c r="H355">
        <v>0.05</v>
      </c>
      <c r="I355" s="2" t="s">
        <v>52</v>
      </c>
      <c r="J355" s="2" t="s">
        <v>53</v>
      </c>
      <c r="K355">
        <v>0</v>
      </c>
      <c r="L355" s="2" t="s">
        <v>750</v>
      </c>
      <c r="M355" s="2" t="s">
        <v>751</v>
      </c>
      <c r="N355">
        <v>47.56</v>
      </c>
      <c r="O355" s="1">
        <v>45185</v>
      </c>
      <c r="P355" s="1">
        <v>45189</v>
      </c>
      <c r="Q355" s="2" t="s">
        <v>34</v>
      </c>
      <c r="R355" s="2">
        <v>7661</v>
      </c>
    </row>
    <row r="356" spans="1:18" x14ac:dyDescent="0.25">
      <c r="A356" s="1">
        <v>45588</v>
      </c>
      <c r="B356" s="2" t="s">
        <v>65</v>
      </c>
      <c r="C356" s="2" t="s">
        <v>36</v>
      </c>
      <c r="D356">
        <v>17</v>
      </c>
      <c r="E356">
        <v>584</v>
      </c>
      <c r="F356" s="2" t="s">
        <v>51</v>
      </c>
      <c r="G356" s="2" t="s">
        <v>29</v>
      </c>
      <c r="H356">
        <v>0.1</v>
      </c>
      <c r="I356" s="2" t="s">
        <v>30</v>
      </c>
      <c r="J356" s="2" t="s">
        <v>53</v>
      </c>
      <c r="K356">
        <v>0</v>
      </c>
      <c r="L356" s="2" t="s">
        <v>752</v>
      </c>
      <c r="M356" s="2" t="s">
        <v>753</v>
      </c>
      <c r="N356">
        <v>37.53</v>
      </c>
      <c r="O356" s="1">
        <v>45588</v>
      </c>
      <c r="P356" s="1">
        <v>45591</v>
      </c>
      <c r="Q356" s="2" t="s">
        <v>68</v>
      </c>
      <c r="R356" s="2">
        <v>8935</v>
      </c>
    </row>
    <row r="357" spans="1:18" x14ac:dyDescent="0.25">
      <c r="A357" s="1">
        <v>45049</v>
      </c>
      <c r="B357" s="2" t="s">
        <v>35</v>
      </c>
      <c r="C357" s="2" t="s">
        <v>36</v>
      </c>
      <c r="D357">
        <v>2</v>
      </c>
      <c r="E357">
        <v>98</v>
      </c>
      <c r="F357" s="2" t="s">
        <v>51</v>
      </c>
      <c r="G357" s="2" t="s">
        <v>29</v>
      </c>
      <c r="H357">
        <v>0.1</v>
      </c>
      <c r="I357" s="2" t="s">
        <v>30</v>
      </c>
      <c r="J357" s="2" t="s">
        <v>59</v>
      </c>
      <c r="K357">
        <v>1</v>
      </c>
      <c r="L357" s="2" t="s">
        <v>754</v>
      </c>
      <c r="M357" s="2" t="s">
        <v>755</v>
      </c>
      <c r="N357">
        <v>46.37</v>
      </c>
      <c r="O357" s="1">
        <v>45049</v>
      </c>
      <c r="P357" s="1">
        <v>45052</v>
      </c>
      <c r="Q357" s="2" t="s">
        <v>39</v>
      </c>
      <c r="R357" s="2">
        <v>176</v>
      </c>
    </row>
    <row r="358" spans="1:18" x14ac:dyDescent="0.25">
      <c r="A358" s="1">
        <v>45734</v>
      </c>
      <c r="B358" s="2" t="s">
        <v>35</v>
      </c>
      <c r="C358" s="2" t="s">
        <v>126</v>
      </c>
      <c r="D358">
        <v>16</v>
      </c>
      <c r="E358">
        <v>421</v>
      </c>
      <c r="F358" s="2" t="s">
        <v>19</v>
      </c>
      <c r="G358" s="2" t="s">
        <v>20</v>
      </c>
      <c r="H358">
        <v>0.15</v>
      </c>
      <c r="I358" s="2" t="s">
        <v>47</v>
      </c>
      <c r="J358" s="2" t="s">
        <v>59</v>
      </c>
      <c r="K358">
        <v>1</v>
      </c>
      <c r="L358" s="2" t="s">
        <v>756</v>
      </c>
      <c r="M358" s="2" t="s">
        <v>144</v>
      </c>
      <c r="N358">
        <v>22.13</v>
      </c>
      <c r="O358" s="1">
        <v>45734</v>
      </c>
      <c r="P358" s="1">
        <v>45741</v>
      </c>
      <c r="Q358" s="2" t="s">
        <v>39</v>
      </c>
      <c r="R358" s="2">
        <v>5726</v>
      </c>
    </row>
    <row r="359" spans="1:18" x14ac:dyDescent="0.25">
      <c r="A359" s="1">
        <v>45163</v>
      </c>
      <c r="B359" s="2" t="s">
        <v>65</v>
      </c>
      <c r="C359" s="2" t="s">
        <v>41</v>
      </c>
      <c r="D359">
        <v>13</v>
      </c>
      <c r="E359">
        <v>513</v>
      </c>
      <c r="F359" s="2" t="s">
        <v>19</v>
      </c>
      <c r="G359" s="2" t="s">
        <v>29</v>
      </c>
      <c r="H359">
        <v>0</v>
      </c>
      <c r="I359" s="2" t="s">
        <v>21</v>
      </c>
      <c r="J359" s="2" t="s">
        <v>53</v>
      </c>
      <c r="K359">
        <v>0</v>
      </c>
      <c r="L359" s="2" t="s">
        <v>757</v>
      </c>
      <c r="M359" s="2" t="s">
        <v>758</v>
      </c>
      <c r="N359">
        <v>10.57</v>
      </c>
      <c r="O359" s="1">
        <v>45163</v>
      </c>
      <c r="P359" s="1">
        <v>45165</v>
      </c>
      <c r="Q359" s="2" t="s">
        <v>68</v>
      </c>
      <c r="R359" s="2">
        <v>6669</v>
      </c>
    </row>
    <row r="360" spans="1:18" x14ac:dyDescent="0.25">
      <c r="A360" s="1">
        <v>45120</v>
      </c>
      <c r="B360" s="2" t="s">
        <v>35</v>
      </c>
      <c r="C360" s="2" t="s">
        <v>50</v>
      </c>
      <c r="D360">
        <v>19</v>
      </c>
      <c r="E360">
        <v>476</v>
      </c>
      <c r="F360" s="2" t="s">
        <v>46</v>
      </c>
      <c r="G360" s="2" t="s">
        <v>29</v>
      </c>
      <c r="H360">
        <v>0.1</v>
      </c>
      <c r="I360" s="2" t="s">
        <v>42</v>
      </c>
      <c r="J360" s="2" t="s">
        <v>59</v>
      </c>
      <c r="K360">
        <v>1</v>
      </c>
      <c r="L360" s="2" t="s">
        <v>759</v>
      </c>
      <c r="M360" s="2" t="s">
        <v>760</v>
      </c>
      <c r="N360">
        <v>11.17</v>
      </c>
      <c r="O360" s="1">
        <v>45120</v>
      </c>
      <c r="P360" s="1">
        <v>45124</v>
      </c>
      <c r="Q360" s="2" t="s">
        <v>39</v>
      </c>
      <c r="R360" s="2">
        <v>8140</v>
      </c>
    </row>
    <row r="361" spans="1:18" x14ac:dyDescent="0.25">
      <c r="A361" s="1">
        <v>45713</v>
      </c>
      <c r="B361" s="2" t="s">
        <v>35</v>
      </c>
      <c r="C361" s="2" t="s">
        <v>75</v>
      </c>
      <c r="D361">
        <v>13</v>
      </c>
      <c r="E361">
        <v>238</v>
      </c>
      <c r="F361" s="2" t="s">
        <v>46</v>
      </c>
      <c r="G361" s="2" t="s">
        <v>29</v>
      </c>
      <c r="H361">
        <v>0.1</v>
      </c>
      <c r="I361" s="2" t="s">
        <v>47</v>
      </c>
      <c r="J361" s="2" t="s">
        <v>53</v>
      </c>
      <c r="K361">
        <v>1</v>
      </c>
      <c r="L361" s="2" t="s">
        <v>761</v>
      </c>
      <c r="M361" s="2" t="s">
        <v>762</v>
      </c>
      <c r="N361">
        <v>7.9</v>
      </c>
      <c r="O361" s="1">
        <v>45713</v>
      </c>
      <c r="P361" s="1">
        <v>45722</v>
      </c>
      <c r="Q361" s="2" t="s">
        <v>39</v>
      </c>
      <c r="R361" s="2">
        <v>2785</v>
      </c>
    </row>
    <row r="362" spans="1:18" x14ac:dyDescent="0.25">
      <c r="A362" s="1">
        <v>45761</v>
      </c>
      <c r="B362" s="2" t="s">
        <v>40</v>
      </c>
      <c r="C362" s="2" t="s">
        <v>18</v>
      </c>
      <c r="D362">
        <v>14</v>
      </c>
      <c r="E362">
        <v>285</v>
      </c>
      <c r="F362" s="2" t="s">
        <v>19</v>
      </c>
      <c r="G362" s="2" t="s">
        <v>20</v>
      </c>
      <c r="H362">
        <v>0.1</v>
      </c>
      <c r="I362" s="2" t="s">
        <v>21</v>
      </c>
      <c r="J362" s="2" t="s">
        <v>53</v>
      </c>
      <c r="K362">
        <v>0</v>
      </c>
      <c r="L362" s="2" t="s">
        <v>763</v>
      </c>
      <c r="M362" s="2" t="s">
        <v>764</v>
      </c>
      <c r="N362">
        <v>41.5</v>
      </c>
      <c r="O362" s="1">
        <v>45761</v>
      </c>
      <c r="P362" s="1">
        <v>45764</v>
      </c>
      <c r="Q362" s="2" t="s">
        <v>45</v>
      </c>
      <c r="R362" s="2">
        <v>3591</v>
      </c>
    </row>
    <row r="363" spans="1:18" x14ac:dyDescent="0.25">
      <c r="A363" s="1">
        <v>45823</v>
      </c>
      <c r="B363" s="2" t="s">
        <v>40</v>
      </c>
      <c r="C363" s="2" t="s">
        <v>36</v>
      </c>
      <c r="D363">
        <v>5</v>
      </c>
      <c r="E363">
        <v>6</v>
      </c>
      <c r="F363" s="2" t="s">
        <v>46</v>
      </c>
      <c r="G363" s="2" t="s">
        <v>29</v>
      </c>
      <c r="H363">
        <v>0.05</v>
      </c>
      <c r="I363" s="2" t="s">
        <v>30</v>
      </c>
      <c r="J363" s="2" t="s">
        <v>53</v>
      </c>
      <c r="K363">
        <v>0</v>
      </c>
      <c r="L363" s="2" t="s">
        <v>765</v>
      </c>
      <c r="M363" s="2" t="s">
        <v>766</v>
      </c>
      <c r="N363">
        <v>10.58</v>
      </c>
      <c r="O363" s="1">
        <v>45823</v>
      </c>
      <c r="P363" s="1">
        <v>45826</v>
      </c>
      <c r="Q363" s="2" t="s">
        <v>45</v>
      </c>
      <c r="R363" s="2">
        <v>28</v>
      </c>
    </row>
    <row r="364" spans="1:18" x14ac:dyDescent="0.25">
      <c r="A364" s="1">
        <v>45587</v>
      </c>
      <c r="B364" s="2" t="s">
        <v>35</v>
      </c>
      <c r="C364" s="2" t="s">
        <v>50</v>
      </c>
      <c r="D364">
        <v>18</v>
      </c>
      <c r="E364">
        <v>396</v>
      </c>
      <c r="F364" s="2" t="s">
        <v>51</v>
      </c>
      <c r="G364" s="2" t="s">
        <v>29</v>
      </c>
      <c r="H364">
        <v>0.1</v>
      </c>
      <c r="I364" s="2" t="s">
        <v>42</v>
      </c>
      <c r="J364" s="2" t="s">
        <v>53</v>
      </c>
      <c r="K364">
        <v>0</v>
      </c>
      <c r="L364" s="2" t="s">
        <v>767</v>
      </c>
      <c r="M364" s="2" t="s">
        <v>768</v>
      </c>
      <c r="N364">
        <v>20.39</v>
      </c>
      <c r="O364" s="1">
        <v>45587</v>
      </c>
      <c r="P364" s="1">
        <v>45592</v>
      </c>
      <c r="Q364" s="2" t="s">
        <v>39</v>
      </c>
      <c r="R364" s="2">
        <v>6415</v>
      </c>
    </row>
    <row r="365" spans="1:18" x14ac:dyDescent="0.25">
      <c r="A365" s="1">
        <v>45097</v>
      </c>
      <c r="B365" s="2" t="s">
        <v>26</v>
      </c>
      <c r="C365" s="2" t="s">
        <v>18</v>
      </c>
      <c r="D365">
        <v>9</v>
      </c>
      <c r="E365">
        <v>283</v>
      </c>
      <c r="F365" s="2" t="s">
        <v>51</v>
      </c>
      <c r="G365" s="2" t="s">
        <v>20</v>
      </c>
      <c r="H365">
        <v>0.05</v>
      </c>
      <c r="I365" s="2" t="s">
        <v>21</v>
      </c>
      <c r="J365" s="2" t="s">
        <v>22</v>
      </c>
      <c r="K365">
        <v>0</v>
      </c>
      <c r="L365" s="2" t="s">
        <v>769</v>
      </c>
      <c r="M365" s="2" t="s">
        <v>770</v>
      </c>
      <c r="N365">
        <v>49.79</v>
      </c>
      <c r="O365" s="1">
        <v>45097</v>
      </c>
      <c r="P365" s="1">
        <v>45102</v>
      </c>
      <c r="Q365" s="2" t="s">
        <v>34</v>
      </c>
      <c r="R365" s="2">
        <v>2420</v>
      </c>
    </row>
    <row r="366" spans="1:18" x14ac:dyDescent="0.25">
      <c r="A366" s="1">
        <v>45721</v>
      </c>
      <c r="B366" s="2" t="s">
        <v>26</v>
      </c>
      <c r="C366" s="2" t="s">
        <v>27</v>
      </c>
      <c r="D366">
        <v>6</v>
      </c>
      <c r="E366">
        <v>525</v>
      </c>
      <c r="F366" s="2" t="s">
        <v>46</v>
      </c>
      <c r="G366" s="2" t="s">
        <v>20</v>
      </c>
      <c r="H366">
        <v>0.05</v>
      </c>
      <c r="I366" s="2" t="s">
        <v>30</v>
      </c>
      <c r="J366" s="2" t="s">
        <v>53</v>
      </c>
      <c r="K366">
        <v>0</v>
      </c>
      <c r="L366" s="2" t="s">
        <v>771</v>
      </c>
      <c r="M366" s="2" t="s">
        <v>772</v>
      </c>
      <c r="N366">
        <v>39.28</v>
      </c>
      <c r="O366" s="1">
        <v>45721</v>
      </c>
      <c r="P366" s="1">
        <v>45727</v>
      </c>
      <c r="Q366" s="2" t="s">
        <v>34</v>
      </c>
      <c r="R366" s="2">
        <v>2992</v>
      </c>
    </row>
    <row r="367" spans="1:18" x14ac:dyDescent="0.25">
      <c r="A367" s="1">
        <v>45227</v>
      </c>
      <c r="B367" s="2" t="s">
        <v>65</v>
      </c>
      <c r="C367" s="2" t="s">
        <v>75</v>
      </c>
      <c r="D367">
        <v>15</v>
      </c>
      <c r="E367">
        <v>128</v>
      </c>
      <c r="F367" s="2" t="s">
        <v>51</v>
      </c>
      <c r="G367" s="2" t="s">
        <v>29</v>
      </c>
      <c r="H367">
        <v>0.1</v>
      </c>
      <c r="I367" s="2" t="s">
        <v>30</v>
      </c>
      <c r="J367" s="2" t="s">
        <v>56</v>
      </c>
      <c r="K367">
        <v>0</v>
      </c>
      <c r="L367" s="2" t="s">
        <v>773</v>
      </c>
      <c r="M367" s="2" t="s">
        <v>774</v>
      </c>
      <c r="N367">
        <v>48.77</v>
      </c>
      <c r="O367" s="1">
        <v>45227</v>
      </c>
      <c r="P367" s="1">
        <v>45229</v>
      </c>
      <c r="Q367" s="2" t="s">
        <v>68</v>
      </c>
      <c r="R367" s="2">
        <v>1728</v>
      </c>
    </row>
    <row r="368" spans="1:18" x14ac:dyDescent="0.25">
      <c r="A368" s="1">
        <v>45735</v>
      </c>
      <c r="B368" s="2" t="s">
        <v>40</v>
      </c>
      <c r="C368" s="2" t="s">
        <v>18</v>
      </c>
      <c r="D368">
        <v>17</v>
      </c>
      <c r="E368">
        <v>512</v>
      </c>
      <c r="F368" s="2" t="s">
        <v>19</v>
      </c>
      <c r="G368" s="2" t="s">
        <v>29</v>
      </c>
      <c r="H368">
        <v>0.05</v>
      </c>
      <c r="I368" s="2" t="s">
        <v>47</v>
      </c>
      <c r="J368" s="2" t="s">
        <v>53</v>
      </c>
      <c r="K368">
        <v>1</v>
      </c>
      <c r="L368" s="2" t="s">
        <v>775</v>
      </c>
      <c r="M368" s="2" t="s">
        <v>776</v>
      </c>
      <c r="N368">
        <v>13.33</v>
      </c>
      <c r="O368" s="1">
        <v>45735</v>
      </c>
      <c r="P368" s="1">
        <v>45742</v>
      </c>
      <c r="Q368" s="2" t="s">
        <v>45</v>
      </c>
      <c r="R368" s="2">
        <v>8269</v>
      </c>
    </row>
    <row r="369" spans="1:18" x14ac:dyDescent="0.25">
      <c r="A369" s="1">
        <v>45144</v>
      </c>
      <c r="B369" s="2" t="s">
        <v>65</v>
      </c>
      <c r="C369" s="2" t="s">
        <v>75</v>
      </c>
      <c r="D369">
        <v>4</v>
      </c>
      <c r="E369">
        <v>556</v>
      </c>
      <c r="F369" s="2" t="s">
        <v>46</v>
      </c>
      <c r="G369" s="2" t="s">
        <v>29</v>
      </c>
      <c r="H369">
        <v>0.05</v>
      </c>
      <c r="I369" s="2" t="s">
        <v>62</v>
      </c>
      <c r="J369" s="2" t="s">
        <v>59</v>
      </c>
      <c r="K369">
        <v>0</v>
      </c>
      <c r="L369" s="2" t="s">
        <v>777</v>
      </c>
      <c r="M369" s="2" t="s">
        <v>778</v>
      </c>
      <c r="N369">
        <v>28.92</v>
      </c>
      <c r="O369" s="1">
        <v>45144</v>
      </c>
      <c r="P369" s="1">
        <v>45146</v>
      </c>
      <c r="Q369" s="2" t="s">
        <v>68</v>
      </c>
      <c r="R369" s="2">
        <v>2113</v>
      </c>
    </row>
    <row r="370" spans="1:18" x14ac:dyDescent="0.25">
      <c r="A370" s="1">
        <v>45546</v>
      </c>
      <c r="B370" s="2" t="s">
        <v>40</v>
      </c>
      <c r="C370" s="2" t="s">
        <v>50</v>
      </c>
      <c r="D370">
        <v>15</v>
      </c>
      <c r="E370">
        <v>203</v>
      </c>
      <c r="F370" s="2" t="s">
        <v>51</v>
      </c>
      <c r="G370" s="2" t="s">
        <v>29</v>
      </c>
      <c r="H370">
        <v>0.05</v>
      </c>
      <c r="I370" s="2" t="s">
        <v>21</v>
      </c>
      <c r="J370" s="2" t="s">
        <v>56</v>
      </c>
      <c r="K370">
        <v>1</v>
      </c>
      <c r="L370" s="2" t="s">
        <v>779</v>
      </c>
      <c r="M370" s="2" t="s">
        <v>780</v>
      </c>
      <c r="N370">
        <v>41.61</v>
      </c>
      <c r="O370" s="1">
        <v>45546</v>
      </c>
      <c r="P370" s="1">
        <v>45554</v>
      </c>
      <c r="Q370" s="2" t="s">
        <v>45</v>
      </c>
      <c r="R370" s="2">
        <v>2893</v>
      </c>
    </row>
    <row r="371" spans="1:18" x14ac:dyDescent="0.25">
      <c r="A371" s="1">
        <v>45665</v>
      </c>
      <c r="B371" s="2" t="s">
        <v>40</v>
      </c>
      <c r="C371" s="2" t="s">
        <v>41</v>
      </c>
      <c r="D371">
        <v>4</v>
      </c>
      <c r="E371">
        <v>354</v>
      </c>
      <c r="F371" s="2" t="s">
        <v>28</v>
      </c>
      <c r="G371" s="2" t="s">
        <v>20</v>
      </c>
      <c r="H371">
        <v>0</v>
      </c>
      <c r="I371" s="2" t="s">
        <v>42</v>
      </c>
      <c r="J371" s="2" t="s">
        <v>53</v>
      </c>
      <c r="K371">
        <v>0</v>
      </c>
      <c r="L371" s="2" t="s">
        <v>781</v>
      </c>
      <c r="M371" s="2" t="s">
        <v>782</v>
      </c>
      <c r="N371">
        <v>41.98</v>
      </c>
      <c r="O371" s="1">
        <v>45665</v>
      </c>
      <c r="P371" s="1">
        <v>45669</v>
      </c>
      <c r="Q371" s="2" t="s">
        <v>45</v>
      </c>
      <c r="R371" s="2">
        <v>1416</v>
      </c>
    </row>
    <row r="372" spans="1:18" x14ac:dyDescent="0.25">
      <c r="A372" s="1">
        <v>45516</v>
      </c>
      <c r="B372" s="2" t="s">
        <v>40</v>
      </c>
      <c r="C372" s="2" t="s">
        <v>41</v>
      </c>
      <c r="D372">
        <v>3</v>
      </c>
      <c r="E372">
        <v>149</v>
      </c>
      <c r="F372" s="2" t="s">
        <v>51</v>
      </c>
      <c r="G372" s="2" t="s">
        <v>20</v>
      </c>
      <c r="H372">
        <v>0</v>
      </c>
      <c r="I372" s="2" t="s">
        <v>47</v>
      </c>
      <c r="J372" s="2" t="s">
        <v>56</v>
      </c>
      <c r="K372">
        <v>1</v>
      </c>
      <c r="L372" s="2" t="s">
        <v>783</v>
      </c>
      <c r="M372" s="2" t="s">
        <v>784</v>
      </c>
      <c r="N372">
        <v>13.17</v>
      </c>
      <c r="O372" s="1">
        <v>45516</v>
      </c>
      <c r="P372" s="1">
        <v>45518</v>
      </c>
      <c r="Q372" s="2" t="s">
        <v>45</v>
      </c>
      <c r="R372" s="2">
        <v>447</v>
      </c>
    </row>
    <row r="373" spans="1:18" x14ac:dyDescent="0.25">
      <c r="A373" s="1">
        <v>45015</v>
      </c>
      <c r="B373" s="2" t="s">
        <v>35</v>
      </c>
      <c r="C373" s="2" t="s">
        <v>50</v>
      </c>
      <c r="D373">
        <v>19</v>
      </c>
      <c r="E373">
        <v>156</v>
      </c>
      <c r="F373" s="2" t="s">
        <v>46</v>
      </c>
      <c r="G373" s="2" t="s">
        <v>20</v>
      </c>
      <c r="H373">
        <v>0.1</v>
      </c>
      <c r="I373" s="2" t="s">
        <v>30</v>
      </c>
      <c r="J373" s="2" t="s">
        <v>22</v>
      </c>
      <c r="K373">
        <v>0</v>
      </c>
      <c r="L373" s="2" t="s">
        <v>785</v>
      </c>
      <c r="M373" s="2" t="s">
        <v>786</v>
      </c>
      <c r="N373">
        <v>19.440000000000001</v>
      </c>
      <c r="O373" s="1">
        <v>45015</v>
      </c>
      <c r="P373" s="1">
        <v>45020</v>
      </c>
      <c r="Q373" s="2" t="s">
        <v>39</v>
      </c>
      <c r="R373" s="2">
        <v>2668</v>
      </c>
    </row>
    <row r="374" spans="1:18" x14ac:dyDescent="0.25">
      <c r="A374" s="1">
        <v>44958</v>
      </c>
      <c r="B374" s="2" t="s">
        <v>40</v>
      </c>
      <c r="C374" s="2" t="s">
        <v>27</v>
      </c>
      <c r="D374">
        <v>7</v>
      </c>
      <c r="E374">
        <v>242</v>
      </c>
      <c r="F374" s="2" t="s">
        <v>51</v>
      </c>
      <c r="G374" s="2" t="s">
        <v>20</v>
      </c>
      <c r="H374">
        <v>0</v>
      </c>
      <c r="I374" s="2" t="s">
        <v>47</v>
      </c>
      <c r="J374" s="2" t="s">
        <v>22</v>
      </c>
      <c r="K374">
        <v>0</v>
      </c>
      <c r="L374" s="2" t="s">
        <v>787</v>
      </c>
      <c r="M374" s="2" t="s">
        <v>788</v>
      </c>
      <c r="N374">
        <v>48.13</v>
      </c>
      <c r="O374" s="1">
        <v>44958</v>
      </c>
      <c r="P374" s="1">
        <v>44966</v>
      </c>
      <c r="Q374" s="2" t="s">
        <v>45</v>
      </c>
      <c r="R374" s="2">
        <v>1694</v>
      </c>
    </row>
    <row r="375" spans="1:18" x14ac:dyDescent="0.25">
      <c r="A375" s="1">
        <v>45765</v>
      </c>
      <c r="B375" s="2" t="s">
        <v>35</v>
      </c>
      <c r="C375" s="2" t="s">
        <v>18</v>
      </c>
      <c r="D375">
        <v>20</v>
      </c>
      <c r="E375">
        <v>170</v>
      </c>
      <c r="F375" s="2" t="s">
        <v>28</v>
      </c>
      <c r="G375" s="2" t="s">
        <v>20</v>
      </c>
      <c r="H375">
        <v>0</v>
      </c>
      <c r="I375" s="2" t="s">
        <v>52</v>
      </c>
      <c r="J375" s="2" t="s">
        <v>22</v>
      </c>
      <c r="K375">
        <v>0</v>
      </c>
      <c r="L375" s="2" t="s">
        <v>789</v>
      </c>
      <c r="M375" s="2" t="s">
        <v>252</v>
      </c>
      <c r="N375">
        <v>19.739999999999998</v>
      </c>
      <c r="O375" s="1">
        <v>45765</v>
      </c>
      <c r="P375" s="1">
        <v>45774</v>
      </c>
      <c r="Q375" s="2" t="s">
        <v>39</v>
      </c>
      <c r="R375" s="2">
        <v>3400</v>
      </c>
    </row>
    <row r="376" spans="1:18" x14ac:dyDescent="0.25">
      <c r="A376" s="1">
        <v>45745</v>
      </c>
      <c r="B376" s="2" t="s">
        <v>40</v>
      </c>
      <c r="C376" s="2" t="s">
        <v>50</v>
      </c>
      <c r="D376">
        <v>11</v>
      </c>
      <c r="E376">
        <v>150</v>
      </c>
      <c r="F376" s="2" t="s">
        <v>46</v>
      </c>
      <c r="G376" s="2" t="s">
        <v>29</v>
      </c>
      <c r="H376">
        <v>0.1</v>
      </c>
      <c r="I376" s="2" t="s">
        <v>21</v>
      </c>
      <c r="J376" s="2" t="s">
        <v>53</v>
      </c>
      <c r="K376">
        <v>0</v>
      </c>
      <c r="L376" s="2" t="s">
        <v>790</v>
      </c>
      <c r="M376" s="2" t="s">
        <v>791</v>
      </c>
      <c r="N376">
        <v>34.130000000000003</v>
      </c>
      <c r="O376" s="1">
        <v>45745</v>
      </c>
      <c r="P376" s="1">
        <v>45749</v>
      </c>
      <c r="Q376" s="2" t="s">
        <v>45</v>
      </c>
      <c r="R376" s="2">
        <v>1485</v>
      </c>
    </row>
    <row r="377" spans="1:18" x14ac:dyDescent="0.25">
      <c r="A377" s="1">
        <v>45407</v>
      </c>
      <c r="B377" s="2" t="s">
        <v>17</v>
      </c>
      <c r="C377" s="2" t="s">
        <v>75</v>
      </c>
      <c r="D377">
        <v>1</v>
      </c>
      <c r="E377">
        <v>174</v>
      </c>
      <c r="F377" s="2" t="s">
        <v>51</v>
      </c>
      <c r="G377" s="2" t="s">
        <v>29</v>
      </c>
      <c r="H377">
        <v>0.1</v>
      </c>
      <c r="I377" s="2" t="s">
        <v>21</v>
      </c>
      <c r="J377" s="2" t="s">
        <v>56</v>
      </c>
      <c r="K377">
        <v>0</v>
      </c>
      <c r="L377" s="2" t="s">
        <v>792</v>
      </c>
      <c r="M377" s="2" t="s">
        <v>793</v>
      </c>
      <c r="N377">
        <v>39.1</v>
      </c>
      <c r="O377" s="1">
        <v>45407</v>
      </c>
      <c r="P377" s="1">
        <v>45410</v>
      </c>
      <c r="Q377" s="2" t="s">
        <v>25</v>
      </c>
      <c r="R377" s="2">
        <v>157</v>
      </c>
    </row>
    <row r="378" spans="1:18" x14ac:dyDescent="0.25">
      <c r="A378" s="1">
        <v>45557</v>
      </c>
      <c r="B378" s="2" t="s">
        <v>26</v>
      </c>
      <c r="C378" s="2" t="s">
        <v>50</v>
      </c>
      <c r="D378">
        <v>7</v>
      </c>
      <c r="E378">
        <v>350</v>
      </c>
      <c r="F378" s="2" t="s">
        <v>28</v>
      </c>
      <c r="G378" s="2" t="s">
        <v>29</v>
      </c>
      <c r="H378">
        <v>0.05</v>
      </c>
      <c r="I378" s="2" t="s">
        <v>47</v>
      </c>
      <c r="J378" s="2" t="s">
        <v>53</v>
      </c>
      <c r="K378">
        <v>0</v>
      </c>
      <c r="L378" s="2" t="s">
        <v>794</v>
      </c>
      <c r="M378" s="2" t="s">
        <v>795</v>
      </c>
      <c r="N378">
        <v>23.7</v>
      </c>
      <c r="O378" s="1">
        <v>45557</v>
      </c>
      <c r="P378" s="1">
        <v>45562</v>
      </c>
      <c r="Q378" s="2" t="s">
        <v>34</v>
      </c>
      <c r="R378" s="2">
        <v>2328</v>
      </c>
    </row>
    <row r="379" spans="1:18" x14ac:dyDescent="0.25">
      <c r="A379" s="1">
        <v>45143</v>
      </c>
      <c r="B379" s="2" t="s">
        <v>40</v>
      </c>
      <c r="C379" s="2" t="s">
        <v>75</v>
      </c>
      <c r="D379">
        <v>9</v>
      </c>
      <c r="E379">
        <v>245</v>
      </c>
      <c r="F379" s="2" t="s">
        <v>19</v>
      </c>
      <c r="G379" s="2" t="s">
        <v>20</v>
      </c>
      <c r="H379">
        <v>0</v>
      </c>
      <c r="I379" s="2" t="s">
        <v>30</v>
      </c>
      <c r="J379" s="2" t="s">
        <v>22</v>
      </c>
      <c r="K379">
        <v>1</v>
      </c>
      <c r="L379" s="2" t="s">
        <v>796</v>
      </c>
      <c r="M379" s="2" t="s">
        <v>797</v>
      </c>
      <c r="N379">
        <v>44.6</v>
      </c>
      <c r="O379" s="1">
        <v>45143</v>
      </c>
      <c r="P379" s="1">
        <v>45152</v>
      </c>
      <c r="Q379" s="2" t="s">
        <v>45</v>
      </c>
      <c r="R379" s="2">
        <v>2205</v>
      </c>
    </row>
    <row r="380" spans="1:18" x14ac:dyDescent="0.25">
      <c r="A380" s="1">
        <v>45450</v>
      </c>
      <c r="B380" s="2" t="s">
        <v>26</v>
      </c>
      <c r="C380" s="2" t="s">
        <v>36</v>
      </c>
      <c r="D380">
        <v>1</v>
      </c>
      <c r="E380">
        <v>423</v>
      </c>
      <c r="F380" s="2" t="s">
        <v>19</v>
      </c>
      <c r="G380" s="2" t="s">
        <v>20</v>
      </c>
      <c r="H380">
        <v>0.05</v>
      </c>
      <c r="I380" s="2" t="s">
        <v>62</v>
      </c>
      <c r="J380" s="2" t="s">
        <v>31</v>
      </c>
      <c r="K380">
        <v>0</v>
      </c>
      <c r="L380" s="2" t="s">
        <v>798</v>
      </c>
      <c r="M380" s="2" t="s">
        <v>799</v>
      </c>
      <c r="N380">
        <v>31.75</v>
      </c>
      <c r="O380" s="1">
        <v>45450</v>
      </c>
      <c r="P380" s="1">
        <v>45454</v>
      </c>
      <c r="Q380" s="2" t="s">
        <v>34</v>
      </c>
      <c r="R380" s="2">
        <v>402</v>
      </c>
    </row>
    <row r="381" spans="1:18" x14ac:dyDescent="0.25">
      <c r="A381" s="1">
        <v>45801</v>
      </c>
      <c r="B381" s="2" t="s">
        <v>17</v>
      </c>
      <c r="C381" s="2" t="s">
        <v>27</v>
      </c>
      <c r="D381">
        <v>19</v>
      </c>
      <c r="E381">
        <v>338</v>
      </c>
      <c r="F381" s="2" t="s">
        <v>19</v>
      </c>
      <c r="G381" s="2" t="s">
        <v>20</v>
      </c>
      <c r="H381">
        <v>0.15</v>
      </c>
      <c r="I381" s="2" t="s">
        <v>30</v>
      </c>
      <c r="J381" s="2" t="s">
        <v>22</v>
      </c>
      <c r="K381">
        <v>0</v>
      </c>
      <c r="L381" s="2" t="s">
        <v>800</v>
      </c>
      <c r="M381" s="2" t="s">
        <v>801</v>
      </c>
      <c r="N381">
        <v>45.74</v>
      </c>
      <c r="O381" s="1">
        <v>45801</v>
      </c>
      <c r="P381" s="1">
        <v>45807</v>
      </c>
      <c r="Q381" s="2" t="s">
        <v>25</v>
      </c>
      <c r="R381" s="2">
        <v>5459</v>
      </c>
    </row>
    <row r="382" spans="1:18" x14ac:dyDescent="0.25">
      <c r="A382" s="1">
        <v>45491</v>
      </c>
      <c r="B382" s="2" t="s">
        <v>26</v>
      </c>
      <c r="C382" s="2" t="s">
        <v>41</v>
      </c>
      <c r="D382">
        <v>10</v>
      </c>
      <c r="E382">
        <v>253</v>
      </c>
      <c r="F382" s="2" t="s">
        <v>19</v>
      </c>
      <c r="G382" s="2" t="s">
        <v>29</v>
      </c>
      <c r="H382">
        <v>0.15</v>
      </c>
      <c r="I382" s="2" t="s">
        <v>21</v>
      </c>
      <c r="J382" s="2" t="s">
        <v>59</v>
      </c>
      <c r="K382">
        <v>0</v>
      </c>
      <c r="L382" s="2" t="s">
        <v>802</v>
      </c>
      <c r="M382" s="2" t="s">
        <v>803</v>
      </c>
      <c r="N382">
        <v>8.92</v>
      </c>
      <c r="O382" s="1">
        <v>45491</v>
      </c>
      <c r="P382" s="1">
        <v>45498</v>
      </c>
      <c r="Q382" s="2" t="s">
        <v>34</v>
      </c>
      <c r="R382" s="2">
        <v>2150</v>
      </c>
    </row>
    <row r="383" spans="1:18" x14ac:dyDescent="0.25">
      <c r="A383" s="1">
        <v>45487</v>
      </c>
      <c r="B383" s="2" t="s">
        <v>65</v>
      </c>
      <c r="C383" s="2" t="s">
        <v>75</v>
      </c>
      <c r="D383">
        <v>3</v>
      </c>
      <c r="E383">
        <v>87</v>
      </c>
      <c r="F383" s="2" t="s">
        <v>19</v>
      </c>
      <c r="G383" s="2" t="s">
        <v>20</v>
      </c>
      <c r="H383">
        <v>0.1</v>
      </c>
      <c r="I383" s="2" t="s">
        <v>42</v>
      </c>
      <c r="J383" s="2" t="s">
        <v>59</v>
      </c>
      <c r="K383">
        <v>0</v>
      </c>
      <c r="L383" s="2" t="s">
        <v>804</v>
      </c>
      <c r="M383" s="2" t="s">
        <v>805</v>
      </c>
      <c r="N383">
        <v>11.13</v>
      </c>
      <c r="O383" s="1">
        <v>45487</v>
      </c>
      <c r="P383" s="1">
        <v>45489</v>
      </c>
      <c r="Q383" s="2" t="s">
        <v>68</v>
      </c>
      <c r="R383" s="2">
        <v>235</v>
      </c>
    </row>
    <row r="384" spans="1:18" x14ac:dyDescent="0.25">
      <c r="A384" s="1">
        <v>45030</v>
      </c>
      <c r="B384" s="2" t="s">
        <v>40</v>
      </c>
      <c r="C384" s="2" t="s">
        <v>75</v>
      </c>
      <c r="D384">
        <v>11</v>
      </c>
      <c r="E384">
        <v>7</v>
      </c>
      <c r="F384" s="2" t="s">
        <v>51</v>
      </c>
      <c r="G384" s="2" t="s">
        <v>20</v>
      </c>
      <c r="H384">
        <v>0.05</v>
      </c>
      <c r="I384" s="2" t="s">
        <v>62</v>
      </c>
      <c r="J384" s="2" t="s">
        <v>59</v>
      </c>
      <c r="K384">
        <v>0</v>
      </c>
      <c r="L384" s="2" t="s">
        <v>806</v>
      </c>
      <c r="M384" s="2" t="s">
        <v>807</v>
      </c>
      <c r="N384">
        <v>34.270000000000003</v>
      </c>
      <c r="O384" s="1">
        <v>45030</v>
      </c>
      <c r="P384" s="1">
        <v>45035</v>
      </c>
      <c r="Q384" s="2" t="s">
        <v>45</v>
      </c>
      <c r="R384" s="2">
        <v>73</v>
      </c>
    </row>
    <row r="385" spans="1:18" x14ac:dyDescent="0.25">
      <c r="A385" s="1">
        <v>45078</v>
      </c>
      <c r="B385" s="2" t="s">
        <v>26</v>
      </c>
      <c r="C385" s="2" t="s">
        <v>126</v>
      </c>
      <c r="D385">
        <v>2</v>
      </c>
      <c r="E385">
        <v>279</v>
      </c>
      <c r="F385" s="2" t="s">
        <v>51</v>
      </c>
      <c r="G385" s="2" t="s">
        <v>29</v>
      </c>
      <c r="H385">
        <v>0.1</v>
      </c>
      <c r="I385" s="2" t="s">
        <v>47</v>
      </c>
      <c r="J385" s="2" t="s">
        <v>22</v>
      </c>
      <c r="K385">
        <v>0</v>
      </c>
      <c r="L385" s="2" t="s">
        <v>808</v>
      </c>
      <c r="M385" s="2" t="s">
        <v>809</v>
      </c>
      <c r="N385">
        <v>22.95</v>
      </c>
      <c r="O385" s="1">
        <v>45078</v>
      </c>
      <c r="P385" s="1">
        <v>45083</v>
      </c>
      <c r="Q385" s="2" t="s">
        <v>34</v>
      </c>
      <c r="R385" s="2">
        <v>502</v>
      </c>
    </row>
    <row r="386" spans="1:18" x14ac:dyDescent="0.25">
      <c r="A386" s="1">
        <v>45764</v>
      </c>
      <c r="B386" s="2" t="s">
        <v>40</v>
      </c>
      <c r="C386" s="2" t="s">
        <v>27</v>
      </c>
      <c r="D386">
        <v>9</v>
      </c>
      <c r="E386">
        <v>208</v>
      </c>
      <c r="F386" s="2" t="s">
        <v>51</v>
      </c>
      <c r="G386" s="2" t="s">
        <v>29</v>
      </c>
      <c r="H386">
        <v>0.1</v>
      </c>
      <c r="I386" s="2" t="s">
        <v>30</v>
      </c>
      <c r="J386" s="2" t="s">
        <v>22</v>
      </c>
      <c r="K386">
        <v>0</v>
      </c>
      <c r="L386" s="2" t="s">
        <v>810</v>
      </c>
      <c r="M386" s="2" t="s">
        <v>811</v>
      </c>
      <c r="N386">
        <v>16.989999999999998</v>
      </c>
      <c r="O386" s="1">
        <v>45764</v>
      </c>
      <c r="P386" s="1">
        <v>45767</v>
      </c>
      <c r="Q386" s="2" t="s">
        <v>45</v>
      </c>
      <c r="R386" s="2">
        <v>1685</v>
      </c>
    </row>
    <row r="387" spans="1:18" x14ac:dyDescent="0.25">
      <c r="A387" s="1">
        <v>45747</v>
      </c>
      <c r="B387" s="2" t="s">
        <v>17</v>
      </c>
      <c r="C387" s="2" t="s">
        <v>126</v>
      </c>
      <c r="D387">
        <v>15</v>
      </c>
      <c r="E387">
        <v>512</v>
      </c>
      <c r="F387" s="2" t="s">
        <v>46</v>
      </c>
      <c r="G387" s="2" t="s">
        <v>20</v>
      </c>
      <c r="H387">
        <v>0.05</v>
      </c>
      <c r="I387" s="2" t="s">
        <v>62</v>
      </c>
      <c r="J387" s="2" t="s">
        <v>59</v>
      </c>
      <c r="K387">
        <v>0</v>
      </c>
      <c r="L387" s="2" t="s">
        <v>812</v>
      </c>
      <c r="M387" s="2" t="s">
        <v>813</v>
      </c>
      <c r="N387">
        <v>10.220000000000001</v>
      </c>
      <c r="O387" s="1">
        <v>45747</v>
      </c>
      <c r="P387" s="1">
        <v>45756</v>
      </c>
      <c r="Q387" s="2" t="s">
        <v>25</v>
      </c>
      <c r="R387" s="2">
        <v>7296</v>
      </c>
    </row>
    <row r="388" spans="1:18" x14ac:dyDescent="0.25">
      <c r="A388" s="1">
        <v>45488</v>
      </c>
      <c r="B388" s="2" t="s">
        <v>17</v>
      </c>
      <c r="C388" s="2" t="s">
        <v>126</v>
      </c>
      <c r="D388">
        <v>10</v>
      </c>
      <c r="E388">
        <v>326</v>
      </c>
      <c r="F388" s="2" t="s">
        <v>51</v>
      </c>
      <c r="G388" s="2" t="s">
        <v>29</v>
      </c>
      <c r="H388">
        <v>0</v>
      </c>
      <c r="I388" s="2" t="s">
        <v>62</v>
      </c>
      <c r="J388" s="2" t="s">
        <v>59</v>
      </c>
      <c r="K388">
        <v>1</v>
      </c>
      <c r="L388" s="2" t="s">
        <v>814</v>
      </c>
      <c r="M388" s="2" t="s">
        <v>815</v>
      </c>
      <c r="N388">
        <v>49.95</v>
      </c>
      <c r="O388" s="1">
        <v>45488</v>
      </c>
      <c r="P388" s="1">
        <v>45495</v>
      </c>
      <c r="Q388" s="2" t="s">
        <v>25</v>
      </c>
      <c r="R388" s="2">
        <v>3260</v>
      </c>
    </row>
    <row r="389" spans="1:18" x14ac:dyDescent="0.25">
      <c r="A389" s="1">
        <v>45534</v>
      </c>
      <c r="B389" s="2" t="s">
        <v>26</v>
      </c>
      <c r="C389" s="2" t="s">
        <v>18</v>
      </c>
      <c r="D389">
        <v>17</v>
      </c>
      <c r="E389">
        <v>469</v>
      </c>
      <c r="F389" s="2" t="s">
        <v>19</v>
      </c>
      <c r="G389" s="2" t="s">
        <v>29</v>
      </c>
      <c r="H389">
        <v>0</v>
      </c>
      <c r="I389" s="2" t="s">
        <v>47</v>
      </c>
      <c r="J389" s="2" t="s">
        <v>31</v>
      </c>
      <c r="K389">
        <v>1</v>
      </c>
      <c r="L389" s="2" t="s">
        <v>816</v>
      </c>
      <c r="M389" s="2" t="s">
        <v>817</v>
      </c>
      <c r="N389">
        <v>5.86</v>
      </c>
      <c r="O389" s="1">
        <v>45534</v>
      </c>
      <c r="P389" s="1">
        <v>45536</v>
      </c>
      <c r="Q389" s="2" t="s">
        <v>34</v>
      </c>
      <c r="R389" s="2">
        <v>7973</v>
      </c>
    </row>
    <row r="390" spans="1:18" x14ac:dyDescent="0.25">
      <c r="A390" s="1">
        <v>45664</v>
      </c>
      <c r="B390" s="2" t="s">
        <v>40</v>
      </c>
      <c r="C390" s="2" t="s">
        <v>27</v>
      </c>
      <c r="D390">
        <v>13</v>
      </c>
      <c r="E390">
        <v>187</v>
      </c>
      <c r="F390" s="2" t="s">
        <v>51</v>
      </c>
      <c r="G390" s="2" t="s">
        <v>20</v>
      </c>
      <c r="H390">
        <v>0</v>
      </c>
      <c r="I390" s="2" t="s">
        <v>62</v>
      </c>
      <c r="J390" s="2" t="s">
        <v>59</v>
      </c>
      <c r="K390">
        <v>0</v>
      </c>
      <c r="L390" s="2" t="s">
        <v>818</v>
      </c>
      <c r="M390" s="2" t="s">
        <v>819</v>
      </c>
      <c r="N390">
        <v>19.920000000000002</v>
      </c>
      <c r="O390" s="1">
        <v>45664</v>
      </c>
      <c r="P390" s="1">
        <v>45667</v>
      </c>
      <c r="Q390" s="2" t="s">
        <v>45</v>
      </c>
      <c r="R390" s="2">
        <v>2431</v>
      </c>
    </row>
    <row r="391" spans="1:18" x14ac:dyDescent="0.25">
      <c r="A391" s="1">
        <v>45693</v>
      </c>
      <c r="B391" s="2" t="s">
        <v>26</v>
      </c>
      <c r="C391" s="2" t="s">
        <v>27</v>
      </c>
      <c r="D391">
        <v>16</v>
      </c>
      <c r="E391">
        <v>35</v>
      </c>
      <c r="F391" s="2" t="s">
        <v>46</v>
      </c>
      <c r="G391" s="2" t="s">
        <v>29</v>
      </c>
      <c r="H391">
        <v>0.05</v>
      </c>
      <c r="I391" s="2" t="s">
        <v>30</v>
      </c>
      <c r="J391" s="2" t="s">
        <v>56</v>
      </c>
      <c r="K391">
        <v>0</v>
      </c>
      <c r="L391" s="2" t="s">
        <v>820</v>
      </c>
      <c r="M391" s="2" t="s">
        <v>821</v>
      </c>
      <c r="N391">
        <v>49.9</v>
      </c>
      <c r="O391" s="1">
        <v>45693</v>
      </c>
      <c r="P391" s="1">
        <v>45699</v>
      </c>
      <c r="Q391" s="2" t="s">
        <v>34</v>
      </c>
      <c r="R391" s="2">
        <v>532</v>
      </c>
    </row>
    <row r="392" spans="1:18" x14ac:dyDescent="0.25">
      <c r="A392" s="1">
        <v>45383</v>
      </c>
      <c r="B392" s="2" t="s">
        <v>35</v>
      </c>
      <c r="C392" s="2" t="s">
        <v>126</v>
      </c>
      <c r="D392">
        <v>18</v>
      </c>
      <c r="E392">
        <v>155</v>
      </c>
      <c r="F392" s="2" t="s">
        <v>19</v>
      </c>
      <c r="G392" s="2" t="s">
        <v>20</v>
      </c>
      <c r="H392">
        <v>0.15</v>
      </c>
      <c r="I392" s="2" t="s">
        <v>42</v>
      </c>
      <c r="J392" s="2" t="s">
        <v>59</v>
      </c>
      <c r="K392">
        <v>0</v>
      </c>
      <c r="L392" s="2" t="s">
        <v>822</v>
      </c>
      <c r="M392" s="2" t="s">
        <v>823</v>
      </c>
      <c r="N392">
        <v>39.99</v>
      </c>
      <c r="O392" s="1">
        <v>45383</v>
      </c>
      <c r="P392" s="1">
        <v>45386</v>
      </c>
      <c r="Q392" s="2" t="s">
        <v>39</v>
      </c>
      <c r="R392" s="2">
        <v>2372</v>
      </c>
    </row>
    <row r="393" spans="1:18" x14ac:dyDescent="0.25">
      <c r="A393" s="1">
        <v>45717</v>
      </c>
      <c r="B393" s="2" t="s">
        <v>65</v>
      </c>
      <c r="C393" s="2" t="s">
        <v>50</v>
      </c>
      <c r="D393">
        <v>4</v>
      </c>
      <c r="E393">
        <v>70</v>
      </c>
      <c r="F393" s="2" t="s">
        <v>51</v>
      </c>
      <c r="G393" s="2" t="s">
        <v>20</v>
      </c>
      <c r="H393">
        <v>0.05</v>
      </c>
      <c r="I393" s="2" t="s">
        <v>21</v>
      </c>
      <c r="J393" s="2" t="s">
        <v>31</v>
      </c>
      <c r="K393">
        <v>0</v>
      </c>
      <c r="L393" s="2" t="s">
        <v>824</v>
      </c>
      <c r="M393" s="2" t="s">
        <v>825</v>
      </c>
      <c r="N393">
        <v>17.68</v>
      </c>
      <c r="O393" s="1">
        <v>45717</v>
      </c>
      <c r="P393" s="1">
        <v>45725</v>
      </c>
      <c r="Q393" s="2" t="s">
        <v>68</v>
      </c>
      <c r="R393" s="2">
        <v>266</v>
      </c>
    </row>
    <row r="394" spans="1:18" x14ac:dyDescent="0.25">
      <c r="A394" s="1">
        <v>45110</v>
      </c>
      <c r="B394" s="2" t="s">
        <v>40</v>
      </c>
      <c r="C394" s="2" t="s">
        <v>50</v>
      </c>
      <c r="D394">
        <v>13</v>
      </c>
      <c r="E394">
        <v>55</v>
      </c>
      <c r="F394" s="2" t="s">
        <v>28</v>
      </c>
      <c r="G394" s="2" t="s">
        <v>20</v>
      </c>
      <c r="H394">
        <v>0.15</v>
      </c>
      <c r="I394" s="2" t="s">
        <v>52</v>
      </c>
      <c r="J394" s="2" t="s">
        <v>59</v>
      </c>
      <c r="K394">
        <v>1</v>
      </c>
      <c r="L394" s="2" t="s">
        <v>826</v>
      </c>
      <c r="M394" s="2" t="s">
        <v>827</v>
      </c>
      <c r="N394">
        <v>47.78</v>
      </c>
      <c r="O394" s="1">
        <v>45110</v>
      </c>
      <c r="P394" s="1">
        <v>45113</v>
      </c>
      <c r="Q394" s="2" t="s">
        <v>45</v>
      </c>
      <c r="R394" s="2">
        <v>608</v>
      </c>
    </row>
    <row r="395" spans="1:18" x14ac:dyDescent="0.25">
      <c r="A395" s="1">
        <v>45041</v>
      </c>
      <c r="B395" s="2" t="s">
        <v>40</v>
      </c>
      <c r="C395" s="2" t="s">
        <v>18</v>
      </c>
      <c r="D395">
        <v>13</v>
      </c>
      <c r="E395">
        <v>206</v>
      </c>
      <c r="F395" s="2" t="s">
        <v>19</v>
      </c>
      <c r="G395" s="2" t="s">
        <v>29</v>
      </c>
      <c r="H395">
        <v>0.15</v>
      </c>
      <c r="I395" s="2" t="s">
        <v>62</v>
      </c>
      <c r="J395" s="2" t="s">
        <v>31</v>
      </c>
      <c r="K395">
        <v>1</v>
      </c>
      <c r="L395" s="2" t="s">
        <v>828</v>
      </c>
      <c r="M395" s="2" t="s">
        <v>829</v>
      </c>
      <c r="N395">
        <v>22.59</v>
      </c>
      <c r="O395" s="1">
        <v>45041</v>
      </c>
      <c r="P395" s="1">
        <v>45047</v>
      </c>
      <c r="Q395" s="2" t="s">
        <v>45</v>
      </c>
      <c r="R395" s="2">
        <v>2276</v>
      </c>
    </row>
    <row r="396" spans="1:18" x14ac:dyDescent="0.25">
      <c r="A396" s="1">
        <v>45756</v>
      </c>
      <c r="B396" s="2" t="s">
        <v>65</v>
      </c>
      <c r="C396" s="2" t="s">
        <v>75</v>
      </c>
      <c r="D396">
        <v>14</v>
      </c>
      <c r="E396">
        <v>484</v>
      </c>
      <c r="F396" s="2" t="s">
        <v>51</v>
      </c>
      <c r="G396" s="2" t="s">
        <v>29</v>
      </c>
      <c r="H396">
        <v>0.05</v>
      </c>
      <c r="I396" s="2" t="s">
        <v>42</v>
      </c>
      <c r="J396" s="2" t="s">
        <v>56</v>
      </c>
      <c r="K396">
        <v>0</v>
      </c>
      <c r="L396" s="2" t="s">
        <v>830</v>
      </c>
      <c r="M396" s="2" t="s">
        <v>831</v>
      </c>
      <c r="N396">
        <v>29.24</v>
      </c>
      <c r="O396" s="1">
        <v>45756</v>
      </c>
      <c r="P396" s="1">
        <v>45766</v>
      </c>
      <c r="Q396" s="2" t="s">
        <v>68</v>
      </c>
      <c r="R396" s="2">
        <v>6437</v>
      </c>
    </row>
    <row r="397" spans="1:18" x14ac:dyDescent="0.25">
      <c r="A397" s="1">
        <v>45235</v>
      </c>
      <c r="B397" s="2" t="s">
        <v>35</v>
      </c>
      <c r="C397" s="2" t="s">
        <v>50</v>
      </c>
      <c r="D397">
        <v>6</v>
      </c>
      <c r="E397">
        <v>450</v>
      </c>
      <c r="F397" s="2" t="s">
        <v>51</v>
      </c>
      <c r="G397" s="2" t="s">
        <v>20</v>
      </c>
      <c r="H397">
        <v>0</v>
      </c>
      <c r="I397" s="2" t="s">
        <v>42</v>
      </c>
      <c r="J397" s="2" t="s">
        <v>31</v>
      </c>
      <c r="K397">
        <v>0</v>
      </c>
      <c r="L397" s="2" t="s">
        <v>832</v>
      </c>
      <c r="M397" s="2" t="s">
        <v>833</v>
      </c>
      <c r="N397">
        <v>23.09</v>
      </c>
      <c r="O397" s="1">
        <v>45235</v>
      </c>
      <c r="P397" s="1">
        <v>45242</v>
      </c>
      <c r="Q397" s="2" t="s">
        <v>39</v>
      </c>
      <c r="R397" s="2">
        <v>2700</v>
      </c>
    </row>
    <row r="398" spans="1:18" x14ac:dyDescent="0.25">
      <c r="A398" s="1">
        <v>44939</v>
      </c>
      <c r="B398" s="2" t="s">
        <v>17</v>
      </c>
      <c r="C398" s="2" t="s">
        <v>18</v>
      </c>
      <c r="D398">
        <v>9</v>
      </c>
      <c r="E398">
        <v>223</v>
      </c>
      <c r="F398" s="2" t="s">
        <v>46</v>
      </c>
      <c r="G398" s="2" t="s">
        <v>29</v>
      </c>
      <c r="H398">
        <v>0</v>
      </c>
      <c r="I398" s="2" t="s">
        <v>52</v>
      </c>
      <c r="J398" s="2" t="s">
        <v>59</v>
      </c>
      <c r="K398">
        <v>1</v>
      </c>
      <c r="L398" s="2" t="s">
        <v>834</v>
      </c>
      <c r="M398" s="2" t="s">
        <v>835</v>
      </c>
      <c r="N398">
        <v>11.9</v>
      </c>
      <c r="O398" s="1">
        <v>44939</v>
      </c>
      <c r="P398" s="1">
        <v>44945</v>
      </c>
      <c r="Q398" s="2" t="s">
        <v>25</v>
      </c>
      <c r="R398" s="2">
        <v>2007</v>
      </c>
    </row>
    <row r="399" spans="1:18" x14ac:dyDescent="0.25">
      <c r="A399" s="1">
        <v>45694</v>
      </c>
      <c r="B399" s="2" t="s">
        <v>65</v>
      </c>
      <c r="C399" s="2" t="s">
        <v>41</v>
      </c>
      <c r="D399">
        <v>14</v>
      </c>
      <c r="E399">
        <v>292</v>
      </c>
      <c r="F399" s="2" t="s">
        <v>28</v>
      </c>
      <c r="G399" s="2" t="s">
        <v>29</v>
      </c>
      <c r="H399">
        <v>0.15</v>
      </c>
      <c r="I399" s="2" t="s">
        <v>42</v>
      </c>
      <c r="J399" s="2" t="s">
        <v>53</v>
      </c>
      <c r="K399">
        <v>0</v>
      </c>
      <c r="L399" s="2" t="s">
        <v>836</v>
      </c>
      <c r="M399" s="2" t="s">
        <v>837</v>
      </c>
      <c r="N399">
        <v>27.51</v>
      </c>
      <c r="O399" s="1">
        <v>45694</v>
      </c>
      <c r="P399" s="1">
        <v>45698</v>
      </c>
      <c r="Q399" s="2" t="s">
        <v>68</v>
      </c>
      <c r="R399" s="2">
        <v>3475</v>
      </c>
    </row>
    <row r="400" spans="1:18" x14ac:dyDescent="0.25">
      <c r="A400" s="1">
        <v>45066</v>
      </c>
      <c r="B400" s="2" t="s">
        <v>26</v>
      </c>
      <c r="C400" s="2" t="s">
        <v>50</v>
      </c>
      <c r="D400">
        <v>13</v>
      </c>
      <c r="E400">
        <v>91</v>
      </c>
      <c r="F400" s="2" t="s">
        <v>28</v>
      </c>
      <c r="G400" s="2" t="s">
        <v>20</v>
      </c>
      <c r="H400">
        <v>0</v>
      </c>
      <c r="I400" s="2" t="s">
        <v>47</v>
      </c>
      <c r="J400" s="2" t="s">
        <v>31</v>
      </c>
      <c r="K400">
        <v>0</v>
      </c>
      <c r="L400" s="2" t="s">
        <v>838</v>
      </c>
      <c r="M400" s="2" t="s">
        <v>839</v>
      </c>
      <c r="N400">
        <v>16.739999999999998</v>
      </c>
      <c r="O400" s="1">
        <v>45066</v>
      </c>
      <c r="P400" s="1">
        <v>45071</v>
      </c>
      <c r="Q400" s="2" t="s">
        <v>34</v>
      </c>
      <c r="R400" s="2">
        <v>1183</v>
      </c>
    </row>
    <row r="401" spans="1:18" x14ac:dyDescent="0.25">
      <c r="A401" s="1">
        <v>45826</v>
      </c>
      <c r="B401" s="2" t="s">
        <v>17</v>
      </c>
      <c r="C401" s="2" t="s">
        <v>36</v>
      </c>
      <c r="D401">
        <v>4</v>
      </c>
      <c r="E401">
        <v>109</v>
      </c>
      <c r="F401" s="2" t="s">
        <v>51</v>
      </c>
      <c r="G401" s="2" t="s">
        <v>20</v>
      </c>
      <c r="H401">
        <v>0</v>
      </c>
      <c r="I401" s="2" t="s">
        <v>52</v>
      </c>
      <c r="J401" s="2" t="s">
        <v>31</v>
      </c>
      <c r="K401">
        <v>0</v>
      </c>
      <c r="L401" s="2" t="s">
        <v>840</v>
      </c>
      <c r="M401" s="2" t="s">
        <v>841</v>
      </c>
      <c r="N401">
        <v>21.02</v>
      </c>
      <c r="O401" s="1">
        <v>45826</v>
      </c>
      <c r="P401" s="1">
        <v>45832</v>
      </c>
      <c r="Q401" s="2" t="s">
        <v>25</v>
      </c>
      <c r="R401" s="2">
        <v>436</v>
      </c>
    </row>
    <row r="402" spans="1:18" x14ac:dyDescent="0.25">
      <c r="A402" s="1">
        <v>44980</v>
      </c>
      <c r="B402" s="2" t="s">
        <v>65</v>
      </c>
      <c r="C402" s="2" t="s">
        <v>75</v>
      </c>
      <c r="D402">
        <v>12</v>
      </c>
      <c r="E402">
        <v>246</v>
      </c>
      <c r="F402" s="2" t="s">
        <v>51</v>
      </c>
      <c r="G402" s="2" t="s">
        <v>29</v>
      </c>
      <c r="H402">
        <v>0</v>
      </c>
      <c r="I402" s="2" t="s">
        <v>62</v>
      </c>
      <c r="J402" s="2" t="s">
        <v>59</v>
      </c>
      <c r="K402">
        <v>1</v>
      </c>
      <c r="L402" s="2" t="s">
        <v>842</v>
      </c>
      <c r="M402" s="2" t="s">
        <v>843</v>
      </c>
      <c r="N402">
        <v>43.92</v>
      </c>
      <c r="O402" s="1">
        <v>44980</v>
      </c>
      <c r="P402" s="1">
        <v>44984</v>
      </c>
      <c r="Q402" s="2" t="s">
        <v>68</v>
      </c>
      <c r="R402" s="2">
        <v>2952</v>
      </c>
    </row>
    <row r="403" spans="1:18" x14ac:dyDescent="0.25">
      <c r="A403" s="1">
        <v>45605</v>
      </c>
      <c r="B403" s="2" t="s">
        <v>17</v>
      </c>
      <c r="C403" s="2" t="s">
        <v>126</v>
      </c>
      <c r="D403">
        <v>15</v>
      </c>
      <c r="E403">
        <v>380</v>
      </c>
      <c r="F403" s="2" t="s">
        <v>28</v>
      </c>
      <c r="G403" s="2" t="s">
        <v>29</v>
      </c>
      <c r="H403">
        <v>0</v>
      </c>
      <c r="I403" s="2" t="s">
        <v>62</v>
      </c>
      <c r="J403" s="2" t="s">
        <v>22</v>
      </c>
      <c r="K403">
        <v>0</v>
      </c>
      <c r="L403" s="2" t="s">
        <v>844</v>
      </c>
      <c r="M403" s="2" t="s">
        <v>845</v>
      </c>
      <c r="N403">
        <v>25.72</v>
      </c>
      <c r="O403" s="1">
        <v>45605</v>
      </c>
      <c r="P403" s="1">
        <v>45608</v>
      </c>
      <c r="Q403" s="2" t="s">
        <v>25</v>
      </c>
      <c r="R403" s="2">
        <v>5700</v>
      </c>
    </row>
    <row r="404" spans="1:18" x14ac:dyDescent="0.25">
      <c r="A404" s="1">
        <v>45498</v>
      </c>
      <c r="B404" s="2" t="s">
        <v>26</v>
      </c>
      <c r="C404" s="2" t="s">
        <v>75</v>
      </c>
      <c r="D404">
        <v>3</v>
      </c>
      <c r="E404">
        <v>418</v>
      </c>
      <c r="F404" s="2" t="s">
        <v>51</v>
      </c>
      <c r="G404" s="2" t="s">
        <v>29</v>
      </c>
      <c r="H404">
        <v>0.05</v>
      </c>
      <c r="I404" s="2" t="s">
        <v>42</v>
      </c>
      <c r="J404" s="2" t="s">
        <v>31</v>
      </c>
      <c r="K404">
        <v>0</v>
      </c>
      <c r="L404" s="2" t="s">
        <v>846</v>
      </c>
      <c r="M404" s="2" t="s">
        <v>847</v>
      </c>
      <c r="N404">
        <v>43.42</v>
      </c>
      <c r="O404" s="1">
        <v>45498</v>
      </c>
      <c r="P404" s="1">
        <v>45504</v>
      </c>
      <c r="Q404" s="2" t="s">
        <v>34</v>
      </c>
      <c r="R404" s="2">
        <v>1191</v>
      </c>
    </row>
    <row r="405" spans="1:18" x14ac:dyDescent="0.25">
      <c r="A405" s="1">
        <v>45157</v>
      </c>
      <c r="B405" s="2" t="s">
        <v>65</v>
      </c>
      <c r="C405" s="2" t="s">
        <v>18</v>
      </c>
      <c r="D405">
        <v>15</v>
      </c>
      <c r="E405">
        <v>432</v>
      </c>
      <c r="F405" s="2" t="s">
        <v>51</v>
      </c>
      <c r="G405" s="2" t="s">
        <v>20</v>
      </c>
      <c r="H405">
        <v>0.15</v>
      </c>
      <c r="I405" s="2" t="s">
        <v>42</v>
      </c>
      <c r="J405" s="2" t="s">
        <v>56</v>
      </c>
      <c r="K405">
        <v>0</v>
      </c>
      <c r="L405" s="2" t="s">
        <v>848</v>
      </c>
      <c r="M405" s="2" t="s">
        <v>849</v>
      </c>
      <c r="N405">
        <v>44.88</v>
      </c>
      <c r="O405" s="1">
        <v>45157</v>
      </c>
      <c r="P405" s="1">
        <v>45161</v>
      </c>
      <c r="Q405" s="2" t="s">
        <v>68</v>
      </c>
      <c r="R405" s="2">
        <v>5508</v>
      </c>
    </row>
    <row r="406" spans="1:18" x14ac:dyDescent="0.25">
      <c r="A406" s="1">
        <v>45243</v>
      </c>
      <c r="B406" s="2" t="s">
        <v>26</v>
      </c>
      <c r="C406" s="2" t="s">
        <v>50</v>
      </c>
      <c r="D406">
        <v>13</v>
      </c>
      <c r="E406">
        <v>532</v>
      </c>
      <c r="F406" s="2" t="s">
        <v>46</v>
      </c>
      <c r="G406" s="2" t="s">
        <v>29</v>
      </c>
      <c r="H406">
        <v>0.1</v>
      </c>
      <c r="I406" s="2" t="s">
        <v>62</v>
      </c>
      <c r="J406" s="2" t="s">
        <v>22</v>
      </c>
      <c r="K406">
        <v>0</v>
      </c>
      <c r="L406" s="2" t="s">
        <v>850</v>
      </c>
      <c r="M406" s="2" t="s">
        <v>851</v>
      </c>
      <c r="N406">
        <v>37.909999999999997</v>
      </c>
      <c r="O406" s="1">
        <v>45243</v>
      </c>
      <c r="P406" s="1">
        <v>45245</v>
      </c>
      <c r="Q406" s="2" t="s">
        <v>34</v>
      </c>
      <c r="R406" s="2">
        <v>6224</v>
      </c>
    </row>
    <row r="407" spans="1:18" x14ac:dyDescent="0.25">
      <c r="A407" s="1">
        <v>45545</v>
      </c>
      <c r="B407" s="2" t="s">
        <v>65</v>
      </c>
      <c r="C407" s="2" t="s">
        <v>75</v>
      </c>
      <c r="D407">
        <v>13</v>
      </c>
      <c r="E407">
        <v>443</v>
      </c>
      <c r="F407" s="2" t="s">
        <v>28</v>
      </c>
      <c r="G407" s="2" t="s">
        <v>20</v>
      </c>
      <c r="H407">
        <v>0.05</v>
      </c>
      <c r="I407" s="2" t="s">
        <v>30</v>
      </c>
      <c r="J407" s="2" t="s">
        <v>31</v>
      </c>
      <c r="K407">
        <v>0</v>
      </c>
      <c r="L407" s="2" t="s">
        <v>852</v>
      </c>
      <c r="M407" s="2" t="s">
        <v>853</v>
      </c>
      <c r="N407">
        <v>37.119999999999997</v>
      </c>
      <c r="O407" s="1">
        <v>45545</v>
      </c>
      <c r="P407" s="1">
        <v>45553</v>
      </c>
      <c r="Q407" s="2" t="s">
        <v>68</v>
      </c>
      <c r="R407" s="2">
        <v>5471</v>
      </c>
    </row>
    <row r="408" spans="1:18" x14ac:dyDescent="0.25">
      <c r="A408" s="1">
        <v>45534</v>
      </c>
      <c r="B408" s="2" t="s">
        <v>40</v>
      </c>
      <c r="C408" s="2" t="s">
        <v>41</v>
      </c>
      <c r="D408">
        <v>13</v>
      </c>
      <c r="E408">
        <v>568</v>
      </c>
      <c r="F408" s="2" t="s">
        <v>28</v>
      </c>
      <c r="G408" s="2" t="s">
        <v>29</v>
      </c>
      <c r="H408">
        <v>0</v>
      </c>
      <c r="I408" s="2" t="s">
        <v>21</v>
      </c>
      <c r="J408" s="2" t="s">
        <v>53</v>
      </c>
      <c r="K408">
        <v>0</v>
      </c>
      <c r="L408" s="2" t="s">
        <v>854</v>
      </c>
      <c r="M408" s="2" t="s">
        <v>855</v>
      </c>
      <c r="N408">
        <v>28.41</v>
      </c>
      <c r="O408" s="1">
        <v>45534</v>
      </c>
      <c r="P408" s="1">
        <v>45537</v>
      </c>
      <c r="Q408" s="2" t="s">
        <v>45</v>
      </c>
      <c r="R408" s="2">
        <v>7384</v>
      </c>
    </row>
    <row r="409" spans="1:18" x14ac:dyDescent="0.25">
      <c r="A409" s="1">
        <v>45606</v>
      </c>
      <c r="B409" s="2" t="s">
        <v>17</v>
      </c>
      <c r="C409" s="2" t="s">
        <v>75</v>
      </c>
      <c r="D409">
        <v>15</v>
      </c>
      <c r="E409">
        <v>470</v>
      </c>
      <c r="F409" s="2" t="s">
        <v>46</v>
      </c>
      <c r="G409" s="2" t="s">
        <v>20</v>
      </c>
      <c r="H409">
        <v>0</v>
      </c>
      <c r="I409" s="2" t="s">
        <v>30</v>
      </c>
      <c r="J409" s="2" t="s">
        <v>53</v>
      </c>
      <c r="K409">
        <v>0</v>
      </c>
      <c r="L409" s="2" t="s">
        <v>856</v>
      </c>
      <c r="M409" s="2" t="s">
        <v>857</v>
      </c>
      <c r="N409">
        <v>35.6</v>
      </c>
      <c r="O409" s="1">
        <v>45606</v>
      </c>
      <c r="P409" s="1">
        <v>45613</v>
      </c>
      <c r="Q409" s="2" t="s">
        <v>25</v>
      </c>
      <c r="R409" s="2">
        <v>7050</v>
      </c>
    </row>
    <row r="410" spans="1:18" x14ac:dyDescent="0.25">
      <c r="A410" s="1">
        <v>45029</v>
      </c>
      <c r="B410" s="2" t="s">
        <v>17</v>
      </c>
      <c r="C410" s="2" t="s">
        <v>126</v>
      </c>
      <c r="D410">
        <v>1</v>
      </c>
      <c r="E410">
        <v>396</v>
      </c>
      <c r="F410" s="2" t="s">
        <v>51</v>
      </c>
      <c r="G410" s="2" t="s">
        <v>20</v>
      </c>
      <c r="H410">
        <v>0.15</v>
      </c>
      <c r="I410" s="2" t="s">
        <v>42</v>
      </c>
      <c r="J410" s="2" t="s">
        <v>53</v>
      </c>
      <c r="K410">
        <v>0</v>
      </c>
      <c r="L410" s="2" t="s">
        <v>858</v>
      </c>
      <c r="M410" s="2" t="s">
        <v>859</v>
      </c>
      <c r="N410">
        <v>39.380000000000003</v>
      </c>
      <c r="O410" s="1">
        <v>45029</v>
      </c>
      <c r="P410" s="1">
        <v>45035</v>
      </c>
      <c r="Q410" s="2" t="s">
        <v>25</v>
      </c>
      <c r="R410" s="2">
        <v>337</v>
      </c>
    </row>
    <row r="411" spans="1:18" x14ac:dyDescent="0.25">
      <c r="A411" s="1">
        <v>45250</v>
      </c>
      <c r="B411" s="2" t="s">
        <v>17</v>
      </c>
      <c r="C411" s="2" t="s">
        <v>18</v>
      </c>
      <c r="D411">
        <v>12</v>
      </c>
      <c r="E411">
        <v>196</v>
      </c>
      <c r="F411" s="2" t="s">
        <v>46</v>
      </c>
      <c r="G411" s="2" t="s">
        <v>20</v>
      </c>
      <c r="H411">
        <v>0.05</v>
      </c>
      <c r="I411" s="2" t="s">
        <v>30</v>
      </c>
      <c r="J411" s="2" t="s">
        <v>59</v>
      </c>
      <c r="K411">
        <v>0</v>
      </c>
      <c r="L411" s="2" t="s">
        <v>860</v>
      </c>
      <c r="M411" s="2" t="s">
        <v>861</v>
      </c>
      <c r="N411">
        <v>37.090000000000003</v>
      </c>
      <c r="O411" s="1">
        <v>45250</v>
      </c>
      <c r="P411" s="1">
        <v>45257</v>
      </c>
      <c r="Q411" s="2" t="s">
        <v>25</v>
      </c>
      <c r="R411" s="2">
        <v>2234</v>
      </c>
    </row>
    <row r="412" spans="1:18" x14ac:dyDescent="0.25">
      <c r="A412" s="1">
        <v>45761</v>
      </c>
      <c r="B412" s="2" t="s">
        <v>35</v>
      </c>
      <c r="C412" s="2" t="s">
        <v>126</v>
      </c>
      <c r="D412">
        <v>5</v>
      </c>
      <c r="E412">
        <v>412</v>
      </c>
      <c r="F412" s="2" t="s">
        <v>19</v>
      </c>
      <c r="G412" s="2" t="s">
        <v>20</v>
      </c>
      <c r="H412">
        <v>0.15</v>
      </c>
      <c r="I412" s="2" t="s">
        <v>47</v>
      </c>
      <c r="J412" s="2" t="s">
        <v>59</v>
      </c>
      <c r="K412">
        <v>0</v>
      </c>
      <c r="L412" s="2" t="s">
        <v>862</v>
      </c>
      <c r="M412" s="2" t="s">
        <v>461</v>
      </c>
      <c r="N412">
        <v>29.31</v>
      </c>
      <c r="O412" s="1">
        <v>45761</v>
      </c>
      <c r="P412" s="1">
        <v>45766</v>
      </c>
      <c r="Q412" s="2" t="s">
        <v>39</v>
      </c>
      <c r="R412" s="2">
        <v>1751</v>
      </c>
    </row>
    <row r="413" spans="1:18" x14ac:dyDescent="0.25">
      <c r="A413" s="1">
        <v>44989</v>
      </c>
      <c r="B413" s="2" t="s">
        <v>40</v>
      </c>
      <c r="C413" s="2" t="s">
        <v>50</v>
      </c>
      <c r="D413">
        <v>11</v>
      </c>
      <c r="E413">
        <v>558</v>
      </c>
      <c r="F413" s="2" t="s">
        <v>19</v>
      </c>
      <c r="G413" s="2" t="s">
        <v>29</v>
      </c>
      <c r="H413">
        <v>0.15</v>
      </c>
      <c r="I413" s="2" t="s">
        <v>47</v>
      </c>
      <c r="J413" s="2" t="s">
        <v>59</v>
      </c>
      <c r="K413">
        <v>0</v>
      </c>
      <c r="L413" s="2" t="s">
        <v>863</v>
      </c>
      <c r="M413" s="2" t="s">
        <v>348</v>
      </c>
      <c r="N413">
        <v>48.15</v>
      </c>
      <c r="O413" s="1">
        <v>44989</v>
      </c>
      <c r="P413" s="1">
        <v>44994</v>
      </c>
      <c r="Q413" s="2" t="s">
        <v>45</v>
      </c>
      <c r="R413" s="2">
        <v>5217</v>
      </c>
    </row>
    <row r="414" spans="1:18" x14ac:dyDescent="0.25">
      <c r="A414" s="1">
        <v>45612</v>
      </c>
      <c r="B414" s="2" t="s">
        <v>35</v>
      </c>
      <c r="C414" s="2" t="s">
        <v>18</v>
      </c>
      <c r="D414">
        <v>4</v>
      </c>
      <c r="E414">
        <v>175</v>
      </c>
      <c r="F414" s="2" t="s">
        <v>46</v>
      </c>
      <c r="G414" s="2" t="s">
        <v>29</v>
      </c>
      <c r="H414">
        <v>0.15</v>
      </c>
      <c r="I414" s="2" t="s">
        <v>21</v>
      </c>
      <c r="J414" s="2" t="s">
        <v>59</v>
      </c>
      <c r="K414">
        <v>0</v>
      </c>
      <c r="L414" s="2" t="s">
        <v>864</v>
      </c>
      <c r="M414" s="2" t="s">
        <v>865</v>
      </c>
      <c r="N414">
        <v>40.86</v>
      </c>
      <c r="O414" s="1">
        <v>45612</v>
      </c>
      <c r="P414" s="1">
        <v>45615</v>
      </c>
      <c r="Q414" s="2" t="s">
        <v>39</v>
      </c>
      <c r="R414" s="2">
        <v>595</v>
      </c>
    </row>
    <row r="415" spans="1:18" x14ac:dyDescent="0.25">
      <c r="A415" s="1">
        <v>45437</v>
      </c>
      <c r="B415" s="2" t="s">
        <v>26</v>
      </c>
      <c r="C415" s="2" t="s">
        <v>18</v>
      </c>
      <c r="D415">
        <v>19</v>
      </c>
      <c r="E415">
        <v>479</v>
      </c>
      <c r="F415" s="2" t="s">
        <v>28</v>
      </c>
      <c r="G415" s="2" t="s">
        <v>29</v>
      </c>
      <c r="H415">
        <v>0</v>
      </c>
      <c r="I415" s="2" t="s">
        <v>42</v>
      </c>
      <c r="J415" s="2" t="s">
        <v>56</v>
      </c>
      <c r="K415">
        <v>1</v>
      </c>
      <c r="L415" s="2" t="s">
        <v>866</v>
      </c>
      <c r="M415" s="2" t="s">
        <v>867</v>
      </c>
      <c r="N415">
        <v>46.46</v>
      </c>
      <c r="O415" s="1">
        <v>45437</v>
      </c>
      <c r="P415" s="1">
        <v>45445</v>
      </c>
      <c r="Q415" s="2" t="s">
        <v>34</v>
      </c>
      <c r="R415" s="2">
        <v>9101</v>
      </c>
    </row>
    <row r="416" spans="1:18" x14ac:dyDescent="0.25">
      <c r="A416" s="1">
        <v>45028</v>
      </c>
      <c r="B416" s="2" t="s">
        <v>17</v>
      </c>
      <c r="C416" s="2" t="s">
        <v>36</v>
      </c>
      <c r="D416">
        <v>5</v>
      </c>
      <c r="E416">
        <v>365</v>
      </c>
      <c r="F416" s="2" t="s">
        <v>51</v>
      </c>
      <c r="G416" s="2" t="s">
        <v>20</v>
      </c>
      <c r="H416">
        <v>0.15</v>
      </c>
      <c r="I416" s="2" t="s">
        <v>30</v>
      </c>
      <c r="J416" s="2" t="s">
        <v>56</v>
      </c>
      <c r="K416">
        <v>1</v>
      </c>
      <c r="L416" s="2" t="s">
        <v>868</v>
      </c>
      <c r="M416" s="2" t="s">
        <v>869</v>
      </c>
      <c r="N416">
        <v>5.66</v>
      </c>
      <c r="O416" s="1">
        <v>45028</v>
      </c>
      <c r="P416" s="1">
        <v>45031</v>
      </c>
      <c r="Q416" s="2" t="s">
        <v>25</v>
      </c>
      <c r="R416" s="2">
        <v>1551</v>
      </c>
    </row>
    <row r="417" spans="1:18" x14ac:dyDescent="0.25">
      <c r="A417" s="1">
        <v>44992</v>
      </c>
      <c r="B417" s="2" t="s">
        <v>26</v>
      </c>
      <c r="C417" s="2" t="s">
        <v>36</v>
      </c>
      <c r="D417">
        <v>10</v>
      </c>
      <c r="E417">
        <v>397</v>
      </c>
      <c r="F417" s="2" t="s">
        <v>19</v>
      </c>
      <c r="G417" s="2" t="s">
        <v>29</v>
      </c>
      <c r="H417">
        <v>0.15</v>
      </c>
      <c r="I417" s="2" t="s">
        <v>30</v>
      </c>
      <c r="J417" s="2" t="s">
        <v>53</v>
      </c>
      <c r="K417">
        <v>0</v>
      </c>
      <c r="L417" s="2" t="s">
        <v>870</v>
      </c>
      <c r="M417" s="2" t="s">
        <v>871</v>
      </c>
      <c r="N417">
        <v>10.199999999999999</v>
      </c>
      <c r="O417" s="1">
        <v>44992</v>
      </c>
      <c r="P417" s="1">
        <v>44998</v>
      </c>
      <c r="Q417" s="2" t="s">
        <v>34</v>
      </c>
      <c r="R417" s="2">
        <v>3374</v>
      </c>
    </row>
    <row r="418" spans="1:18" x14ac:dyDescent="0.25">
      <c r="A418" s="1">
        <v>45296</v>
      </c>
      <c r="B418" s="2" t="s">
        <v>40</v>
      </c>
      <c r="C418" s="2" t="s">
        <v>41</v>
      </c>
      <c r="D418">
        <v>17</v>
      </c>
      <c r="E418">
        <v>241</v>
      </c>
      <c r="F418" s="2" t="s">
        <v>28</v>
      </c>
      <c r="G418" s="2" t="s">
        <v>29</v>
      </c>
      <c r="H418">
        <v>0.1</v>
      </c>
      <c r="I418" s="2" t="s">
        <v>62</v>
      </c>
      <c r="J418" s="2" t="s">
        <v>56</v>
      </c>
      <c r="K418">
        <v>0</v>
      </c>
      <c r="L418" s="2" t="s">
        <v>872</v>
      </c>
      <c r="M418" s="2" t="s">
        <v>873</v>
      </c>
      <c r="N418">
        <v>24.69</v>
      </c>
      <c r="O418" s="1">
        <v>45296</v>
      </c>
      <c r="P418" s="1">
        <v>45302</v>
      </c>
      <c r="Q418" s="2" t="s">
        <v>45</v>
      </c>
      <c r="R418" s="2">
        <v>3687</v>
      </c>
    </row>
    <row r="419" spans="1:18" x14ac:dyDescent="0.25">
      <c r="A419" s="1">
        <v>45596</v>
      </c>
      <c r="B419" s="2" t="s">
        <v>65</v>
      </c>
      <c r="C419" s="2" t="s">
        <v>36</v>
      </c>
      <c r="D419">
        <v>17</v>
      </c>
      <c r="E419">
        <v>82</v>
      </c>
      <c r="F419" s="2" t="s">
        <v>46</v>
      </c>
      <c r="G419" s="2" t="s">
        <v>20</v>
      </c>
      <c r="H419">
        <v>0</v>
      </c>
      <c r="I419" s="2" t="s">
        <v>30</v>
      </c>
      <c r="J419" s="2" t="s">
        <v>59</v>
      </c>
      <c r="K419">
        <v>0</v>
      </c>
      <c r="L419" s="2" t="s">
        <v>874</v>
      </c>
      <c r="M419" s="2" t="s">
        <v>875</v>
      </c>
      <c r="N419">
        <v>32.5</v>
      </c>
      <c r="O419" s="1">
        <v>45596</v>
      </c>
      <c r="P419" s="1">
        <v>45606</v>
      </c>
      <c r="Q419" s="2" t="s">
        <v>68</v>
      </c>
      <c r="R419" s="2">
        <v>1394</v>
      </c>
    </row>
    <row r="420" spans="1:18" x14ac:dyDescent="0.25">
      <c r="A420" s="1">
        <v>45420</v>
      </c>
      <c r="B420" s="2" t="s">
        <v>65</v>
      </c>
      <c r="C420" s="2" t="s">
        <v>50</v>
      </c>
      <c r="D420">
        <v>16</v>
      </c>
      <c r="E420">
        <v>171</v>
      </c>
      <c r="F420" s="2" t="s">
        <v>46</v>
      </c>
      <c r="G420" s="2" t="s">
        <v>29</v>
      </c>
      <c r="H420">
        <v>0.1</v>
      </c>
      <c r="I420" s="2" t="s">
        <v>42</v>
      </c>
      <c r="J420" s="2" t="s">
        <v>22</v>
      </c>
      <c r="K420">
        <v>1</v>
      </c>
      <c r="L420" s="2" t="s">
        <v>876</v>
      </c>
      <c r="M420" s="2" t="s">
        <v>877</v>
      </c>
      <c r="N420">
        <v>45.93</v>
      </c>
      <c r="O420" s="1">
        <v>45420</v>
      </c>
      <c r="P420" s="1">
        <v>45426</v>
      </c>
      <c r="Q420" s="2" t="s">
        <v>68</v>
      </c>
      <c r="R420" s="2">
        <v>2462</v>
      </c>
    </row>
    <row r="421" spans="1:18" x14ac:dyDescent="0.25">
      <c r="A421" s="1">
        <v>45356</v>
      </c>
      <c r="B421" s="2" t="s">
        <v>40</v>
      </c>
      <c r="C421" s="2" t="s">
        <v>50</v>
      </c>
      <c r="D421">
        <v>1</v>
      </c>
      <c r="E421">
        <v>8</v>
      </c>
      <c r="F421" s="2" t="s">
        <v>46</v>
      </c>
      <c r="G421" s="2" t="s">
        <v>20</v>
      </c>
      <c r="H421">
        <v>0.15</v>
      </c>
      <c r="I421" s="2" t="s">
        <v>42</v>
      </c>
      <c r="J421" s="2" t="s">
        <v>56</v>
      </c>
      <c r="K421">
        <v>0</v>
      </c>
      <c r="L421" s="2" t="s">
        <v>878</v>
      </c>
      <c r="M421" s="2" t="s">
        <v>879</v>
      </c>
      <c r="N421">
        <v>30.35</v>
      </c>
      <c r="O421" s="1">
        <v>45356</v>
      </c>
      <c r="P421" s="1">
        <v>45366</v>
      </c>
      <c r="Q421" s="2" t="s">
        <v>45</v>
      </c>
      <c r="R421" s="2">
        <v>7</v>
      </c>
    </row>
    <row r="422" spans="1:18" x14ac:dyDescent="0.25">
      <c r="A422" s="1">
        <v>45125</v>
      </c>
      <c r="B422" s="2" t="s">
        <v>35</v>
      </c>
      <c r="C422" s="2" t="s">
        <v>18</v>
      </c>
      <c r="D422">
        <v>12</v>
      </c>
      <c r="E422">
        <v>426</v>
      </c>
      <c r="F422" s="2" t="s">
        <v>28</v>
      </c>
      <c r="G422" s="2" t="s">
        <v>29</v>
      </c>
      <c r="H422">
        <v>0.1</v>
      </c>
      <c r="I422" s="2" t="s">
        <v>62</v>
      </c>
      <c r="J422" s="2" t="s">
        <v>22</v>
      </c>
      <c r="K422">
        <v>1</v>
      </c>
      <c r="L422" s="2" t="s">
        <v>880</v>
      </c>
      <c r="M422" s="2" t="s">
        <v>881</v>
      </c>
      <c r="N422">
        <v>25.48</v>
      </c>
      <c r="O422" s="1">
        <v>45125</v>
      </c>
      <c r="P422" s="1">
        <v>45129</v>
      </c>
      <c r="Q422" s="2" t="s">
        <v>39</v>
      </c>
      <c r="R422" s="2">
        <v>4601</v>
      </c>
    </row>
    <row r="423" spans="1:18" x14ac:dyDescent="0.25">
      <c r="A423" s="1">
        <v>45143</v>
      </c>
      <c r="B423" s="2" t="s">
        <v>26</v>
      </c>
      <c r="C423" s="2" t="s">
        <v>126</v>
      </c>
      <c r="D423">
        <v>20</v>
      </c>
      <c r="E423">
        <v>121</v>
      </c>
      <c r="F423" s="2" t="s">
        <v>46</v>
      </c>
      <c r="G423" s="2" t="s">
        <v>29</v>
      </c>
      <c r="H423">
        <v>0.1</v>
      </c>
      <c r="I423" s="2" t="s">
        <v>62</v>
      </c>
      <c r="J423" s="2" t="s">
        <v>53</v>
      </c>
      <c r="K423">
        <v>0</v>
      </c>
      <c r="L423" s="2" t="s">
        <v>882</v>
      </c>
      <c r="M423" s="2" t="s">
        <v>883</v>
      </c>
      <c r="N423">
        <v>21.47</v>
      </c>
      <c r="O423" s="1">
        <v>45143</v>
      </c>
      <c r="P423" s="1">
        <v>45152</v>
      </c>
      <c r="Q423" s="2" t="s">
        <v>34</v>
      </c>
      <c r="R423" s="2">
        <v>2178</v>
      </c>
    </row>
    <row r="424" spans="1:18" x14ac:dyDescent="0.25">
      <c r="A424" s="1">
        <v>45187</v>
      </c>
      <c r="B424" s="2" t="s">
        <v>65</v>
      </c>
      <c r="C424" s="2" t="s">
        <v>75</v>
      </c>
      <c r="D424">
        <v>19</v>
      </c>
      <c r="E424">
        <v>448</v>
      </c>
      <c r="F424" s="2" t="s">
        <v>51</v>
      </c>
      <c r="G424" s="2" t="s">
        <v>20</v>
      </c>
      <c r="H424">
        <v>0</v>
      </c>
      <c r="I424" s="2" t="s">
        <v>30</v>
      </c>
      <c r="J424" s="2" t="s">
        <v>56</v>
      </c>
      <c r="K424">
        <v>0</v>
      </c>
      <c r="L424" s="2" t="s">
        <v>884</v>
      </c>
      <c r="M424" s="2" t="s">
        <v>885</v>
      </c>
      <c r="N424">
        <v>28.29</v>
      </c>
      <c r="O424" s="1">
        <v>45187</v>
      </c>
      <c r="P424" s="1">
        <v>45189</v>
      </c>
      <c r="Q424" s="2" t="s">
        <v>68</v>
      </c>
      <c r="R424" s="2">
        <v>8512</v>
      </c>
    </row>
    <row r="425" spans="1:18" x14ac:dyDescent="0.25">
      <c r="A425" s="1">
        <v>45012</v>
      </c>
      <c r="B425" s="2" t="s">
        <v>26</v>
      </c>
      <c r="C425" s="2" t="s">
        <v>18</v>
      </c>
      <c r="D425">
        <v>8</v>
      </c>
      <c r="E425">
        <v>8</v>
      </c>
      <c r="F425" s="2" t="s">
        <v>51</v>
      </c>
      <c r="G425" s="2" t="s">
        <v>20</v>
      </c>
      <c r="H425">
        <v>0.1</v>
      </c>
      <c r="I425" s="2" t="s">
        <v>42</v>
      </c>
      <c r="J425" s="2" t="s">
        <v>22</v>
      </c>
      <c r="K425">
        <v>0</v>
      </c>
      <c r="L425" s="2" t="s">
        <v>886</v>
      </c>
      <c r="M425" s="2" t="s">
        <v>887</v>
      </c>
      <c r="N425">
        <v>25.03</v>
      </c>
      <c r="O425" s="1">
        <v>45012</v>
      </c>
      <c r="P425" s="1">
        <v>45014</v>
      </c>
      <c r="Q425" s="2" t="s">
        <v>34</v>
      </c>
      <c r="R425" s="2">
        <v>58</v>
      </c>
    </row>
    <row r="426" spans="1:18" x14ac:dyDescent="0.25">
      <c r="A426" s="1">
        <v>44993</v>
      </c>
      <c r="B426" s="2" t="s">
        <v>17</v>
      </c>
      <c r="C426" s="2" t="s">
        <v>41</v>
      </c>
      <c r="D426">
        <v>19</v>
      </c>
      <c r="E426">
        <v>191</v>
      </c>
      <c r="F426" s="2" t="s">
        <v>46</v>
      </c>
      <c r="G426" s="2" t="s">
        <v>20</v>
      </c>
      <c r="H426">
        <v>0.15</v>
      </c>
      <c r="I426" s="2" t="s">
        <v>47</v>
      </c>
      <c r="J426" s="2" t="s">
        <v>59</v>
      </c>
      <c r="K426">
        <v>1</v>
      </c>
      <c r="L426" s="2" t="s">
        <v>888</v>
      </c>
      <c r="M426" s="2" t="s">
        <v>889</v>
      </c>
      <c r="N426">
        <v>35.54</v>
      </c>
      <c r="O426" s="1">
        <v>44993</v>
      </c>
      <c r="P426" s="1">
        <v>45002</v>
      </c>
      <c r="Q426" s="2" t="s">
        <v>25</v>
      </c>
      <c r="R426" s="2">
        <v>3085</v>
      </c>
    </row>
    <row r="427" spans="1:18" x14ac:dyDescent="0.25">
      <c r="A427" s="1">
        <v>45414</v>
      </c>
      <c r="B427" s="2" t="s">
        <v>65</v>
      </c>
      <c r="C427" s="2" t="s">
        <v>36</v>
      </c>
      <c r="D427">
        <v>5</v>
      </c>
      <c r="E427">
        <v>245</v>
      </c>
      <c r="F427" s="2" t="s">
        <v>19</v>
      </c>
      <c r="G427" s="2" t="s">
        <v>29</v>
      </c>
      <c r="H427">
        <v>0.15</v>
      </c>
      <c r="I427" s="2" t="s">
        <v>21</v>
      </c>
      <c r="J427" s="2" t="s">
        <v>22</v>
      </c>
      <c r="K427">
        <v>0</v>
      </c>
      <c r="L427" s="2" t="s">
        <v>890</v>
      </c>
      <c r="M427" s="2" t="s">
        <v>891</v>
      </c>
      <c r="N427">
        <v>46.37</v>
      </c>
      <c r="O427" s="1">
        <v>45414</v>
      </c>
      <c r="P427" s="1">
        <v>45418</v>
      </c>
      <c r="Q427" s="2" t="s">
        <v>68</v>
      </c>
      <c r="R427" s="2">
        <v>1041</v>
      </c>
    </row>
    <row r="428" spans="1:18" x14ac:dyDescent="0.25">
      <c r="A428" s="1">
        <v>45185</v>
      </c>
      <c r="B428" s="2" t="s">
        <v>35</v>
      </c>
      <c r="C428" s="2" t="s">
        <v>36</v>
      </c>
      <c r="D428">
        <v>17</v>
      </c>
      <c r="E428">
        <v>163</v>
      </c>
      <c r="F428" s="2" t="s">
        <v>19</v>
      </c>
      <c r="G428" s="2" t="s">
        <v>20</v>
      </c>
      <c r="H428">
        <v>0.15</v>
      </c>
      <c r="I428" s="2" t="s">
        <v>21</v>
      </c>
      <c r="J428" s="2" t="s">
        <v>31</v>
      </c>
      <c r="K428">
        <v>0</v>
      </c>
      <c r="L428" s="2" t="s">
        <v>892</v>
      </c>
      <c r="M428" s="2" t="s">
        <v>893</v>
      </c>
      <c r="N428">
        <v>5.36</v>
      </c>
      <c r="O428" s="1">
        <v>45185</v>
      </c>
      <c r="P428" s="1">
        <v>45195</v>
      </c>
      <c r="Q428" s="2" t="s">
        <v>39</v>
      </c>
      <c r="R428" s="2">
        <v>2355</v>
      </c>
    </row>
    <row r="429" spans="1:18" x14ac:dyDescent="0.25">
      <c r="A429" s="1">
        <v>45090</v>
      </c>
      <c r="B429" s="2" t="s">
        <v>26</v>
      </c>
      <c r="C429" s="2" t="s">
        <v>75</v>
      </c>
      <c r="D429">
        <v>14</v>
      </c>
      <c r="E429">
        <v>584</v>
      </c>
      <c r="F429" s="2" t="s">
        <v>46</v>
      </c>
      <c r="G429" s="2" t="s">
        <v>29</v>
      </c>
      <c r="H429">
        <v>0</v>
      </c>
      <c r="I429" s="2" t="s">
        <v>52</v>
      </c>
      <c r="J429" s="2" t="s">
        <v>56</v>
      </c>
      <c r="K429">
        <v>0</v>
      </c>
      <c r="L429" s="2" t="s">
        <v>894</v>
      </c>
      <c r="M429" s="2" t="s">
        <v>895</v>
      </c>
      <c r="N429">
        <v>23.03</v>
      </c>
      <c r="O429" s="1">
        <v>45090</v>
      </c>
      <c r="P429" s="1">
        <v>45099</v>
      </c>
      <c r="Q429" s="2" t="s">
        <v>34</v>
      </c>
      <c r="R429" s="2">
        <v>8176</v>
      </c>
    </row>
    <row r="430" spans="1:18" x14ac:dyDescent="0.25">
      <c r="A430" s="1">
        <v>45235</v>
      </c>
      <c r="B430" s="2" t="s">
        <v>35</v>
      </c>
      <c r="C430" s="2" t="s">
        <v>36</v>
      </c>
      <c r="D430">
        <v>16</v>
      </c>
      <c r="E430">
        <v>181</v>
      </c>
      <c r="F430" s="2" t="s">
        <v>46</v>
      </c>
      <c r="G430" s="2" t="s">
        <v>29</v>
      </c>
      <c r="H430">
        <v>0.1</v>
      </c>
      <c r="I430" s="2" t="s">
        <v>47</v>
      </c>
      <c r="J430" s="2" t="s">
        <v>22</v>
      </c>
      <c r="K430">
        <v>0</v>
      </c>
      <c r="L430" s="2" t="s">
        <v>896</v>
      </c>
      <c r="M430" s="2" t="s">
        <v>897</v>
      </c>
      <c r="N430">
        <v>39.840000000000003</v>
      </c>
      <c r="O430" s="1">
        <v>45235</v>
      </c>
      <c r="P430" s="1">
        <v>45238</v>
      </c>
      <c r="Q430" s="2" t="s">
        <v>39</v>
      </c>
      <c r="R430" s="2">
        <v>2606</v>
      </c>
    </row>
    <row r="431" spans="1:18" x14ac:dyDescent="0.25">
      <c r="A431" s="1">
        <v>45619</v>
      </c>
      <c r="B431" s="2" t="s">
        <v>26</v>
      </c>
      <c r="C431" s="2" t="s">
        <v>75</v>
      </c>
      <c r="D431">
        <v>8</v>
      </c>
      <c r="E431">
        <v>415</v>
      </c>
      <c r="F431" s="2" t="s">
        <v>28</v>
      </c>
      <c r="G431" s="2" t="s">
        <v>20</v>
      </c>
      <c r="H431">
        <v>0</v>
      </c>
      <c r="I431" s="2" t="s">
        <v>30</v>
      </c>
      <c r="J431" s="2" t="s">
        <v>56</v>
      </c>
      <c r="K431">
        <v>0</v>
      </c>
      <c r="L431" s="2" t="s">
        <v>898</v>
      </c>
      <c r="M431" s="2" t="s">
        <v>899</v>
      </c>
      <c r="N431">
        <v>46.58</v>
      </c>
      <c r="O431" s="1">
        <v>45619</v>
      </c>
      <c r="P431" s="1">
        <v>45622</v>
      </c>
      <c r="Q431" s="2" t="s">
        <v>34</v>
      </c>
      <c r="R431" s="2">
        <v>3320</v>
      </c>
    </row>
    <row r="432" spans="1:18" x14ac:dyDescent="0.25">
      <c r="A432" s="1">
        <v>45331</v>
      </c>
      <c r="B432" s="2" t="s">
        <v>40</v>
      </c>
      <c r="C432" s="2" t="s">
        <v>27</v>
      </c>
      <c r="D432">
        <v>16</v>
      </c>
      <c r="E432">
        <v>442</v>
      </c>
      <c r="F432" s="2" t="s">
        <v>19</v>
      </c>
      <c r="G432" s="2" t="s">
        <v>29</v>
      </c>
      <c r="H432">
        <v>0</v>
      </c>
      <c r="I432" s="2" t="s">
        <v>30</v>
      </c>
      <c r="J432" s="2" t="s">
        <v>59</v>
      </c>
      <c r="K432">
        <v>0</v>
      </c>
      <c r="L432" s="2" t="s">
        <v>900</v>
      </c>
      <c r="M432" s="2" t="s">
        <v>901</v>
      </c>
      <c r="N432">
        <v>27.36</v>
      </c>
      <c r="O432" s="1">
        <v>45331</v>
      </c>
      <c r="P432" s="1">
        <v>45340</v>
      </c>
      <c r="Q432" s="2" t="s">
        <v>45</v>
      </c>
      <c r="R432" s="2">
        <v>7072</v>
      </c>
    </row>
    <row r="433" spans="1:18" x14ac:dyDescent="0.25">
      <c r="A433" s="1">
        <v>45246</v>
      </c>
      <c r="B433" s="2" t="s">
        <v>40</v>
      </c>
      <c r="C433" s="2" t="s">
        <v>126</v>
      </c>
      <c r="D433">
        <v>14</v>
      </c>
      <c r="E433">
        <v>595</v>
      </c>
      <c r="F433" s="2" t="s">
        <v>28</v>
      </c>
      <c r="G433" s="2" t="s">
        <v>20</v>
      </c>
      <c r="H433">
        <v>0.1</v>
      </c>
      <c r="I433" s="2" t="s">
        <v>62</v>
      </c>
      <c r="J433" s="2" t="s">
        <v>53</v>
      </c>
      <c r="K433">
        <v>0</v>
      </c>
      <c r="L433" s="2" t="s">
        <v>902</v>
      </c>
      <c r="M433" s="2" t="s">
        <v>903</v>
      </c>
      <c r="N433">
        <v>9.51</v>
      </c>
      <c r="O433" s="1">
        <v>45246</v>
      </c>
      <c r="P433" s="1">
        <v>45252</v>
      </c>
      <c r="Q433" s="2" t="s">
        <v>45</v>
      </c>
      <c r="R433" s="2">
        <v>7497</v>
      </c>
    </row>
    <row r="434" spans="1:18" x14ac:dyDescent="0.25">
      <c r="A434" s="1">
        <v>45681</v>
      </c>
      <c r="B434" s="2" t="s">
        <v>40</v>
      </c>
      <c r="C434" s="2" t="s">
        <v>50</v>
      </c>
      <c r="D434">
        <v>6</v>
      </c>
      <c r="E434">
        <v>175</v>
      </c>
      <c r="F434" s="2" t="s">
        <v>28</v>
      </c>
      <c r="G434" s="2" t="s">
        <v>20</v>
      </c>
      <c r="H434">
        <v>0.15</v>
      </c>
      <c r="I434" s="2" t="s">
        <v>30</v>
      </c>
      <c r="J434" s="2" t="s">
        <v>59</v>
      </c>
      <c r="K434">
        <v>1</v>
      </c>
      <c r="L434" s="2" t="s">
        <v>904</v>
      </c>
      <c r="M434" s="2" t="s">
        <v>905</v>
      </c>
      <c r="N434">
        <v>17.920000000000002</v>
      </c>
      <c r="O434" s="1">
        <v>45681</v>
      </c>
      <c r="P434" s="1">
        <v>45686</v>
      </c>
      <c r="Q434" s="2" t="s">
        <v>45</v>
      </c>
      <c r="R434" s="2">
        <v>892</v>
      </c>
    </row>
    <row r="435" spans="1:18" x14ac:dyDescent="0.25">
      <c r="A435" s="1">
        <v>45783</v>
      </c>
      <c r="B435" s="2" t="s">
        <v>40</v>
      </c>
      <c r="C435" s="2" t="s">
        <v>75</v>
      </c>
      <c r="D435">
        <v>7</v>
      </c>
      <c r="E435">
        <v>320</v>
      </c>
      <c r="F435" s="2" t="s">
        <v>46</v>
      </c>
      <c r="G435" s="2" t="s">
        <v>20</v>
      </c>
      <c r="H435">
        <v>0.15</v>
      </c>
      <c r="I435" s="2" t="s">
        <v>47</v>
      </c>
      <c r="J435" s="2" t="s">
        <v>31</v>
      </c>
      <c r="K435">
        <v>1</v>
      </c>
      <c r="L435" s="2" t="s">
        <v>906</v>
      </c>
      <c r="M435" s="2" t="s">
        <v>907</v>
      </c>
      <c r="N435">
        <v>8.4700000000000006</v>
      </c>
      <c r="O435" s="1">
        <v>45783</v>
      </c>
      <c r="P435" s="1">
        <v>45786</v>
      </c>
      <c r="Q435" s="2" t="s">
        <v>45</v>
      </c>
      <c r="R435" s="2">
        <v>1904</v>
      </c>
    </row>
    <row r="436" spans="1:18" x14ac:dyDescent="0.25">
      <c r="A436" s="1">
        <v>45794</v>
      </c>
      <c r="B436" s="2" t="s">
        <v>17</v>
      </c>
      <c r="C436" s="2" t="s">
        <v>126</v>
      </c>
      <c r="D436">
        <v>15</v>
      </c>
      <c r="E436">
        <v>507</v>
      </c>
      <c r="F436" s="2" t="s">
        <v>28</v>
      </c>
      <c r="G436" s="2" t="s">
        <v>29</v>
      </c>
      <c r="H436">
        <v>0.15</v>
      </c>
      <c r="I436" s="2" t="s">
        <v>62</v>
      </c>
      <c r="J436" s="2" t="s">
        <v>59</v>
      </c>
      <c r="K436">
        <v>1</v>
      </c>
      <c r="L436" s="2" t="s">
        <v>908</v>
      </c>
      <c r="M436" s="2" t="s">
        <v>909</v>
      </c>
      <c r="N436">
        <v>41.03</v>
      </c>
      <c r="O436" s="1">
        <v>45794</v>
      </c>
      <c r="P436" s="1">
        <v>45804</v>
      </c>
      <c r="Q436" s="2" t="s">
        <v>25</v>
      </c>
      <c r="R436" s="2">
        <v>6464</v>
      </c>
    </row>
    <row r="437" spans="1:18" x14ac:dyDescent="0.25">
      <c r="A437" s="1">
        <v>45259</v>
      </c>
      <c r="B437" s="2" t="s">
        <v>40</v>
      </c>
      <c r="C437" s="2" t="s">
        <v>18</v>
      </c>
      <c r="D437">
        <v>17</v>
      </c>
      <c r="E437">
        <v>538</v>
      </c>
      <c r="F437" s="2" t="s">
        <v>28</v>
      </c>
      <c r="G437" s="2" t="s">
        <v>29</v>
      </c>
      <c r="H437">
        <v>0.05</v>
      </c>
      <c r="I437" s="2" t="s">
        <v>21</v>
      </c>
      <c r="J437" s="2" t="s">
        <v>56</v>
      </c>
      <c r="K437">
        <v>0</v>
      </c>
      <c r="L437" s="2" t="s">
        <v>910</v>
      </c>
      <c r="M437" s="2" t="s">
        <v>911</v>
      </c>
      <c r="N437">
        <v>19.61</v>
      </c>
      <c r="O437" s="1">
        <v>45259</v>
      </c>
      <c r="P437" s="1">
        <v>45261</v>
      </c>
      <c r="Q437" s="2" t="s">
        <v>45</v>
      </c>
      <c r="R437" s="2">
        <v>8689</v>
      </c>
    </row>
    <row r="438" spans="1:18" x14ac:dyDescent="0.25">
      <c r="A438" s="1">
        <v>44981</v>
      </c>
      <c r="B438" s="2" t="s">
        <v>26</v>
      </c>
      <c r="C438" s="2" t="s">
        <v>41</v>
      </c>
      <c r="D438">
        <v>16</v>
      </c>
      <c r="E438">
        <v>188</v>
      </c>
      <c r="F438" s="2" t="s">
        <v>28</v>
      </c>
      <c r="G438" s="2" t="s">
        <v>29</v>
      </c>
      <c r="H438">
        <v>0</v>
      </c>
      <c r="I438" s="2" t="s">
        <v>30</v>
      </c>
      <c r="J438" s="2" t="s">
        <v>53</v>
      </c>
      <c r="K438">
        <v>0</v>
      </c>
      <c r="L438" s="2" t="s">
        <v>912</v>
      </c>
      <c r="M438" s="2" t="s">
        <v>913</v>
      </c>
      <c r="N438">
        <v>18.649999999999999</v>
      </c>
      <c r="O438" s="1">
        <v>44981</v>
      </c>
      <c r="P438" s="1">
        <v>44983</v>
      </c>
      <c r="Q438" s="2" t="s">
        <v>34</v>
      </c>
      <c r="R438" s="2">
        <v>3008</v>
      </c>
    </row>
    <row r="439" spans="1:18" x14ac:dyDescent="0.25">
      <c r="A439" s="1">
        <v>45234</v>
      </c>
      <c r="B439" s="2" t="s">
        <v>26</v>
      </c>
      <c r="C439" s="2" t="s">
        <v>18</v>
      </c>
      <c r="D439">
        <v>18</v>
      </c>
      <c r="E439">
        <v>426</v>
      </c>
      <c r="F439" s="2" t="s">
        <v>28</v>
      </c>
      <c r="G439" s="2" t="s">
        <v>20</v>
      </c>
      <c r="H439">
        <v>0.15</v>
      </c>
      <c r="I439" s="2" t="s">
        <v>47</v>
      </c>
      <c r="J439" s="2" t="s">
        <v>53</v>
      </c>
      <c r="K439">
        <v>1</v>
      </c>
      <c r="L439" s="2" t="s">
        <v>914</v>
      </c>
      <c r="M439" s="2" t="s">
        <v>915</v>
      </c>
      <c r="N439">
        <v>29.81</v>
      </c>
      <c r="O439" s="1">
        <v>45234</v>
      </c>
      <c r="P439" s="1">
        <v>45240</v>
      </c>
      <c r="Q439" s="2" t="s">
        <v>34</v>
      </c>
      <c r="R439" s="2">
        <v>6518</v>
      </c>
    </row>
    <row r="440" spans="1:18" x14ac:dyDescent="0.25">
      <c r="A440" s="1">
        <v>45458</v>
      </c>
      <c r="B440" s="2" t="s">
        <v>17</v>
      </c>
      <c r="C440" s="2" t="s">
        <v>36</v>
      </c>
      <c r="D440">
        <v>1</v>
      </c>
      <c r="E440">
        <v>498</v>
      </c>
      <c r="F440" s="2" t="s">
        <v>19</v>
      </c>
      <c r="G440" s="2" t="s">
        <v>29</v>
      </c>
      <c r="H440">
        <v>0.1</v>
      </c>
      <c r="I440" s="2" t="s">
        <v>30</v>
      </c>
      <c r="J440" s="2" t="s">
        <v>22</v>
      </c>
      <c r="K440">
        <v>0</v>
      </c>
      <c r="L440" s="2" t="s">
        <v>916</v>
      </c>
      <c r="M440" s="2" t="s">
        <v>917</v>
      </c>
      <c r="N440">
        <v>34.700000000000003</v>
      </c>
      <c r="O440" s="1">
        <v>45458</v>
      </c>
      <c r="P440" s="1">
        <v>45465</v>
      </c>
      <c r="Q440" s="2" t="s">
        <v>25</v>
      </c>
      <c r="R440" s="2">
        <v>448</v>
      </c>
    </row>
    <row r="441" spans="1:18" x14ac:dyDescent="0.25">
      <c r="A441" s="1">
        <v>45567</v>
      </c>
      <c r="B441" s="2" t="s">
        <v>35</v>
      </c>
      <c r="C441" s="2" t="s">
        <v>75</v>
      </c>
      <c r="D441">
        <v>19</v>
      </c>
      <c r="E441">
        <v>386</v>
      </c>
      <c r="F441" s="2" t="s">
        <v>28</v>
      </c>
      <c r="G441" s="2" t="s">
        <v>29</v>
      </c>
      <c r="H441">
        <v>0.05</v>
      </c>
      <c r="I441" s="2" t="s">
        <v>47</v>
      </c>
      <c r="J441" s="2" t="s">
        <v>59</v>
      </c>
      <c r="K441">
        <v>1</v>
      </c>
      <c r="L441" s="2" t="s">
        <v>918</v>
      </c>
      <c r="M441" s="2" t="s">
        <v>919</v>
      </c>
      <c r="N441">
        <v>12.46</v>
      </c>
      <c r="O441" s="1">
        <v>45567</v>
      </c>
      <c r="P441" s="1">
        <v>45571</v>
      </c>
      <c r="Q441" s="2" t="s">
        <v>39</v>
      </c>
      <c r="R441" s="2">
        <v>6967</v>
      </c>
    </row>
    <row r="442" spans="1:18" x14ac:dyDescent="0.25">
      <c r="A442" s="1">
        <v>45080</v>
      </c>
      <c r="B442" s="2" t="s">
        <v>65</v>
      </c>
      <c r="C442" s="2" t="s">
        <v>75</v>
      </c>
      <c r="D442">
        <v>3</v>
      </c>
      <c r="E442">
        <v>54</v>
      </c>
      <c r="F442" s="2" t="s">
        <v>19</v>
      </c>
      <c r="G442" s="2" t="s">
        <v>20</v>
      </c>
      <c r="H442">
        <v>0.1</v>
      </c>
      <c r="I442" s="2" t="s">
        <v>42</v>
      </c>
      <c r="J442" s="2" t="s">
        <v>53</v>
      </c>
      <c r="K442">
        <v>0</v>
      </c>
      <c r="L442" s="2" t="s">
        <v>920</v>
      </c>
      <c r="M442" s="2" t="s">
        <v>921</v>
      </c>
      <c r="N442">
        <v>48.71</v>
      </c>
      <c r="O442" s="1">
        <v>45080</v>
      </c>
      <c r="P442" s="1">
        <v>45090</v>
      </c>
      <c r="Q442" s="2" t="s">
        <v>68</v>
      </c>
      <c r="R442" s="2">
        <v>146</v>
      </c>
    </row>
    <row r="443" spans="1:18" x14ac:dyDescent="0.25">
      <c r="A443" s="1">
        <v>45179</v>
      </c>
      <c r="B443" s="2" t="s">
        <v>17</v>
      </c>
      <c r="C443" s="2" t="s">
        <v>27</v>
      </c>
      <c r="D443">
        <v>6</v>
      </c>
      <c r="E443">
        <v>472</v>
      </c>
      <c r="F443" s="2" t="s">
        <v>46</v>
      </c>
      <c r="G443" s="2" t="s">
        <v>29</v>
      </c>
      <c r="H443">
        <v>0.15</v>
      </c>
      <c r="I443" s="2" t="s">
        <v>47</v>
      </c>
      <c r="J443" s="2" t="s">
        <v>22</v>
      </c>
      <c r="K443">
        <v>0</v>
      </c>
      <c r="L443" s="2" t="s">
        <v>922</v>
      </c>
      <c r="M443" s="2" t="s">
        <v>923</v>
      </c>
      <c r="N443">
        <v>36.79</v>
      </c>
      <c r="O443" s="1">
        <v>45179</v>
      </c>
      <c r="P443" s="1">
        <v>45187</v>
      </c>
      <c r="Q443" s="2" t="s">
        <v>25</v>
      </c>
      <c r="R443" s="2">
        <v>2407</v>
      </c>
    </row>
    <row r="444" spans="1:18" x14ac:dyDescent="0.25">
      <c r="A444" s="1">
        <v>45797</v>
      </c>
      <c r="B444" s="2" t="s">
        <v>40</v>
      </c>
      <c r="C444" s="2" t="s">
        <v>126</v>
      </c>
      <c r="D444">
        <v>19</v>
      </c>
      <c r="E444">
        <v>322</v>
      </c>
      <c r="F444" s="2" t="s">
        <v>19</v>
      </c>
      <c r="G444" s="2" t="s">
        <v>29</v>
      </c>
      <c r="H444">
        <v>0.15</v>
      </c>
      <c r="I444" s="2" t="s">
        <v>62</v>
      </c>
      <c r="J444" s="2" t="s">
        <v>59</v>
      </c>
      <c r="K444">
        <v>0</v>
      </c>
      <c r="L444" s="2" t="s">
        <v>924</v>
      </c>
      <c r="M444" s="2" t="s">
        <v>925</v>
      </c>
      <c r="N444">
        <v>33.950000000000003</v>
      </c>
      <c r="O444" s="1">
        <v>45797</v>
      </c>
      <c r="P444" s="1">
        <v>45799</v>
      </c>
      <c r="Q444" s="2" t="s">
        <v>45</v>
      </c>
      <c r="R444" s="2">
        <v>5200</v>
      </c>
    </row>
    <row r="445" spans="1:18" x14ac:dyDescent="0.25">
      <c r="A445" s="1">
        <v>45193</v>
      </c>
      <c r="B445" s="2" t="s">
        <v>35</v>
      </c>
      <c r="C445" s="2" t="s">
        <v>75</v>
      </c>
      <c r="D445">
        <v>13</v>
      </c>
      <c r="E445">
        <v>116</v>
      </c>
      <c r="F445" s="2" t="s">
        <v>28</v>
      </c>
      <c r="G445" s="2" t="s">
        <v>20</v>
      </c>
      <c r="H445">
        <v>0.1</v>
      </c>
      <c r="I445" s="2" t="s">
        <v>52</v>
      </c>
      <c r="J445" s="2" t="s">
        <v>59</v>
      </c>
      <c r="K445">
        <v>1</v>
      </c>
      <c r="L445" s="2" t="s">
        <v>926</v>
      </c>
      <c r="M445" s="2" t="s">
        <v>927</v>
      </c>
      <c r="N445">
        <v>28.52</v>
      </c>
      <c r="O445" s="1">
        <v>45193</v>
      </c>
      <c r="P445" s="1">
        <v>45202</v>
      </c>
      <c r="Q445" s="2" t="s">
        <v>39</v>
      </c>
      <c r="R445" s="2">
        <v>1357</v>
      </c>
    </row>
    <row r="446" spans="1:18" x14ac:dyDescent="0.25">
      <c r="A446" s="1">
        <v>45745</v>
      </c>
      <c r="B446" s="2" t="s">
        <v>17</v>
      </c>
      <c r="C446" s="2" t="s">
        <v>75</v>
      </c>
      <c r="D446">
        <v>18</v>
      </c>
      <c r="E446">
        <v>398</v>
      </c>
      <c r="F446" s="2" t="s">
        <v>19</v>
      </c>
      <c r="G446" s="2" t="s">
        <v>29</v>
      </c>
      <c r="H446">
        <v>0.1</v>
      </c>
      <c r="I446" s="2" t="s">
        <v>62</v>
      </c>
      <c r="J446" s="2" t="s">
        <v>56</v>
      </c>
      <c r="K446">
        <v>0</v>
      </c>
      <c r="L446" s="2" t="s">
        <v>928</v>
      </c>
      <c r="M446" s="2" t="s">
        <v>929</v>
      </c>
      <c r="N446">
        <v>16.8</v>
      </c>
      <c r="O446" s="1">
        <v>45745</v>
      </c>
      <c r="P446" s="1">
        <v>45751</v>
      </c>
      <c r="Q446" s="2" t="s">
        <v>25</v>
      </c>
      <c r="R446" s="2">
        <v>6448</v>
      </c>
    </row>
    <row r="447" spans="1:18" x14ac:dyDescent="0.25">
      <c r="A447" s="1">
        <v>45094</v>
      </c>
      <c r="B447" s="2" t="s">
        <v>17</v>
      </c>
      <c r="C447" s="2" t="s">
        <v>41</v>
      </c>
      <c r="D447">
        <v>4</v>
      </c>
      <c r="E447">
        <v>585</v>
      </c>
      <c r="F447" s="2" t="s">
        <v>19</v>
      </c>
      <c r="G447" s="2" t="s">
        <v>29</v>
      </c>
      <c r="H447">
        <v>0.1</v>
      </c>
      <c r="I447" s="2" t="s">
        <v>21</v>
      </c>
      <c r="J447" s="2" t="s">
        <v>22</v>
      </c>
      <c r="K447">
        <v>0</v>
      </c>
      <c r="L447" s="2" t="s">
        <v>930</v>
      </c>
      <c r="M447" s="2" t="s">
        <v>931</v>
      </c>
      <c r="N447">
        <v>16.440000000000001</v>
      </c>
      <c r="O447" s="1">
        <v>45094</v>
      </c>
      <c r="P447" s="1">
        <v>45102</v>
      </c>
      <c r="Q447" s="2" t="s">
        <v>25</v>
      </c>
      <c r="R447" s="2">
        <v>2106</v>
      </c>
    </row>
    <row r="448" spans="1:18" x14ac:dyDescent="0.25">
      <c r="A448" s="1">
        <v>45319</v>
      </c>
      <c r="B448" s="2" t="s">
        <v>65</v>
      </c>
      <c r="C448" s="2" t="s">
        <v>126</v>
      </c>
      <c r="D448">
        <v>20</v>
      </c>
      <c r="E448">
        <v>425</v>
      </c>
      <c r="F448" s="2" t="s">
        <v>19</v>
      </c>
      <c r="G448" s="2" t="s">
        <v>20</v>
      </c>
      <c r="H448">
        <v>0.15</v>
      </c>
      <c r="I448" s="2" t="s">
        <v>62</v>
      </c>
      <c r="J448" s="2" t="s">
        <v>22</v>
      </c>
      <c r="K448">
        <v>0</v>
      </c>
      <c r="L448" s="2" t="s">
        <v>932</v>
      </c>
      <c r="M448" s="2" t="s">
        <v>933</v>
      </c>
      <c r="N448">
        <v>42.03</v>
      </c>
      <c r="O448" s="1">
        <v>45319</v>
      </c>
      <c r="P448" s="1">
        <v>45327</v>
      </c>
      <c r="Q448" s="2" t="s">
        <v>68</v>
      </c>
      <c r="R448" s="2">
        <v>7225</v>
      </c>
    </row>
    <row r="449" spans="1:18" x14ac:dyDescent="0.25">
      <c r="A449" s="1">
        <v>44999</v>
      </c>
      <c r="B449" s="2" t="s">
        <v>40</v>
      </c>
      <c r="C449" s="2" t="s">
        <v>41</v>
      </c>
      <c r="D449">
        <v>16</v>
      </c>
      <c r="E449">
        <v>179</v>
      </c>
      <c r="F449" s="2" t="s">
        <v>51</v>
      </c>
      <c r="G449" s="2" t="s">
        <v>29</v>
      </c>
      <c r="H449">
        <v>0.1</v>
      </c>
      <c r="I449" s="2" t="s">
        <v>30</v>
      </c>
      <c r="J449" s="2" t="s">
        <v>22</v>
      </c>
      <c r="K449">
        <v>0</v>
      </c>
      <c r="L449" s="2" t="s">
        <v>934</v>
      </c>
      <c r="M449" s="2" t="s">
        <v>935</v>
      </c>
      <c r="N449">
        <v>45.99</v>
      </c>
      <c r="O449" s="1">
        <v>44999</v>
      </c>
      <c r="P449" s="1">
        <v>45002</v>
      </c>
      <c r="Q449" s="2" t="s">
        <v>45</v>
      </c>
      <c r="R449" s="2">
        <v>2578</v>
      </c>
    </row>
    <row r="450" spans="1:18" x14ac:dyDescent="0.25">
      <c r="A450" s="1">
        <v>45666</v>
      </c>
      <c r="B450" s="2" t="s">
        <v>17</v>
      </c>
      <c r="C450" s="2" t="s">
        <v>18</v>
      </c>
      <c r="D450">
        <v>12</v>
      </c>
      <c r="E450">
        <v>149</v>
      </c>
      <c r="F450" s="2" t="s">
        <v>28</v>
      </c>
      <c r="G450" s="2" t="s">
        <v>20</v>
      </c>
      <c r="H450">
        <v>0</v>
      </c>
      <c r="I450" s="2" t="s">
        <v>52</v>
      </c>
      <c r="J450" s="2" t="s">
        <v>22</v>
      </c>
      <c r="K450">
        <v>1</v>
      </c>
      <c r="L450" s="2" t="s">
        <v>936</v>
      </c>
      <c r="M450" s="2" t="s">
        <v>937</v>
      </c>
      <c r="N450">
        <v>27.16</v>
      </c>
      <c r="O450" s="1">
        <v>45666</v>
      </c>
      <c r="P450" s="1">
        <v>45674</v>
      </c>
      <c r="Q450" s="2" t="s">
        <v>25</v>
      </c>
      <c r="R450" s="2">
        <v>1788</v>
      </c>
    </row>
    <row r="451" spans="1:18" x14ac:dyDescent="0.25">
      <c r="A451" s="1">
        <v>45746</v>
      </c>
      <c r="B451" s="2" t="s">
        <v>40</v>
      </c>
      <c r="C451" s="2" t="s">
        <v>27</v>
      </c>
      <c r="D451">
        <v>16</v>
      </c>
      <c r="E451">
        <v>460</v>
      </c>
      <c r="F451" s="2" t="s">
        <v>19</v>
      </c>
      <c r="G451" s="2" t="s">
        <v>20</v>
      </c>
      <c r="H451">
        <v>0.15</v>
      </c>
      <c r="I451" s="2" t="s">
        <v>62</v>
      </c>
      <c r="J451" s="2" t="s">
        <v>22</v>
      </c>
      <c r="K451">
        <v>0</v>
      </c>
      <c r="L451" s="2" t="s">
        <v>938</v>
      </c>
      <c r="M451" s="2" t="s">
        <v>939</v>
      </c>
      <c r="N451">
        <v>20.38</v>
      </c>
      <c r="O451" s="1">
        <v>45746</v>
      </c>
      <c r="P451" s="1">
        <v>45753</v>
      </c>
      <c r="Q451" s="2" t="s">
        <v>45</v>
      </c>
      <c r="R451" s="2">
        <v>6256</v>
      </c>
    </row>
    <row r="452" spans="1:18" x14ac:dyDescent="0.25">
      <c r="A452" s="1">
        <v>45222</v>
      </c>
      <c r="B452" s="2" t="s">
        <v>17</v>
      </c>
      <c r="C452" s="2" t="s">
        <v>75</v>
      </c>
      <c r="D452">
        <v>5</v>
      </c>
      <c r="E452">
        <v>334</v>
      </c>
      <c r="F452" s="2" t="s">
        <v>19</v>
      </c>
      <c r="G452" s="2" t="s">
        <v>29</v>
      </c>
      <c r="H452">
        <v>0.05</v>
      </c>
      <c r="I452" s="2" t="s">
        <v>47</v>
      </c>
      <c r="J452" s="2" t="s">
        <v>53</v>
      </c>
      <c r="K452">
        <v>0</v>
      </c>
      <c r="L452" s="2" t="s">
        <v>940</v>
      </c>
      <c r="M452" s="2" t="s">
        <v>504</v>
      </c>
      <c r="N452">
        <v>32.130000000000003</v>
      </c>
      <c r="O452" s="1">
        <v>45222</v>
      </c>
      <c r="P452" s="1">
        <v>45227</v>
      </c>
      <c r="Q452" s="2" t="s">
        <v>25</v>
      </c>
      <c r="R452" s="2">
        <v>1586</v>
      </c>
    </row>
    <row r="453" spans="1:18" x14ac:dyDescent="0.25">
      <c r="A453" s="1">
        <v>45816</v>
      </c>
      <c r="B453" s="2" t="s">
        <v>65</v>
      </c>
      <c r="C453" s="2" t="s">
        <v>50</v>
      </c>
      <c r="D453">
        <v>3</v>
      </c>
      <c r="E453">
        <v>600</v>
      </c>
      <c r="F453" s="2" t="s">
        <v>51</v>
      </c>
      <c r="G453" s="2" t="s">
        <v>29</v>
      </c>
      <c r="H453">
        <v>0.15</v>
      </c>
      <c r="I453" s="2" t="s">
        <v>30</v>
      </c>
      <c r="J453" s="2" t="s">
        <v>22</v>
      </c>
      <c r="K453">
        <v>1</v>
      </c>
      <c r="L453" s="2" t="s">
        <v>941</v>
      </c>
      <c r="M453" s="2" t="s">
        <v>942</v>
      </c>
      <c r="N453">
        <v>14.93</v>
      </c>
      <c r="O453" s="1">
        <v>45816</v>
      </c>
      <c r="P453" s="1">
        <v>45822</v>
      </c>
      <c r="Q453" s="2" t="s">
        <v>68</v>
      </c>
      <c r="R453" s="2">
        <v>1530</v>
      </c>
    </row>
    <row r="454" spans="1:18" x14ac:dyDescent="0.25">
      <c r="A454" s="1">
        <v>45348</v>
      </c>
      <c r="B454" s="2" t="s">
        <v>65</v>
      </c>
      <c r="C454" s="2" t="s">
        <v>50</v>
      </c>
      <c r="D454">
        <v>11</v>
      </c>
      <c r="E454">
        <v>390</v>
      </c>
      <c r="F454" s="2" t="s">
        <v>51</v>
      </c>
      <c r="G454" s="2" t="s">
        <v>20</v>
      </c>
      <c r="H454">
        <v>0</v>
      </c>
      <c r="I454" s="2" t="s">
        <v>30</v>
      </c>
      <c r="J454" s="2" t="s">
        <v>31</v>
      </c>
      <c r="K454">
        <v>1</v>
      </c>
      <c r="L454" s="2" t="s">
        <v>943</v>
      </c>
      <c r="M454" s="2" t="s">
        <v>944</v>
      </c>
      <c r="N454">
        <v>10.24</v>
      </c>
      <c r="O454" s="1">
        <v>45348</v>
      </c>
      <c r="P454" s="1">
        <v>45351</v>
      </c>
      <c r="Q454" s="2" t="s">
        <v>68</v>
      </c>
      <c r="R454" s="2">
        <v>4290</v>
      </c>
    </row>
    <row r="455" spans="1:18" x14ac:dyDescent="0.25">
      <c r="A455" s="1">
        <v>45595</v>
      </c>
      <c r="B455" s="2" t="s">
        <v>17</v>
      </c>
      <c r="C455" s="2" t="s">
        <v>41</v>
      </c>
      <c r="D455">
        <v>11</v>
      </c>
      <c r="E455">
        <v>446</v>
      </c>
      <c r="F455" s="2" t="s">
        <v>28</v>
      </c>
      <c r="G455" s="2" t="s">
        <v>20</v>
      </c>
      <c r="H455">
        <v>0.1</v>
      </c>
      <c r="I455" s="2" t="s">
        <v>42</v>
      </c>
      <c r="J455" s="2" t="s">
        <v>22</v>
      </c>
      <c r="K455">
        <v>0</v>
      </c>
      <c r="L455" s="2" t="s">
        <v>945</v>
      </c>
      <c r="M455" s="2" t="s">
        <v>946</v>
      </c>
      <c r="N455">
        <v>18.07</v>
      </c>
      <c r="O455" s="1">
        <v>45595</v>
      </c>
      <c r="P455" s="1">
        <v>45603</v>
      </c>
      <c r="Q455" s="2" t="s">
        <v>25</v>
      </c>
      <c r="R455" s="2">
        <v>4415</v>
      </c>
    </row>
    <row r="456" spans="1:18" x14ac:dyDescent="0.25">
      <c r="A456" s="1">
        <v>45523</v>
      </c>
      <c r="B456" s="2" t="s">
        <v>26</v>
      </c>
      <c r="C456" s="2" t="s">
        <v>18</v>
      </c>
      <c r="D456">
        <v>18</v>
      </c>
      <c r="E456">
        <v>97</v>
      </c>
      <c r="F456" s="2" t="s">
        <v>28</v>
      </c>
      <c r="G456" s="2" t="s">
        <v>20</v>
      </c>
      <c r="H456">
        <v>0.15</v>
      </c>
      <c r="I456" s="2" t="s">
        <v>42</v>
      </c>
      <c r="J456" s="2" t="s">
        <v>59</v>
      </c>
      <c r="K456">
        <v>1</v>
      </c>
      <c r="L456" s="2" t="s">
        <v>947</v>
      </c>
      <c r="M456" s="2" t="s">
        <v>948</v>
      </c>
      <c r="N456">
        <v>8.1</v>
      </c>
      <c r="O456" s="1">
        <v>45523</v>
      </c>
      <c r="P456" s="1">
        <v>45527</v>
      </c>
      <c r="Q456" s="2" t="s">
        <v>34</v>
      </c>
      <c r="R456" s="2">
        <v>1484</v>
      </c>
    </row>
    <row r="457" spans="1:18" x14ac:dyDescent="0.25">
      <c r="A457" s="1">
        <v>45137</v>
      </c>
      <c r="B457" s="2" t="s">
        <v>40</v>
      </c>
      <c r="C457" s="2" t="s">
        <v>41</v>
      </c>
      <c r="D457">
        <v>1</v>
      </c>
      <c r="E457">
        <v>528</v>
      </c>
      <c r="F457" s="2" t="s">
        <v>46</v>
      </c>
      <c r="G457" s="2" t="s">
        <v>20</v>
      </c>
      <c r="H457">
        <v>0.1</v>
      </c>
      <c r="I457" s="2" t="s">
        <v>30</v>
      </c>
      <c r="J457" s="2" t="s">
        <v>22</v>
      </c>
      <c r="K457">
        <v>0</v>
      </c>
      <c r="L457" s="2" t="s">
        <v>949</v>
      </c>
      <c r="M457" s="2" t="s">
        <v>93</v>
      </c>
      <c r="N457">
        <v>24.55</v>
      </c>
      <c r="O457" s="1">
        <v>45137</v>
      </c>
      <c r="P457" s="1">
        <v>45147</v>
      </c>
      <c r="Q457" s="2" t="s">
        <v>45</v>
      </c>
      <c r="R457" s="2">
        <v>475</v>
      </c>
    </row>
    <row r="458" spans="1:18" x14ac:dyDescent="0.25">
      <c r="A458" s="1">
        <v>45517</v>
      </c>
      <c r="B458" s="2" t="s">
        <v>35</v>
      </c>
      <c r="C458" s="2" t="s">
        <v>50</v>
      </c>
      <c r="D458">
        <v>16</v>
      </c>
      <c r="E458">
        <v>64</v>
      </c>
      <c r="F458" s="2" t="s">
        <v>28</v>
      </c>
      <c r="G458" s="2" t="s">
        <v>20</v>
      </c>
      <c r="H458">
        <v>0</v>
      </c>
      <c r="I458" s="2" t="s">
        <v>47</v>
      </c>
      <c r="J458" s="2" t="s">
        <v>31</v>
      </c>
      <c r="K458">
        <v>1</v>
      </c>
      <c r="L458" s="2" t="s">
        <v>950</v>
      </c>
      <c r="M458" s="2" t="s">
        <v>951</v>
      </c>
      <c r="N458">
        <v>16.71</v>
      </c>
      <c r="O458" s="1">
        <v>45517</v>
      </c>
      <c r="P458" s="1">
        <v>45527</v>
      </c>
      <c r="Q458" s="2" t="s">
        <v>39</v>
      </c>
      <c r="R458" s="2">
        <v>1024</v>
      </c>
    </row>
    <row r="459" spans="1:18" x14ac:dyDescent="0.25">
      <c r="A459" s="1">
        <v>45234</v>
      </c>
      <c r="B459" s="2" t="s">
        <v>35</v>
      </c>
      <c r="C459" s="2" t="s">
        <v>126</v>
      </c>
      <c r="D459">
        <v>13</v>
      </c>
      <c r="E459">
        <v>179</v>
      </c>
      <c r="F459" s="2" t="s">
        <v>28</v>
      </c>
      <c r="G459" s="2" t="s">
        <v>29</v>
      </c>
      <c r="H459">
        <v>0.05</v>
      </c>
      <c r="I459" s="2" t="s">
        <v>21</v>
      </c>
      <c r="J459" s="2" t="s">
        <v>22</v>
      </c>
      <c r="K459">
        <v>0</v>
      </c>
      <c r="L459" s="2" t="s">
        <v>952</v>
      </c>
      <c r="M459" s="2" t="s">
        <v>953</v>
      </c>
      <c r="N459">
        <v>35.28</v>
      </c>
      <c r="O459" s="1">
        <v>45234</v>
      </c>
      <c r="P459" s="1">
        <v>45242</v>
      </c>
      <c r="Q459" s="2" t="s">
        <v>39</v>
      </c>
      <c r="R459" s="2">
        <v>2211</v>
      </c>
    </row>
    <row r="460" spans="1:18" x14ac:dyDescent="0.25">
      <c r="A460" s="1">
        <v>45813</v>
      </c>
      <c r="B460" s="2" t="s">
        <v>17</v>
      </c>
      <c r="C460" s="2" t="s">
        <v>126</v>
      </c>
      <c r="D460">
        <v>19</v>
      </c>
      <c r="E460">
        <v>491</v>
      </c>
      <c r="F460" s="2" t="s">
        <v>46</v>
      </c>
      <c r="G460" s="2" t="s">
        <v>29</v>
      </c>
      <c r="H460">
        <v>0</v>
      </c>
      <c r="I460" s="2" t="s">
        <v>42</v>
      </c>
      <c r="J460" s="2" t="s">
        <v>22</v>
      </c>
      <c r="K460">
        <v>0</v>
      </c>
      <c r="L460" s="2" t="s">
        <v>954</v>
      </c>
      <c r="M460" s="2" t="s">
        <v>955</v>
      </c>
      <c r="N460">
        <v>48.68</v>
      </c>
      <c r="O460" s="1">
        <v>45813</v>
      </c>
      <c r="P460" s="1">
        <v>45823</v>
      </c>
      <c r="Q460" s="2" t="s">
        <v>25</v>
      </c>
      <c r="R460" s="2">
        <v>9329</v>
      </c>
    </row>
    <row r="461" spans="1:18" x14ac:dyDescent="0.25">
      <c r="A461" s="1">
        <v>45100</v>
      </c>
      <c r="B461" s="2" t="s">
        <v>35</v>
      </c>
      <c r="C461" s="2" t="s">
        <v>126</v>
      </c>
      <c r="D461">
        <v>5</v>
      </c>
      <c r="E461">
        <v>360</v>
      </c>
      <c r="F461" s="2" t="s">
        <v>46</v>
      </c>
      <c r="G461" s="2" t="s">
        <v>20</v>
      </c>
      <c r="H461">
        <v>0</v>
      </c>
      <c r="I461" s="2" t="s">
        <v>47</v>
      </c>
      <c r="J461" s="2" t="s">
        <v>31</v>
      </c>
      <c r="K461">
        <v>0</v>
      </c>
      <c r="L461" s="2" t="s">
        <v>956</v>
      </c>
      <c r="M461" s="2" t="s">
        <v>957</v>
      </c>
      <c r="N461">
        <v>33.76</v>
      </c>
      <c r="O461" s="1">
        <v>45100</v>
      </c>
      <c r="P461" s="1">
        <v>45105</v>
      </c>
      <c r="Q461" s="2" t="s">
        <v>39</v>
      </c>
      <c r="R461" s="2">
        <v>1800</v>
      </c>
    </row>
    <row r="462" spans="1:18" x14ac:dyDescent="0.25">
      <c r="A462" s="1">
        <v>45556</v>
      </c>
      <c r="B462" s="2" t="s">
        <v>26</v>
      </c>
      <c r="C462" s="2" t="s">
        <v>18</v>
      </c>
      <c r="D462">
        <v>20</v>
      </c>
      <c r="E462">
        <v>297</v>
      </c>
      <c r="F462" s="2" t="s">
        <v>28</v>
      </c>
      <c r="G462" s="2" t="s">
        <v>29</v>
      </c>
      <c r="H462">
        <v>0.1</v>
      </c>
      <c r="I462" s="2" t="s">
        <v>42</v>
      </c>
      <c r="J462" s="2" t="s">
        <v>31</v>
      </c>
      <c r="K462">
        <v>0</v>
      </c>
      <c r="L462" s="2" t="s">
        <v>958</v>
      </c>
      <c r="M462" s="2" t="s">
        <v>959</v>
      </c>
      <c r="N462">
        <v>19.57</v>
      </c>
      <c r="O462" s="1">
        <v>45556</v>
      </c>
      <c r="P462" s="1">
        <v>45563</v>
      </c>
      <c r="Q462" s="2" t="s">
        <v>34</v>
      </c>
      <c r="R462" s="2">
        <v>5346</v>
      </c>
    </row>
    <row r="463" spans="1:18" x14ac:dyDescent="0.25">
      <c r="A463" s="1">
        <v>45292</v>
      </c>
      <c r="B463" s="2" t="s">
        <v>26</v>
      </c>
      <c r="C463" s="2" t="s">
        <v>36</v>
      </c>
      <c r="D463">
        <v>3</v>
      </c>
      <c r="E463">
        <v>599</v>
      </c>
      <c r="F463" s="2" t="s">
        <v>28</v>
      </c>
      <c r="G463" s="2" t="s">
        <v>20</v>
      </c>
      <c r="H463">
        <v>0.1</v>
      </c>
      <c r="I463" s="2" t="s">
        <v>62</v>
      </c>
      <c r="J463" s="2" t="s">
        <v>22</v>
      </c>
      <c r="K463">
        <v>0</v>
      </c>
      <c r="L463" s="2" t="s">
        <v>960</v>
      </c>
      <c r="M463" s="2" t="s">
        <v>961</v>
      </c>
      <c r="N463">
        <v>48.02</v>
      </c>
      <c r="O463" s="1">
        <v>45292</v>
      </c>
      <c r="P463" s="1">
        <v>45294</v>
      </c>
      <c r="Q463" s="2" t="s">
        <v>34</v>
      </c>
      <c r="R463" s="2">
        <v>1617</v>
      </c>
    </row>
    <row r="464" spans="1:18" x14ac:dyDescent="0.25">
      <c r="A464" s="1">
        <v>45659</v>
      </c>
      <c r="B464" s="2" t="s">
        <v>65</v>
      </c>
      <c r="C464" s="2" t="s">
        <v>18</v>
      </c>
      <c r="D464">
        <v>1</v>
      </c>
      <c r="E464">
        <v>374</v>
      </c>
      <c r="F464" s="2" t="s">
        <v>19</v>
      </c>
      <c r="G464" s="2" t="s">
        <v>20</v>
      </c>
      <c r="H464">
        <v>0</v>
      </c>
      <c r="I464" s="2" t="s">
        <v>47</v>
      </c>
      <c r="J464" s="2" t="s">
        <v>53</v>
      </c>
      <c r="K464">
        <v>0</v>
      </c>
      <c r="L464" s="2" t="s">
        <v>962</v>
      </c>
      <c r="M464" s="2" t="s">
        <v>963</v>
      </c>
      <c r="N464">
        <v>33.31</v>
      </c>
      <c r="O464" s="1">
        <v>45659</v>
      </c>
      <c r="P464" s="1">
        <v>45669</v>
      </c>
      <c r="Q464" s="2" t="s">
        <v>68</v>
      </c>
      <c r="R464" s="2">
        <v>374</v>
      </c>
    </row>
    <row r="465" spans="1:18" x14ac:dyDescent="0.25">
      <c r="A465" s="1">
        <v>45365</v>
      </c>
      <c r="B465" s="2" t="s">
        <v>35</v>
      </c>
      <c r="C465" s="2" t="s">
        <v>36</v>
      </c>
      <c r="D465">
        <v>13</v>
      </c>
      <c r="E465">
        <v>589</v>
      </c>
      <c r="F465" s="2" t="s">
        <v>51</v>
      </c>
      <c r="G465" s="2" t="s">
        <v>20</v>
      </c>
      <c r="H465">
        <v>0.15</v>
      </c>
      <c r="I465" s="2" t="s">
        <v>42</v>
      </c>
      <c r="J465" s="2" t="s">
        <v>59</v>
      </c>
      <c r="K465">
        <v>0</v>
      </c>
      <c r="L465" s="2" t="s">
        <v>964</v>
      </c>
      <c r="M465" s="2" t="s">
        <v>965</v>
      </c>
      <c r="N465">
        <v>45.03</v>
      </c>
      <c r="O465" s="1">
        <v>45365</v>
      </c>
      <c r="P465" s="1">
        <v>45372</v>
      </c>
      <c r="Q465" s="2" t="s">
        <v>39</v>
      </c>
      <c r="R465" s="2">
        <v>6508</v>
      </c>
    </row>
    <row r="466" spans="1:18" x14ac:dyDescent="0.25">
      <c r="A466" s="1">
        <v>45416</v>
      </c>
      <c r="B466" s="2" t="s">
        <v>65</v>
      </c>
      <c r="C466" s="2" t="s">
        <v>50</v>
      </c>
      <c r="D466">
        <v>13</v>
      </c>
      <c r="E466">
        <v>198</v>
      </c>
      <c r="F466" s="2" t="s">
        <v>51</v>
      </c>
      <c r="G466" s="2" t="s">
        <v>20</v>
      </c>
      <c r="H466">
        <v>0</v>
      </c>
      <c r="I466" s="2" t="s">
        <v>47</v>
      </c>
      <c r="J466" s="2" t="s">
        <v>59</v>
      </c>
      <c r="K466">
        <v>1</v>
      </c>
      <c r="L466" s="2" t="s">
        <v>966</v>
      </c>
      <c r="M466" s="2" t="s">
        <v>967</v>
      </c>
      <c r="N466">
        <v>31.51</v>
      </c>
      <c r="O466" s="1">
        <v>45416</v>
      </c>
      <c r="P466" s="1">
        <v>45421</v>
      </c>
      <c r="Q466" s="2" t="s">
        <v>68</v>
      </c>
      <c r="R466" s="2">
        <v>2574</v>
      </c>
    </row>
    <row r="467" spans="1:18" x14ac:dyDescent="0.25">
      <c r="A467" s="1">
        <v>45715</v>
      </c>
      <c r="B467" s="2" t="s">
        <v>26</v>
      </c>
      <c r="C467" s="2" t="s">
        <v>126</v>
      </c>
      <c r="D467">
        <v>12</v>
      </c>
      <c r="E467">
        <v>384</v>
      </c>
      <c r="F467" s="2" t="s">
        <v>28</v>
      </c>
      <c r="G467" s="2" t="s">
        <v>29</v>
      </c>
      <c r="H467">
        <v>0</v>
      </c>
      <c r="I467" s="2" t="s">
        <v>21</v>
      </c>
      <c r="J467" s="2" t="s">
        <v>59</v>
      </c>
      <c r="K467">
        <v>0</v>
      </c>
      <c r="L467" s="2" t="s">
        <v>968</v>
      </c>
      <c r="M467" s="2" t="s">
        <v>662</v>
      </c>
      <c r="N467">
        <v>38.99</v>
      </c>
      <c r="O467" s="1">
        <v>45715</v>
      </c>
      <c r="P467" s="1">
        <v>45718</v>
      </c>
      <c r="Q467" s="2" t="s">
        <v>34</v>
      </c>
      <c r="R467" s="2">
        <v>4608</v>
      </c>
    </row>
    <row r="468" spans="1:18" x14ac:dyDescent="0.25">
      <c r="A468" s="1">
        <v>45609</v>
      </c>
      <c r="B468" s="2" t="s">
        <v>40</v>
      </c>
      <c r="C468" s="2" t="s">
        <v>27</v>
      </c>
      <c r="D468">
        <v>4</v>
      </c>
      <c r="E468">
        <v>475</v>
      </c>
      <c r="F468" s="2" t="s">
        <v>19</v>
      </c>
      <c r="G468" s="2" t="s">
        <v>20</v>
      </c>
      <c r="H468">
        <v>0.15</v>
      </c>
      <c r="I468" s="2" t="s">
        <v>42</v>
      </c>
      <c r="J468" s="2" t="s">
        <v>59</v>
      </c>
      <c r="K468">
        <v>0</v>
      </c>
      <c r="L468" s="2" t="s">
        <v>969</v>
      </c>
      <c r="M468" s="2" t="s">
        <v>970</v>
      </c>
      <c r="N468">
        <v>11.6</v>
      </c>
      <c r="O468" s="1">
        <v>45609</v>
      </c>
      <c r="P468" s="1">
        <v>45613</v>
      </c>
      <c r="Q468" s="2" t="s">
        <v>45</v>
      </c>
      <c r="R468" s="2">
        <v>1615</v>
      </c>
    </row>
    <row r="469" spans="1:18" x14ac:dyDescent="0.25">
      <c r="A469" s="1">
        <v>45230</v>
      </c>
      <c r="B469" s="2" t="s">
        <v>65</v>
      </c>
      <c r="C469" s="2" t="s">
        <v>126</v>
      </c>
      <c r="D469">
        <v>6</v>
      </c>
      <c r="E469">
        <v>203</v>
      </c>
      <c r="F469" s="2" t="s">
        <v>46</v>
      </c>
      <c r="G469" s="2" t="s">
        <v>29</v>
      </c>
      <c r="H469">
        <v>0.1</v>
      </c>
      <c r="I469" s="2" t="s">
        <v>21</v>
      </c>
      <c r="J469" s="2" t="s">
        <v>31</v>
      </c>
      <c r="K469">
        <v>0</v>
      </c>
      <c r="L469" s="2" t="s">
        <v>971</v>
      </c>
      <c r="M469" s="2" t="s">
        <v>972</v>
      </c>
      <c r="N469">
        <v>43.55</v>
      </c>
      <c r="O469" s="1">
        <v>45230</v>
      </c>
      <c r="P469" s="1">
        <v>45240</v>
      </c>
      <c r="Q469" s="2" t="s">
        <v>68</v>
      </c>
      <c r="R469" s="2">
        <v>1096</v>
      </c>
    </row>
    <row r="470" spans="1:18" x14ac:dyDescent="0.25">
      <c r="A470" s="1">
        <v>45279</v>
      </c>
      <c r="B470" s="2" t="s">
        <v>40</v>
      </c>
      <c r="C470" s="2" t="s">
        <v>75</v>
      </c>
      <c r="D470">
        <v>18</v>
      </c>
      <c r="E470">
        <v>135</v>
      </c>
      <c r="F470" s="2" t="s">
        <v>46</v>
      </c>
      <c r="G470" s="2" t="s">
        <v>20</v>
      </c>
      <c r="H470">
        <v>0</v>
      </c>
      <c r="I470" s="2" t="s">
        <v>52</v>
      </c>
      <c r="J470" s="2" t="s">
        <v>22</v>
      </c>
      <c r="K470">
        <v>1</v>
      </c>
      <c r="L470" s="2" t="s">
        <v>973</v>
      </c>
      <c r="M470" s="2" t="s">
        <v>974</v>
      </c>
      <c r="N470">
        <v>46.1</v>
      </c>
      <c r="O470" s="1">
        <v>45279</v>
      </c>
      <c r="P470" s="1">
        <v>45284</v>
      </c>
      <c r="Q470" s="2" t="s">
        <v>45</v>
      </c>
      <c r="R470" s="2">
        <v>2430</v>
      </c>
    </row>
    <row r="471" spans="1:18" x14ac:dyDescent="0.25">
      <c r="A471" s="1">
        <v>45257</v>
      </c>
      <c r="B471" s="2" t="s">
        <v>26</v>
      </c>
      <c r="C471" s="2" t="s">
        <v>75</v>
      </c>
      <c r="D471">
        <v>20</v>
      </c>
      <c r="E471">
        <v>356</v>
      </c>
      <c r="F471" s="2" t="s">
        <v>46</v>
      </c>
      <c r="G471" s="2" t="s">
        <v>20</v>
      </c>
      <c r="H471">
        <v>0.05</v>
      </c>
      <c r="I471" s="2" t="s">
        <v>52</v>
      </c>
      <c r="J471" s="2" t="s">
        <v>59</v>
      </c>
      <c r="K471">
        <v>1</v>
      </c>
      <c r="L471" s="2" t="s">
        <v>975</v>
      </c>
      <c r="M471" s="2" t="s">
        <v>976</v>
      </c>
      <c r="N471">
        <v>26.7</v>
      </c>
      <c r="O471" s="1">
        <v>45257</v>
      </c>
      <c r="P471" s="1">
        <v>45263</v>
      </c>
      <c r="Q471" s="2" t="s">
        <v>34</v>
      </c>
      <c r="R471" s="2">
        <v>6764</v>
      </c>
    </row>
    <row r="472" spans="1:18" x14ac:dyDescent="0.25">
      <c r="A472" s="1">
        <v>45153</v>
      </c>
      <c r="B472" s="2" t="s">
        <v>17</v>
      </c>
      <c r="C472" s="2" t="s">
        <v>18</v>
      </c>
      <c r="D472">
        <v>3</v>
      </c>
      <c r="E472">
        <v>295</v>
      </c>
      <c r="F472" s="2" t="s">
        <v>46</v>
      </c>
      <c r="G472" s="2" t="s">
        <v>20</v>
      </c>
      <c r="H472">
        <v>0.05</v>
      </c>
      <c r="I472" s="2" t="s">
        <v>30</v>
      </c>
      <c r="J472" s="2" t="s">
        <v>59</v>
      </c>
      <c r="K472">
        <v>0</v>
      </c>
      <c r="L472" s="2" t="s">
        <v>977</v>
      </c>
      <c r="M472" s="2" t="s">
        <v>978</v>
      </c>
      <c r="N472">
        <v>45.33</v>
      </c>
      <c r="O472" s="1">
        <v>45153</v>
      </c>
      <c r="P472" s="1">
        <v>45156</v>
      </c>
      <c r="Q472" s="2" t="s">
        <v>25</v>
      </c>
      <c r="R472" s="2">
        <v>841</v>
      </c>
    </row>
    <row r="473" spans="1:18" x14ac:dyDescent="0.25">
      <c r="A473" s="1">
        <v>44942</v>
      </c>
      <c r="B473" s="2" t="s">
        <v>65</v>
      </c>
      <c r="C473" s="2" t="s">
        <v>27</v>
      </c>
      <c r="D473">
        <v>20</v>
      </c>
      <c r="E473">
        <v>554</v>
      </c>
      <c r="F473" s="2" t="s">
        <v>28</v>
      </c>
      <c r="G473" s="2" t="s">
        <v>29</v>
      </c>
      <c r="H473">
        <v>0</v>
      </c>
      <c r="I473" s="2" t="s">
        <v>42</v>
      </c>
      <c r="J473" s="2" t="s">
        <v>59</v>
      </c>
      <c r="K473">
        <v>0</v>
      </c>
      <c r="L473" s="2" t="s">
        <v>979</v>
      </c>
      <c r="M473" s="2" t="s">
        <v>980</v>
      </c>
      <c r="N473">
        <v>33.21</v>
      </c>
      <c r="O473" s="1">
        <v>44942</v>
      </c>
      <c r="P473" s="1">
        <v>44950</v>
      </c>
      <c r="Q473" s="2" t="s">
        <v>68</v>
      </c>
      <c r="R473" s="2">
        <v>11080</v>
      </c>
    </row>
    <row r="474" spans="1:18" x14ac:dyDescent="0.25">
      <c r="A474" s="1">
        <v>45716</v>
      </c>
      <c r="B474" s="2" t="s">
        <v>40</v>
      </c>
      <c r="C474" s="2" t="s">
        <v>75</v>
      </c>
      <c r="D474">
        <v>13</v>
      </c>
      <c r="E474">
        <v>81</v>
      </c>
      <c r="F474" s="2" t="s">
        <v>51</v>
      </c>
      <c r="G474" s="2" t="s">
        <v>29</v>
      </c>
      <c r="H474">
        <v>0.1</v>
      </c>
      <c r="I474" s="2" t="s">
        <v>42</v>
      </c>
      <c r="J474" s="2" t="s">
        <v>59</v>
      </c>
      <c r="K474">
        <v>1</v>
      </c>
      <c r="L474" s="2" t="s">
        <v>981</v>
      </c>
      <c r="M474" s="2" t="s">
        <v>982</v>
      </c>
      <c r="N474">
        <v>48.21</v>
      </c>
      <c r="O474" s="1">
        <v>45716</v>
      </c>
      <c r="P474" s="1">
        <v>45724</v>
      </c>
      <c r="Q474" s="2" t="s">
        <v>45</v>
      </c>
      <c r="R474" s="2">
        <v>948</v>
      </c>
    </row>
    <row r="475" spans="1:18" x14ac:dyDescent="0.25">
      <c r="A475" s="1">
        <v>45258</v>
      </c>
      <c r="B475" s="2" t="s">
        <v>65</v>
      </c>
      <c r="C475" s="2" t="s">
        <v>27</v>
      </c>
      <c r="D475">
        <v>2</v>
      </c>
      <c r="E475">
        <v>533</v>
      </c>
      <c r="F475" s="2" t="s">
        <v>19</v>
      </c>
      <c r="G475" s="2" t="s">
        <v>20</v>
      </c>
      <c r="H475">
        <v>0</v>
      </c>
      <c r="I475" s="2" t="s">
        <v>47</v>
      </c>
      <c r="J475" s="2" t="s">
        <v>53</v>
      </c>
      <c r="K475">
        <v>1</v>
      </c>
      <c r="L475" s="2" t="s">
        <v>983</v>
      </c>
      <c r="M475" s="2" t="s">
        <v>984</v>
      </c>
      <c r="N475">
        <v>49.67</v>
      </c>
      <c r="O475" s="1">
        <v>45258</v>
      </c>
      <c r="P475" s="1">
        <v>45261</v>
      </c>
      <c r="Q475" s="2" t="s">
        <v>68</v>
      </c>
      <c r="R475" s="2">
        <v>1066</v>
      </c>
    </row>
    <row r="476" spans="1:18" x14ac:dyDescent="0.25">
      <c r="A476" s="1">
        <v>45264</v>
      </c>
      <c r="B476" s="2" t="s">
        <v>65</v>
      </c>
      <c r="C476" s="2" t="s">
        <v>126</v>
      </c>
      <c r="D476">
        <v>1</v>
      </c>
      <c r="E476">
        <v>268</v>
      </c>
      <c r="F476" s="2" t="s">
        <v>19</v>
      </c>
      <c r="G476" s="2" t="s">
        <v>20</v>
      </c>
      <c r="H476">
        <v>0.1</v>
      </c>
      <c r="I476" s="2" t="s">
        <v>47</v>
      </c>
      <c r="J476" s="2" t="s">
        <v>31</v>
      </c>
      <c r="K476">
        <v>0</v>
      </c>
      <c r="L476" s="2" t="s">
        <v>985</v>
      </c>
      <c r="M476" s="2" t="s">
        <v>986</v>
      </c>
      <c r="N476">
        <v>9.48</v>
      </c>
      <c r="O476" s="1">
        <v>45264</v>
      </c>
      <c r="P476" s="1">
        <v>45273</v>
      </c>
      <c r="Q476" s="2" t="s">
        <v>68</v>
      </c>
      <c r="R476" s="2">
        <v>241</v>
      </c>
    </row>
    <row r="477" spans="1:18" x14ac:dyDescent="0.25">
      <c r="A477" s="1">
        <v>45464</v>
      </c>
      <c r="B477" s="2" t="s">
        <v>26</v>
      </c>
      <c r="C477" s="2" t="s">
        <v>126</v>
      </c>
      <c r="D477">
        <v>17</v>
      </c>
      <c r="E477">
        <v>433</v>
      </c>
      <c r="F477" s="2" t="s">
        <v>28</v>
      </c>
      <c r="G477" s="2" t="s">
        <v>29</v>
      </c>
      <c r="H477">
        <v>0.15</v>
      </c>
      <c r="I477" s="2" t="s">
        <v>42</v>
      </c>
      <c r="J477" s="2" t="s">
        <v>59</v>
      </c>
      <c r="K477">
        <v>0</v>
      </c>
      <c r="L477" s="2" t="s">
        <v>987</v>
      </c>
      <c r="M477" s="2" t="s">
        <v>988</v>
      </c>
      <c r="N477">
        <v>18.850000000000001</v>
      </c>
      <c r="O477" s="1">
        <v>45464</v>
      </c>
      <c r="P477" s="1">
        <v>45472</v>
      </c>
      <c r="Q477" s="2" t="s">
        <v>34</v>
      </c>
      <c r="R477" s="2">
        <v>6257</v>
      </c>
    </row>
    <row r="478" spans="1:18" x14ac:dyDescent="0.25">
      <c r="A478" s="1">
        <v>45733</v>
      </c>
      <c r="B478" s="2" t="s">
        <v>17</v>
      </c>
      <c r="C478" s="2" t="s">
        <v>36</v>
      </c>
      <c r="D478">
        <v>14</v>
      </c>
      <c r="E478">
        <v>123</v>
      </c>
      <c r="F478" s="2" t="s">
        <v>28</v>
      </c>
      <c r="G478" s="2" t="s">
        <v>20</v>
      </c>
      <c r="H478">
        <v>0.1</v>
      </c>
      <c r="I478" s="2" t="s">
        <v>52</v>
      </c>
      <c r="J478" s="2" t="s">
        <v>59</v>
      </c>
      <c r="K478">
        <v>1</v>
      </c>
      <c r="L478" s="2" t="s">
        <v>989</v>
      </c>
      <c r="M478" s="2" t="s">
        <v>990</v>
      </c>
      <c r="N478">
        <v>43.28</v>
      </c>
      <c r="O478" s="1">
        <v>45733</v>
      </c>
      <c r="P478" s="1">
        <v>45742</v>
      </c>
      <c r="Q478" s="2" t="s">
        <v>25</v>
      </c>
      <c r="R478" s="2">
        <v>1550</v>
      </c>
    </row>
    <row r="479" spans="1:18" x14ac:dyDescent="0.25">
      <c r="A479" s="1">
        <v>45155</v>
      </c>
      <c r="B479" s="2" t="s">
        <v>40</v>
      </c>
      <c r="C479" s="2" t="s">
        <v>36</v>
      </c>
      <c r="D479">
        <v>16</v>
      </c>
      <c r="E479">
        <v>455</v>
      </c>
      <c r="F479" s="2" t="s">
        <v>19</v>
      </c>
      <c r="G479" s="2" t="s">
        <v>29</v>
      </c>
      <c r="H479">
        <v>0.1</v>
      </c>
      <c r="I479" s="2" t="s">
        <v>62</v>
      </c>
      <c r="J479" s="2" t="s">
        <v>22</v>
      </c>
      <c r="K479">
        <v>0</v>
      </c>
      <c r="L479" s="2" t="s">
        <v>991</v>
      </c>
      <c r="M479" s="2" t="s">
        <v>992</v>
      </c>
      <c r="N479">
        <v>20.55</v>
      </c>
      <c r="O479" s="1">
        <v>45155</v>
      </c>
      <c r="P479" s="1">
        <v>45157</v>
      </c>
      <c r="Q479" s="2" t="s">
        <v>45</v>
      </c>
      <c r="R479" s="2">
        <v>6552</v>
      </c>
    </row>
    <row r="480" spans="1:18" x14ac:dyDescent="0.25">
      <c r="A480" s="1">
        <v>45168</v>
      </c>
      <c r="B480" s="2" t="s">
        <v>40</v>
      </c>
      <c r="C480" s="2" t="s">
        <v>50</v>
      </c>
      <c r="D480">
        <v>11</v>
      </c>
      <c r="E480">
        <v>415</v>
      </c>
      <c r="F480" s="2" t="s">
        <v>51</v>
      </c>
      <c r="G480" s="2" t="s">
        <v>20</v>
      </c>
      <c r="H480">
        <v>0.05</v>
      </c>
      <c r="I480" s="2" t="s">
        <v>52</v>
      </c>
      <c r="J480" s="2" t="s">
        <v>59</v>
      </c>
      <c r="K480">
        <v>0</v>
      </c>
      <c r="L480" s="2" t="s">
        <v>993</v>
      </c>
      <c r="M480" s="2" t="s">
        <v>354</v>
      </c>
      <c r="N480">
        <v>25.33</v>
      </c>
      <c r="O480" s="1">
        <v>45168</v>
      </c>
      <c r="P480" s="1">
        <v>45174</v>
      </c>
      <c r="Q480" s="2" t="s">
        <v>45</v>
      </c>
      <c r="R480" s="2">
        <v>4337</v>
      </c>
    </row>
    <row r="481" spans="1:18" x14ac:dyDescent="0.25">
      <c r="A481" s="1">
        <v>45824</v>
      </c>
      <c r="B481" s="2" t="s">
        <v>17</v>
      </c>
      <c r="C481" s="2" t="s">
        <v>27</v>
      </c>
      <c r="D481">
        <v>9</v>
      </c>
      <c r="E481">
        <v>353</v>
      </c>
      <c r="F481" s="2" t="s">
        <v>19</v>
      </c>
      <c r="G481" s="2" t="s">
        <v>20</v>
      </c>
      <c r="H481">
        <v>0.1</v>
      </c>
      <c r="I481" s="2" t="s">
        <v>62</v>
      </c>
      <c r="J481" s="2" t="s">
        <v>59</v>
      </c>
      <c r="K481">
        <v>0</v>
      </c>
      <c r="L481" s="2" t="s">
        <v>994</v>
      </c>
      <c r="M481" s="2" t="s">
        <v>995</v>
      </c>
      <c r="N481">
        <v>30.57</v>
      </c>
      <c r="O481" s="1">
        <v>45824</v>
      </c>
      <c r="P481" s="1">
        <v>45826</v>
      </c>
      <c r="Q481" s="2" t="s">
        <v>25</v>
      </c>
      <c r="R481" s="2">
        <v>2859</v>
      </c>
    </row>
    <row r="482" spans="1:18" x14ac:dyDescent="0.25">
      <c r="A482" s="1">
        <v>45106</v>
      </c>
      <c r="B482" s="2" t="s">
        <v>35</v>
      </c>
      <c r="C482" s="2" t="s">
        <v>41</v>
      </c>
      <c r="D482">
        <v>10</v>
      </c>
      <c r="E482">
        <v>126</v>
      </c>
      <c r="F482" s="2" t="s">
        <v>28</v>
      </c>
      <c r="G482" s="2" t="s">
        <v>29</v>
      </c>
      <c r="H482">
        <v>0.1</v>
      </c>
      <c r="I482" s="2" t="s">
        <v>21</v>
      </c>
      <c r="J482" s="2" t="s">
        <v>22</v>
      </c>
      <c r="K482">
        <v>0</v>
      </c>
      <c r="L482" s="2" t="s">
        <v>996</v>
      </c>
      <c r="M482" s="2" t="s">
        <v>997</v>
      </c>
      <c r="N482">
        <v>26.96</v>
      </c>
      <c r="O482" s="1">
        <v>45106</v>
      </c>
      <c r="P482" s="1">
        <v>45116</v>
      </c>
      <c r="Q482" s="2" t="s">
        <v>39</v>
      </c>
      <c r="R482" s="2">
        <v>1134</v>
      </c>
    </row>
    <row r="483" spans="1:18" x14ac:dyDescent="0.25">
      <c r="A483" s="1">
        <v>45151</v>
      </c>
      <c r="B483" s="2" t="s">
        <v>35</v>
      </c>
      <c r="C483" s="2" t="s">
        <v>50</v>
      </c>
      <c r="D483">
        <v>7</v>
      </c>
      <c r="E483">
        <v>125</v>
      </c>
      <c r="F483" s="2" t="s">
        <v>51</v>
      </c>
      <c r="G483" s="2" t="s">
        <v>20</v>
      </c>
      <c r="H483">
        <v>0</v>
      </c>
      <c r="I483" s="2" t="s">
        <v>47</v>
      </c>
      <c r="J483" s="2" t="s">
        <v>53</v>
      </c>
      <c r="K483">
        <v>0</v>
      </c>
      <c r="L483" s="2" t="s">
        <v>998</v>
      </c>
      <c r="M483" s="2" t="s">
        <v>999</v>
      </c>
      <c r="N483">
        <v>12.45</v>
      </c>
      <c r="O483" s="1">
        <v>45151</v>
      </c>
      <c r="P483" s="1">
        <v>45158</v>
      </c>
      <c r="Q483" s="2" t="s">
        <v>39</v>
      </c>
      <c r="R483" s="2">
        <v>875</v>
      </c>
    </row>
    <row r="484" spans="1:18" x14ac:dyDescent="0.25">
      <c r="A484" s="1">
        <v>45411</v>
      </c>
      <c r="B484" s="2" t="s">
        <v>65</v>
      </c>
      <c r="C484" s="2" t="s">
        <v>75</v>
      </c>
      <c r="D484">
        <v>20</v>
      </c>
      <c r="E484">
        <v>367</v>
      </c>
      <c r="F484" s="2" t="s">
        <v>28</v>
      </c>
      <c r="G484" s="2" t="s">
        <v>20</v>
      </c>
      <c r="H484">
        <v>0.05</v>
      </c>
      <c r="I484" s="2" t="s">
        <v>47</v>
      </c>
      <c r="J484" s="2" t="s">
        <v>31</v>
      </c>
      <c r="K484">
        <v>0</v>
      </c>
      <c r="L484" s="2" t="s">
        <v>1000</v>
      </c>
      <c r="M484" s="2" t="s">
        <v>1001</v>
      </c>
      <c r="N484">
        <v>45.67</v>
      </c>
      <c r="O484" s="1">
        <v>45411</v>
      </c>
      <c r="P484" s="1">
        <v>45419</v>
      </c>
      <c r="Q484" s="2" t="s">
        <v>68</v>
      </c>
      <c r="R484" s="2">
        <v>6973</v>
      </c>
    </row>
    <row r="485" spans="1:18" x14ac:dyDescent="0.25">
      <c r="A485" s="1">
        <v>45122</v>
      </c>
      <c r="B485" s="2" t="s">
        <v>65</v>
      </c>
      <c r="C485" s="2" t="s">
        <v>50</v>
      </c>
      <c r="D485">
        <v>8</v>
      </c>
      <c r="E485">
        <v>432</v>
      </c>
      <c r="F485" s="2" t="s">
        <v>19</v>
      </c>
      <c r="G485" s="2" t="s">
        <v>29</v>
      </c>
      <c r="H485">
        <v>0</v>
      </c>
      <c r="I485" s="2" t="s">
        <v>52</v>
      </c>
      <c r="J485" s="2" t="s">
        <v>53</v>
      </c>
      <c r="K485">
        <v>0</v>
      </c>
      <c r="L485" s="2" t="s">
        <v>1002</v>
      </c>
      <c r="M485" s="2" t="s">
        <v>1003</v>
      </c>
      <c r="N485">
        <v>42.1</v>
      </c>
      <c r="O485" s="1">
        <v>45122</v>
      </c>
      <c r="P485" s="1">
        <v>45132</v>
      </c>
      <c r="Q485" s="2" t="s">
        <v>68</v>
      </c>
      <c r="R485" s="2">
        <v>3456</v>
      </c>
    </row>
    <row r="486" spans="1:18" x14ac:dyDescent="0.25">
      <c r="A486" s="1">
        <v>45674</v>
      </c>
      <c r="B486" s="2" t="s">
        <v>35</v>
      </c>
      <c r="C486" s="2" t="s">
        <v>75</v>
      </c>
      <c r="D486">
        <v>3</v>
      </c>
      <c r="E486">
        <v>13</v>
      </c>
      <c r="F486" s="2" t="s">
        <v>51</v>
      </c>
      <c r="G486" s="2" t="s">
        <v>29</v>
      </c>
      <c r="H486">
        <v>0.1</v>
      </c>
      <c r="I486" s="2" t="s">
        <v>21</v>
      </c>
      <c r="J486" s="2" t="s">
        <v>59</v>
      </c>
      <c r="K486">
        <v>0</v>
      </c>
      <c r="L486" s="2" t="s">
        <v>1004</v>
      </c>
      <c r="M486" s="2" t="s">
        <v>1005</v>
      </c>
      <c r="N486">
        <v>17.62</v>
      </c>
      <c r="O486" s="1">
        <v>45674</v>
      </c>
      <c r="P486" s="1">
        <v>45680</v>
      </c>
      <c r="Q486" s="2" t="s">
        <v>39</v>
      </c>
      <c r="R486" s="2">
        <v>35</v>
      </c>
    </row>
    <row r="487" spans="1:18" x14ac:dyDescent="0.25">
      <c r="A487" s="1">
        <v>45709</v>
      </c>
      <c r="B487" s="2" t="s">
        <v>17</v>
      </c>
      <c r="C487" s="2" t="s">
        <v>126</v>
      </c>
      <c r="D487">
        <v>13</v>
      </c>
      <c r="E487">
        <v>106</v>
      </c>
      <c r="F487" s="2" t="s">
        <v>46</v>
      </c>
      <c r="G487" s="2" t="s">
        <v>29</v>
      </c>
      <c r="H487">
        <v>0</v>
      </c>
      <c r="I487" s="2" t="s">
        <v>62</v>
      </c>
      <c r="J487" s="2" t="s">
        <v>56</v>
      </c>
      <c r="K487">
        <v>0</v>
      </c>
      <c r="L487" s="2" t="s">
        <v>1006</v>
      </c>
      <c r="M487" s="2" t="s">
        <v>1007</v>
      </c>
      <c r="N487">
        <v>38.96</v>
      </c>
      <c r="O487" s="1">
        <v>45709</v>
      </c>
      <c r="P487" s="1">
        <v>45719</v>
      </c>
      <c r="Q487" s="2" t="s">
        <v>25</v>
      </c>
      <c r="R487" s="2">
        <v>1378</v>
      </c>
    </row>
    <row r="488" spans="1:18" x14ac:dyDescent="0.25">
      <c r="A488" s="1">
        <v>45126</v>
      </c>
      <c r="B488" s="2" t="s">
        <v>65</v>
      </c>
      <c r="C488" s="2" t="s">
        <v>50</v>
      </c>
      <c r="D488">
        <v>20</v>
      </c>
      <c r="E488">
        <v>527</v>
      </c>
      <c r="F488" s="2" t="s">
        <v>28</v>
      </c>
      <c r="G488" s="2" t="s">
        <v>20</v>
      </c>
      <c r="H488">
        <v>0</v>
      </c>
      <c r="I488" s="2" t="s">
        <v>30</v>
      </c>
      <c r="J488" s="2" t="s">
        <v>56</v>
      </c>
      <c r="K488">
        <v>1</v>
      </c>
      <c r="L488" s="2" t="s">
        <v>1008</v>
      </c>
      <c r="M488" s="2" t="s">
        <v>1009</v>
      </c>
      <c r="N488">
        <v>25.64</v>
      </c>
      <c r="O488" s="1">
        <v>45126</v>
      </c>
      <c r="P488" s="1">
        <v>45133</v>
      </c>
      <c r="Q488" s="2" t="s">
        <v>68</v>
      </c>
      <c r="R488" s="2">
        <v>10540</v>
      </c>
    </row>
    <row r="489" spans="1:18" x14ac:dyDescent="0.25">
      <c r="A489" s="1">
        <v>45564</v>
      </c>
      <c r="B489" s="2" t="s">
        <v>65</v>
      </c>
      <c r="C489" s="2" t="s">
        <v>27</v>
      </c>
      <c r="D489">
        <v>11</v>
      </c>
      <c r="E489">
        <v>340</v>
      </c>
      <c r="F489" s="2" t="s">
        <v>28</v>
      </c>
      <c r="G489" s="2" t="s">
        <v>29</v>
      </c>
      <c r="H489">
        <v>0.05</v>
      </c>
      <c r="I489" s="2" t="s">
        <v>52</v>
      </c>
      <c r="J489" s="2" t="s">
        <v>56</v>
      </c>
      <c r="K489">
        <v>1</v>
      </c>
      <c r="L489" s="2" t="s">
        <v>1010</v>
      </c>
      <c r="M489" s="2" t="s">
        <v>1011</v>
      </c>
      <c r="N489">
        <v>11.56</v>
      </c>
      <c r="O489" s="1">
        <v>45564</v>
      </c>
      <c r="P489" s="1">
        <v>45571</v>
      </c>
      <c r="Q489" s="2" t="s">
        <v>68</v>
      </c>
      <c r="R489" s="2">
        <v>3553</v>
      </c>
    </row>
    <row r="490" spans="1:18" x14ac:dyDescent="0.25">
      <c r="A490" s="1">
        <v>45582</v>
      </c>
      <c r="B490" s="2" t="s">
        <v>17</v>
      </c>
      <c r="C490" s="2" t="s">
        <v>18</v>
      </c>
      <c r="D490">
        <v>10</v>
      </c>
      <c r="E490">
        <v>92</v>
      </c>
      <c r="F490" s="2" t="s">
        <v>51</v>
      </c>
      <c r="G490" s="2" t="s">
        <v>20</v>
      </c>
      <c r="H490">
        <v>0.15</v>
      </c>
      <c r="I490" s="2" t="s">
        <v>42</v>
      </c>
      <c r="J490" s="2" t="s">
        <v>59</v>
      </c>
      <c r="K490">
        <v>0</v>
      </c>
      <c r="L490" s="2" t="s">
        <v>1012</v>
      </c>
      <c r="M490" s="2" t="s">
        <v>1013</v>
      </c>
      <c r="N490">
        <v>37.270000000000003</v>
      </c>
      <c r="O490" s="1">
        <v>45582</v>
      </c>
      <c r="P490" s="1">
        <v>45586</v>
      </c>
      <c r="Q490" s="2" t="s">
        <v>25</v>
      </c>
      <c r="R490" s="2">
        <v>782</v>
      </c>
    </row>
    <row r="491" spans="1:18" x14ac:dyDescent="0.25">
      <c r="A491" s="1">
        <v>45819</v>
      </c>
      <c r="B491" s="2" t="s">
        <v>17</v>
      </c>
      <c r="C491" s="2" t="s">
        <v>27</v>
      </c>
      <c r="D491">
        <v>15</v>
      </c>
      <c r="E491">
        <v>14</v>
      </c>
      <c r="F491" s="2" t="s">
        <v>19</v>
      </c>
      <c r="G491" s="2" t="s">
        <v>29</v>
      </c>
      <c r="H491">
        <v>0.1</v>
      </c>
      <c r="I491" s="2" t="s">
        <v>30</v>
      </c>
      <c r="J491" s="2" t="s">
        <v>56</v>
      </c>
      <c r="K491">
        <v>0</v>
      </c>
      <c r="L491" s="2" t="s">
        <v>1014</v>
      </c>
      <c r="M491" s="2" t="s">
        <v>1015</v>
      </c>
      <c r="N491">
        <v>38.04</v>
      </c>
      <c r="O491" s="1">
        <v>45819</v>
      </c>
      <c r="P491" s="1">
        <v>45825</v>
      </c>
      <c r="Q491" s="2" t="s">
        <v>25</v>
      </c>
      <c r="R491" s="2">
        <v>189</v>
      </c>
    </row>
    <row r="492" spans="1:18" x14ac:dyDescent="0.25">
      <c r="A492" s="1">
        <v>45310</v>
      </c>
      <c r="B492" s="2" t="s">
        <v>65</v>
      </c>
      <c r="C492" s="2" t="s">
        <v>36</v>
      </c>
      <c r="D492">
        <v>6</v>
      </c>
      <c r="E492">
        <v>148</v>
      </c>
      <c r="F492" s="2" t="s">
        <v>19</v>
      </c>
      <c r="G492" s="2" t="s">
        <v>29</v>
      </c>
      <c r="H492">
        <v>0.1</v>
      </c>
      <c r="I492" s="2" t="s">
        <v>21</v>
      </c>
      <c r="J492" s="2" t="s">
        <v>53</v>
      </c>
      <c r="K492">
        <v>0</v>
      </c>
      <c r="L492" s="2" t="s">
        <v>1016</v>
      </c>
      <c r="M492" s="2" t="s">
        <v>1017</v>
      </c>
      <c r="N492">
        <v>19.579999999999998</v>
      </c>
      <c r="O492" s="1">
        <v>45310</v>
      </c>
      <c r="P492" s="1">
        <v>45320</v>
      </c>
      <c r="Q492" s="2" t="s">
        <v>68</v>
      </c>
      <c r="R492" s="2">
        <v>799</v>
      </c>
    </row>
    <row r="493" spans="1:18" x14ac:dyDescent="0.25">
      <c r="A493" s="1">
        <v>45263</v>
      </c>
      <c r="B493" s="2" t="s">
        <v>17</v>
      </c>
      <c r="C493" s="2" t="s">
        <v>41</v>
      </c>
      <c r="D493">
        <v>11</v>
      </c>
      <c r="E493">
        <v>495</v>
      </c>
      <c r="F493" s="2" t="s">
        <v>51</v>
      </c>
      <c r="G493" s="2" t="s">
        <v>20</v>
      </c>
      <c r="H493">
        <v>0.15</v>
      </c>
      <c r="I493" s="2" t="s">
        <v>42</v>
      </c>
      <c r="J493" s="2" t="s">
        <v>59</v>
      </c>
      <c r="K493">
        <v>0</v>
      </c>
      <c r="L493" s="2" t="s">
        <v>1018</v>
      </c>
      <c r="M493" s="2" t="s">
        <v>1019</v>
      </c>
      <c r="N493">
        <v>27.37</v>
      </c>
      <c r="O493" s="1">
        <v>45263</v>
      </c>
      <c r="P493" s="1">
        <v>45265</v>
      </c>
      <c r="Q493" s="2" t="s">
        <v>25</v>
      </c>
      <c r="R493" s="2">
        <v>4628</v>
      </c>
    </row>
    <row r="494" spans="1:18" x14ac:dyDescent="0.25">
      <c r="A494" s="1">
        <v>45462</v>
      </c>
      <c r="B494" s="2" t="s">
        <v>40</v>
      </c>
      <c r="C494" s="2" t="s">
        <v>41</v>
      </c>
      <c r="D494">
        <v>6</v>
      </c>
      <c r="E494">
        <v>247</v>
      </c>
      <c r="F494" s="2" t="s">
        <v>28</v>
      </c>
      <c r="G494" s="2" t="s">
        <v>20</v>
      </c>
      <c r="H494">
        <v>0.05</v>
      </c>
      <c r="I494" s="2" t="s">
        <v>52</v>
      </c>
      <c r="J494" s="2" t="s">
        <v>53</v>
      </c>
      <c r="K494">
        <v>0</v>
      </c>
      <c r="L494" s="2" t="s">
        <v>1020</v>
      </c>
      <c r="M494" s="2" t="s">
        <v>957</v>
      </c>
      <c r="N494">
        <v>18.75</v>
      </c>
      <c r="O494" s="1">
        <v>45462</v>
      </c>
      <c r="P494" s="1">
        <v>45470</v>
      </c>
      <c r="Q494" s="2" t="s">
        <v>45</v>
      </c>
      <c r="R494" s="2">
        <v>1408</v>
      </c>
    </row>
    <row r="495" spans="1:18" x14ac:dyDescent="0.25">
      <c r="A495" s="1">
        <v>45581</v>
      </c>
      <c r="B495" s="2" t="s">
        <v>65</v>
      </c>
      <c r="C495" s="2" t="s">
        <v>75</v>
      </c>
      <c r="D495">
        <v>19</v>
      </c>
      <c r="E495">
        <v>207</v>
      </c>
      <c r="F495" s="2" t="s">
        <v>46</v>
      </c>
      <c r="G495" s="2" t="s">
        <v>29</v>
      </c>
      <c r="H495">
        <v>0.05</v>
      </c>
      <c r="I495" s="2" t="s">
        <v>62</v>
      </c>
      <c r="J495" s="2" t="s">
        <v>56</v>
      </c>
      <c r="K495">
        <v>0</v>
      </c>
      <c r="L495" s="2" t="s">
        <v>1021</v>
      </c>
      <c r="M495" s="2" t="s">
        <v>1022</v>
      </c>
      <c r="N495">
        <v>11.5</v>
      </c>
      <c r="O495" s="1">
        <v>45581</v>
      </c>
      <c r="P495" s="1">
        <v>45586</v>
      </c>
      <c r="Q495" s="2" t="s">
        <v>68</v>
      </c>
      <c r="R495" s="2">
        <v>3736</v>
      </c>
    </row>
    <row r="496" spans="1:18" x14ac:dyDescent="0.25">
      <c r="A496" s="1">
        <v>45680</v>
      </c>
      <c r="B496" s="2" t="s">
        <v>17</v>
      </c>
      <c r="C496" s="2" t="s">
        <v>18</v>
      </c>
      <c r="D496">
        <v>2</v>
      </c>
      <c r="E496">
        <v>371</v>
      </c>
      <c r="F496" s="2" t="s">
        <v>51</v>
      </c>
      <c r="G496" s="2" t="s">
        <v>20</v>
      </c>
      <c r="H496">
        <v>0.15</v>
      </c>
      <c r="I496" s="2" t="s">
        <v>52</v>
      </c>
      <c r="J496" s="2" t="s">
        <v>22</v>
      </c>
      <c r="K496">
        <v>0</v>
      </c>
      <c r="L496" s="2" t="s">
        <v>1023</v>
      </c>
      <c r="M496" s="2" t="s">
        <v>1024</v>
      </c>
      <c r="N496">
        <v>20.45</v>
      </c>
      <c r="O496" s="1">
        <v>45680</v>
      </c>
      <c r="P496" s="1">
        <v>45684</v>
      </c>
      <c r="Q496" s="2" t="s">
        <v>25</v>
      </c>
      <c r="R496" s="2">
        <v>631</v>
      </c>
    </row>
    <row r="497" spans="1:18" x14ac:dyDescent="0.25">
      <c r="A497" s="1">
        <v>45201</v>
      </c>
      <c r="B497" s="2" t="s">
        <v>40</v>
      </c>
      <c r="C497" s="2" t="s">
        <v>18</v>
      </c>
      <c r="D497">
        <v>9</v>
      </c>
      <c r="E497">
        <v>147</v>
      </c>
      <c r="F497" s="2" t="s">
        <v>28</v>
      </c>
      <c r="G497" s="2" t="s">
        <v>20</v>
      </c>
      <c r="H497">
        <v>0.1</v>
      </c>
      <c r="I497" s="2" t="s">
        <v>52</v>
      </c>
      <c r="J497" s="2" t="s">
        <v>53</v>
      </c>
      <c r="K497">
        <v>0</v>
      </c>
      <c r="L497" s="2" t="s">
        <v>1025</v>
      </c>
      <c r="M497" s="2" t="s">
        <v>1026</v>
      </c>
      <c r="N497">
        <v>10.45</v>
      </c>
      <c r="O497" s="1">
        <v>45201</v>
      </c>
      <c r="P497" s="1">
        <v>45209</v>
      </c>
      <c r="Q497" s="2" t="s">
        <v>45</v>
      </c>
      <c r="R497" s="2">
        <v>1191</v>
      </c>
    </row>
    <row r="498" spans="1:18" x14ac:dyDescent="0.25">
      <c r="A498" s="1">
        <v>45235</v>
      </c>
      <c r="B498" s="2" t="s">
        <v>17</v>
      </c>
      <c r="C498" s="2" t="s">
        <v>36</v>
      </c>
      <c r="D498">
        <v>12</v>
      </c>
      <c r="E498">
        <v>160</v>
      </c>
      <c r="F498" s="2" t="s">
        <v>51</v>
      </c>
      <c r="G498" s="2" t="s">
        <v>29</v>
      </c>
      <c r="H498">
        <v>0.1</v>
      </c>
      <c r="I498" s="2" t="s">
        <v>30</v>
      </c>
      <c r="J498" s="2" t="s">
        <v>59</v>
      </c>
      <c r="K498">
        <v>0</v>
      </c>
      <c r="L498" s="2" t="s">
        <v>1027</v>
      </c>
      <c r="M498" s="2" t="s">
        <v>1028</v>
      </c>
      <c r="N498">
        <v>32.61</v>
      </c>
      <c r="O498" s="1">
        <v>45235</v>
      </c>
      <c r="P498" s="1">
        <v>45237</v>
      </c>
      <c r="Q498" s="2" t="s">
        <v>25</v>
      </c>
      <c r="R498" s="2">
        <v>1728</v>
      </c>
    </row>
    <row r="499" spans="1:18" x14ac:dyDescent="0.25">
      <c r="A499" s="1">
        <v>45095</v>
      </c>
      <c r="B499" s="2" t="s">
        <v>26</v>
      </c>
      <c r="C499" s="2" t="s">
        <v>126</v>
      </c>
      <c r="D499">
        <v>13</v>
      </c>
      <c r="E499">
        <v>182</v>
      </c>
      <c r="F499" s="2" t="s">
        <v>46</v>
      </c>
      <c r="G499" s="2" t="s">
        <v>20</v>
      </c>
      <c r="H499">
        <v>0.05</v>
      </c>
      <c r="I499" s="2" t="s">
        <v>52</v>
      </c>
      <c r="J499" s="2" t="s">
        <v>31</v>
      </c>
      <c r="K499">
        <v>0</v>
      </c>
      <c r="L499" s="2" t="s">
        <v>1029</v>
      </c>
      <c r="M499" s="2" t="s">
        <v>1030</v>
      </c>
      <c r="N499">
        <v>14.69</v>
      </c>
      <c r="O499" s="1">
        <v>45095</v>
      </c>
      <c r="P499" s="1">
        <v>45100</v>
      </c>
      <c r="Q499" s="2" t="s">
        <v>34</v>
      </c>
      <c r="R499" s="2">
        <v>2248</v>
      </c>
    </row>
    <row r="500" spans="1:18" x14ac:dyDescent="0.25">
      <c r="A500" s="1">
        <v>45488</v>
      </c>
      <c r="B500" s="2" t="s">
        <v>40</v>
      </c>
      <c r="C500" s="2" t="s">
        <v>27</v>
      </c>
      <c r="D500">
        <v>16</v>
      </c>
      <c r="E500">
        <v>34</v>
      </c>
      <c r="F500" s="2" t="s">
        <v>28</v>
      </c>
      <c r="G500" s="2" t="s">
        <v>29</v>
      </c>
      <c r="H500">
        <v>0.15</v>
      </c>
      <c r="I500" s="2" t="s">
        <v>62</v>
      </c>
      <c r="J500" s="2" t="s">
        <v>59</v>
      </c>
      <c r="K500">
        <v>0</v>
      </c>
      <c r="L500" s="2" t="s">
        <v>1031</v>
      </c>
      <c r="M500" s="2" t="s">
        <v>1032</v>
      </c>
      <c r="N500">
        <v>36.33</v>
      </c>
      <c r="O500" s="1">
        <v>45488</v>
      </c>
      <c r="P500" s="1">
        <v>45494</v>
      </c>
      <c r="Q500" s="2" t="s">
        <v>45</v>
      </c>
      <c r="R500" s="2">
        <v>462</v>
      </c>
    </row>
    <row r="501" spans="1:18" x14ac:dyDescent="0.25">
      <c r="A501" s="1">
        <v>45457</v>
      </c>
      <c r="B501" s="2" t="s">
        <v>40</v>
      </c>
      <c r="C501" s="2" t="s">
        <v>18</v>
      </c>
      <c r="D501">
        <v>2</v>
      </c>
      <c r="E501">
        <v>287</v>
      </c>
      <c r="F501" s="2" t="s">
        <v>46</v>
      </c>
      <c r="G501" s="2" t="s">
        <v>20</v>
      </c>
      <c r="H501">
        <v>0.1</v>
      </c>
      <c r="I501" s="2" t="s">
        <v>52</v>
      </c>
      <c r="J501" s="2" t="s">
        <v>59</v>
      </c>
      <c r="K501">
        <v>0</v>
      </c>
      <c r="L501" s="2" t="s">
        <v>1033</v>
      </c>
      <c r="M501" s="2" t="s">
        <v>500</v>
      </c>
      <c r="N501">
        <v>25.34</v>
      </c>
      <c r="O501" s="1">
        <v>45457</v>
      </c>
      <c r="P501" s="1">
        <v>45466</v>
      </c>
      <c r="Q501" s="2" t="s">
        <v>45</v>
      </c>
      <c r="R501" s="2">
        <v>517</v>
      </c>
    </row>
    <row r="502" spans="1:18" x14ac:dyDescent="0.25">
      <c r="A502" s="1">
        <v>45387</v>
      </c>
      <c r="B502" s="2" t="s">
        <v>17</v>
      </c>
      <c r="C502" s="2" t="s">
        <v>50</v>
      </c>
      <c r="D502">
        <v>15</v>
      </c>
      <c r="E502">
        <v>406</v>
      </c>
      <c r="F502" s="2" t="s">
        <v>51</v>
      </c>
      <c r="G502" s="2" t="s">
        <v>20</v>
      </c>
      <c r="H502">
        <v>0.15</v>
      </c>
      <c r="I502" s="2" t="s">
        <v>21</v>
      </c>
      <c r="J502" s="2" t="s">
        <v>31</v>
      </c>
      <c r="K502">
        <v>0</v>
      </c>
      <c r="L502" s="2" t="s">
        <v>1034</v>
      </c>
      <c r="M502" s="2" t="s">
        <v>1035</v>
      </c>
      <c r="N502">
        <v>32.04</v>
      </c>
      <c r="O502" s="1">
        <v>45387</v>
      </c>
      <c r="P502" s="1">
        <v>45392</v>
      </c>
      <c r="Q502" s="2" t="s">
        <v>25</v>
      </c>
      <c r="R502" s="2">
        <v>5176</v>
      </c>
    </row>
    <row r="503" spans="1:18" x14ac:dyDescent="0.25">
      <c r="A503" s="1">
        <v>44984</v>
      </c>
      <c r="B503" s="2" t="s">
        <v>35</v>
      </c>
      <c r="C503" s="2" t="s">
        <v>18</v>
      </c>
      <c r="D503">
        <v>1</v>
      </c>
      <c r="E503">
        <v>431</v>
      </c>
      <c r="F503" s="2" t="s">
        <v>19</v>
      </c>
      <c r="G503" s="2" t="s">
        <v>29</v>
      </c>
      <c r="H503">
        <v>0</v>
      </c>
      <c r="I503" s="2" t="s">
        <v>30</v>
      </c>
      <c r="J503" s="2" t="s">
        <v>31</v>
      </c>
      <c r="K503">
        <v>0</v>
      </c>
      <c r="L503" s="2" t="s">
        <v>1036</v>
      </c>
      <c r="M503" s="2" t="s">
        <v>1037</v>
      </c>
      <c r="N503">
        <v>14.53</v>
      </c>
      <c r="O503" s="1">
        <v>44984</v>
      </c>
      <c r="P503" s="1">
        <v>44992</v>
      </c>
      <c r="Q503" s="2" t="s">
        <v>39</v>
      </c>
      <c r="R503" s="2">
        <v>431</v>
      </c>
    </row>
    <row r="504" spans="1:18" x14ac:dyDescent="0.25">
      <c r="A504" s="1">
        <v>45138</v>
      </c>
      <c r="B504" s="2" t="s">
        <v>65</v>
      </c>
      <c r="C504" s="2" t="s">
        <v>18</v>
      </c>
      <c r="D504">
        <v>5</v>
      </c>
      <c r="E504">
        <v>508</v>
      </c>
      <c r="F504" s="2" t="s">
        <v>51</v>
      </c>
      <c r="G504" s="2" t="s">
        <v>29</v>
      </c>
      <c r="H504">
        <v>0</v>
      </c>
      <c r="I504" s="2" t="s">
        <v>42</v>
      </c>
      <c r="J504" s="2" t="s">
        <v>53</v>
      </c>
      <c r="K504">
        <v>1</v>
      </c>
      <c r="L504" s="2" t="s">
        <v>1038</v>
      </c>
      <c r="M504" s="2" t="s">
        <v>1039</v>
      </c>
      <c r="N504">
        <v>35.630000000000003</v>
      </c>
      <c r="O504" s="1">
        <v>45138</v>
      </c>
      <c r="P504" s="1">
        <v>45147</v>
      </c>
      <c r="Q504" s="2" t="s">
        <v>68</v>
      </c>
      <c r="R504" s="2">
        <v>2540</v>
      </c>
    </row>
    <row r="505" spans="1:18" x14ac:dyDescent="0.25">
      <c r="A505" s="1">
        <v>44988</v>
      </c>
      <c r="B505" s="2" t="s">
        <v>65</v>
      </c>
      <c r="C505" s="2" t="s">
        <v>18</v>
      </c>
      <c r="D505">
        <v>13</v>
      </c>
      <c r="E505">
        <v>523</v>
      </c>
      <c r="F505" s="2" t="s">
        <v>46</v>
      </c>
      <c r="G505" s="2" t="s">
        <v>29</v>
      </c>
      <c r="H505">
        <v>0.15</v>
      </c>
      <c r="I505" s="2" t="s">
        <v>47</v>
      </c>
      <c r="J505" s="2" t="s">
        <v>56</v>
      </c>
      <c r="K505">
        <v>0</v>
      </c>
      <c r="L505" s="2" t="s">
        <v>1040</v>
      </c>
      <c r="M505" s="2" t="s">
        <v>1041</v>
      </c>
      <c r="N505">
        <v>33.9</v>
      </c>
      <c r="O505" s="1">
        <v>44988</v>
      </c>
      <c r="P505" s="1">
        <v>44995</v>
      </c>
      <c r="Q505" s="2" t="s">
        <v>68</v>
      </c>
      <c r="R505" s="2">
        <v>5779</v>
      </c>
    </row>
    <row r="506" spans="1:18" x14ac:dyDescent="0.25">
      <c r="A506" s="1">
        <v>45042</v>
      </c>
      <c r="B506" s="2" t="s">
        <v>26</v>
      </c>
      <c r="C506" s="2" t="s">
        <v>18</v>
      </c>
      <c r="D506">
        <v>17</v>
      </c>
      <c r="E506">
        <v>260</v>
      </c>
      <c r="F506" s="2" t="s">
        <v>51</v>
      </c>
      <c r="G506" s="2" t="s">
        <v>20</v>
      </c>
      <c r="H506">
        <v>0.1</v>
      </c>
      <c r="I506" s="2" t="s">
        <v>42</v>
      </c>
      <c r="J506" s="2" t="s">
        <v>53</v>
      </c>
      <c r="K506">
        <v>0</v>
      </c>
      <c r="L506" s="2" t="s">
        <v>1042</v>
      </c>
      <c r="M506" s="2" t="s">
        <v>1043</v>
      </c>
      <c r="N506">
        <v>23.26</v>
      </c>
      <c r="O506" s="1">
        <v>45042</v>
      </c>
      <c r="P506" s="1">
        <v>45044</v>
      </c>
      <c r="Q506" s="2" t="s">
        <v>34</v>
      </c>
      <c r="R506" s="2">
        <v>3978</v>
      </c>
    </row>
    <row r="507" spans="1:18" x14ac:dyDescent="0.25">
      <c r="A507" s="1">
        <v>45584</v>
      </c>
      <c r="B507" s="2" t="s">
        <v>17</v>
      </c>
      <c r="C507" s="2" t="s">
        <v>27</v>
      </c>
      <c r="D507">
        <v>6</v>
      </c>
      <c r="E507">
        <v>549</v>
      </c>
      <c r="F507" s="2" t="s">
        <v>19</v>
      </c>
      <c r="G507" s="2" t="s">
        <v>29</v>
      </c>
      <c r="H507">
        <v>0.1</v>
      </c>
      <c r="I507" s="2" t="s">
        <v>21</v>
      </c>
      <c r="J507" s="2" t="s">
        <v>53</v>
      </c>
      <c r="K507">
        <v>1</v>
      </c>
      <c r="L507" s="2" t="s">
        <v>1044</v>
      </c>
      <c r="M507" s="2" t="s">
        <v>1045</v>
      </c>
      <c r="N507">
        <v>12.29</v>
      </c>
      <c r="O507" s="1">
        <v>45584</v>
      </c>
      <c r="P507" s="1">
        <v>45592</v>
      </c>
      <c r="Q507" s="2" t="s">
        <v>25</v>
      </c>
      <c r="R507" s="2">
        <v>2965</v>
      </c>
    </row>
    <row r="508" spans="1:18" x14ac:dyDescent="0.25">
      <c r="A508" s="1">
        <v>45473</v>
      </c>
      <c r="B508" s="2" t="s">
        <v>40</v>
      </c>
      <c r="C508" s="2" t="s">
        <v>126</v>
      </c>
      <c r="D508">
        <v>17</v>
      </c>
      <c r="E508">
        <v>472</v>
      </c>
      <c r="F508" s="2" t="s">
        <v>46</v>
      </c>
      <c r="G508" s="2" t="s">
        <v>29</v>
      </c>
      <c r="H508">
        <v>0.15</v>
      </c>
      <c r="I508" s="2" t="s">
        <v>47</v>
      </c>
      <c r="J508" s="2" t="s">
        <v>56</v>
      </c>
      <c r="K508">
        <v>0</v>
      </c>
      <c r="L508" s="2" t="s">
        <v>1046</v>
      </c>
      <c r="M508" s="2" t="s">
        <v>1047</v>
      </c>
      <c r="N508">
        <v>22.63</v>
      </c>
      <c r="O508" s="1">
        <v>45473</v>
      </c>
      <c r="P508" s="1">
        <v>45477</v>
      </c>
      <c r="Q508" s="2" t="s">
        <v>45</v>
      </c>
      <c r="R508" s="2">
        <v>6820</v>
      </c>
    </row>
    <row r="509" spans="1:18" x14ac:dyDescent="0.25">
      <c r="A509" s="1">
        <v>45576</v>
      </c>
      <c r="B509" s="2" t="s">
        <v>65</v>
      </c>
      <c r="C509" s="2" t="s">
        <v>18</v>
      </c>
      <c r="D509">
        <v>9</v>
      </c>
      <c r="E509">
        <v>597</v>
      </c>
      <c r="F509" s="2" t="s">
        <v>28</v>
      </c>
      <c r="G509" s="2" t="s">
        <v>29</v>
      </c>
      <c r="H509">
        <v>0</v>
      </c>
      <c r="I509" s="2" t="s">
        <v>21</v>
      </c>
      <c r="J509" s="2" t="s">
        <v>59</v>
      </c>
      <c r="K509">
        <v>0</v>
      </c>
      <c r="L509" s="2" t="s">
        <v>1048</v>
      </c>
      <c r="M509" s="2" t="s">
        <v>204</v>
      </c>
      <c r="N509">
        <v>6.43</v>
      </c>
      <c r="O509" s="1">
        <v>45576</v>
      </c>
      <c r="P509" s="1">
        <v>45584</v>
      </c>
      <c r="Q509" s="2" t="s">
        <v>68</v>
      </c>
      <c r="R509" s="2">
        <v>5373</v>
      </c>
    </row>
    <row r="510" spans="1:18" x14ac:dyDescent="0.25">
      <c r="A510" s="1">
        <v>45822</v>
      </c>
      <c r="B510" s="2" t="s">
        <v>40</v>
      </c>
      <c r="C510" s="2" t="s">
        <v>50</v>
      </c>
      <c r="D510">
        <v>15</v>
      </c>
      <c r="E510">
        <v>154</v>
      </c>
      <c r="F510" s="2" t="s">
        <v>51</v>
      </c>
      <c r="G510" s="2" t="s">
        <v>29</v>
      </c>
      <c r="H510">
        <v>0.1</v>
      </c>
      <c r="I510" s="2" t="s">
        <v>30</v>
      </c>
      <c r="J510" s="2" t="s">
        <v>59</v>
      </c>
      <c r="K510">
        <v>1</v>
      </c>
      <c r="L510" s="2" t="s">
        <v>1049</v>
      </c>
      <c r="M510" s="2" t="s">
        <v>1050</v>
      </c>
      <c r="N510">
        <v>24.53</v>
      </c>
      <c r="O510" s="1">
        <v>45822</v>
      </c>
      <c r="P510" s="1">
        <v>45831</v>
      </c>
      <c r="Q510" s="2" t="s">
        <v>45</v>
      </c>
      <c r="R510" s="2">
        <v>2079</v>
      </c>
    </row>
    <row r="511" spans="1:18" x14ac:dyDescent="0.25">
      <c r="A511" s="1">
        <v>45648</v>
      </c>
      <c r="B511" s="2" t="s">
        <v>17</v>
      </c>
      <c r="C511" s="2" t="s">
        <v>18</v>
      </c>
      <c r="D511">
        <v>18</v>
      </c>
      <c r="E511">
        <v>500</v>
      </c>
      <c r="F511" s="2" t="s">
        <v>51</v>
      </c>
      <c r="G511" s="2" t="s">
        <v>20</v>
      </c>
      <c r="H511">
        <v>0.1</v>
      </c>
      <c r="I511" s="2" t="s">
        <v>62</v>
      </c>
      <c r="J511" s="2" t="s">
        <v>53</v>
      </c>
      <c r="K511">
        <v>0</v>
      </c>
      <c r="L511" s="2" t="s">
        <v>1051</v>
      </c>
      <c r="M511" s="2" t="s">
        <v>1052</v>
      </c>
      <c r="N511">
        <v>8.8699999999999992</v>
      </c>
      <c r="O511" s="1">
        <v>45648</v>
      </c>
      <c r="P511" s="1">
        <v>45656</v>
      </c>
      <c r="Q511" s="2" t="s">
        <v>25</v>
      </c>
      <c r="R511" s="2">
        <v>8100</v>
      </c>
    </row>
    <row r="512" spans="1:18" x14ac:dyDescent="0.25">
      <c r="A512" s="1">
        <v>45404</v>
      </c>
      <c r="B512" s="2" t="s">
        <v>65</v>
      </c>
      <c r="C512" s="2" t="s">
        <v>75</v>
      </c>
      <c r="D512">
        <v>5</v>
      </c>
      <c r="E512">
        <v>382</v>
      </c>
      <c r="F512" s="2" t="s">
        <v>46</v>
      </c>
      <c r="G512" s="2" t="s">
        <v>20</v>
      </c>
      <c r="H512">
        <v>0</v>
      </c>
      <c r="I512" s="2" t="s">
        <v>52</v>
      </c>
      <c r="J512" s="2" t="s">
        <v>53</v>
      </c>
      <c r="K512">
        <v>0</v>
      </c>
      <c r="L512" s="2" t="s">
        <v>1053</v>
      </c>
      <c r="M512" s="2" t="s">
        <v>1054</v>
      </c>
      <c r="N512">
        <v>17.72</v>
      </c>
      <c r="O512" s="1">
        <v>45404</v>
      </c>
      <c r="P512" s="1">
        <v>45407</v>
      </c>
      <c r="Q512" s="2" t="s">
        <v>68</v>
      </c>
      <c r="R512" s="2">
        <v>1910</v>
      </c>
    </row>
    <row r="513" spans="1:18" x14ac:dyDescent="0.25">
      <c r="A513" s="1">
        <v>45682</v>
      </c>
      <c r="B513" s="2" t="s">
        <v>35</v>
      </c>
      <c r="C513" s="2" t="s">
        <v>41</v>
      </c>
      <c r="D513">
        <v>3</v>
      </c>
      <c r="E513">
        <v>366</v>
      </c>
      <c r="F513" s="2" t="s">
        <v>19</v>
      </c>
      <c r="G513" s="2" t="s">
        <v>29</v>
      </c>
      <c r="H513">
        <v>0.15</v>
      </c>
      <c r="I513" s="2" t="s">
        <v>42</v>
      </c>
      <c r="J513" s="2" t="s">
        <v>22</v>
      </c>
      <c r="K513">
        <v>0</v>
      </c>
      <c r="L513" s="2" t="s">
        <v>1055</v>
      </c>
      <c r="M513" s="2" t="s">
        <v>1056</v>
      </c>
      <c r="N513">
        <v>45.89</v>
      </c>
      <c r="O513" s="1">
        <v>45682</v>
      </c>
      <c r="P513" s="1">
        <v>45686</v>
      </c>
      <c r="Q513" s="2" t="s">
        <v>39</v>
      </c>
      <c r="R513" s="2">
        <v>933</v>
      </c>
    </row>
    <row r="514" spans="1:18" x14ac:dyDescent="0.25">
      <c r="A514" s="1">
        <v>45609</v>
      </c>
      <c r="B514" s="2" t="s">
        <v>35</v>
      </c>
      <c r="C514" s="2" t="s">
        <v>18</v>
      </c>
      <c r="D514">
        <v>5</v>
      </c>
      <c r="E514">
        <v>270</v>
      </c>
      <c r="F514" s="2" t="s">
        <v>46</v>
      </c>
      <c r="G514" s="2" t="s">
        <v>29</v>
      </c>
      <c r="H514">
        <v>0.15</v>
      </c>
      <c r="I514" s="2" t="s">
        <v>21</v>
      </c>
      <c r="J514" s="2" t="s">
        <v>53</v>
      </c>
      <c r="K514">
        <v>0</v>
      </c>
      <c r="L514" s="2" t="s">
        <v>1057</v>
      </c>
      <c r="M514" s="2" t="s">
        <v>1058</v>
      </c>
      <c r="N514">
        <v>15.74</v>
      </c>
      <c r="O514" s="1">
        <v>45609</v>
      </c>
      <c r="P514" s="1">
        <v>45615</v>
      </c>
      <c r="Q514" s="2" t="s">
        <v>39</v>
      </c>
      <c r="R514" s="2">
        <v>1148</v>
      </c>
    </row>
    <row r="515" spans="1:18" x14ac:dyDescent="0.25">
      <c r="A515" s="1">
        <v>45001</v>
      </c>
      <c r="B515" s="2" t="s">
        <v>17</v>
      </c>
      <c r="C515" s="2" t="s">
        <v>75</v>
      </c>
      <c r="D515">
        <v>2</v>
      </c>
      <c r="E515">
        <v>480</v>
      </c>
      <c r="F515" s="2" t="s">
        <v>51</v>
      </c>
      <c r="G515" s="2" t="s">
        <v>29</v>
      </c>
      <c r="H515">
        <v>0.15</v>
      </c>
      <c r="I515" s="2" t="s">
        <v>52</v>
      </c>
      <c r="J515" s="2" t="s">
        <v>22</v>
      </c>
      <c r="K515">
        <v>0</v>
      </c>
      <c r="L515" s="2" t="s">
        <v>1059</v>
      </c>
      <c r="M515" s="2" t="s">
        <v>1060</v>
      </c>
      <c r="N515">
        <v>42.07</v>
      </c>
      <c r="O515" s="1">
        <v>45001</v>
      </c>
      <c r="P515" s="1">
        <v>45006</v>
      </c>
      <c r="Q515" s="2" t="s">
        <v>25</v>
      </c>
      <c r="R515" s="2">
        <v>816</v>
      </c>
    </row>
    <row r="516" spans="1:18" x14ac:dyDescent="0.25">
      <c r="A516" s="1">
        <v>45052</v>
      </c>
      <c r="B516" s="2" t="s">
        <v>35</v>
      </c>
      <c r="C516" s="2" t="s">
        <v>18</v>
      </c>
      <c r="D516">
        <v>18</v>
      </c>
      <c r="E516">
        <v>415</v>
      </c>
      <c r="F516" s="2" t="s">
        <v>46</v>
      </c>
      <c r="G516" s="2" t="s">
        <v>20</v>
      </c>
      <c r="H516">
        <v>0.1</v>
      </c>
      <c r="I516" s="2" t="s">
        <v>21</v>
      </c>
      <c r="J516" s="2" t="s">
        <v>53</v>
      </c>
      <c r="K516">
        <v>1</v>
      </c>
      <c r="L516" s="2" t="s">
        <v>1061</v>
      </c>
      <c r="M516" s="2" t="s">
        <v>1062</v>
      </c>
      <c r="N516">
        <v>28.55</v>
      </c>
      <c r="O516" s="1">
        <v>45052</v>
      </c>
      <c r="P516" s="1">
        <v>45061</v>
      </c>
      <c r="Q516" s="2" t="s">
        <v>39</v>
      </c>
      <c r="R516" s="2">
        <v>6723</v>
      </c>
    </row>
    <row r="517" spans="1:18" x14ac:dyDescent="0.25">
      <c r="A517" s="1">
        <v>45611</v>
      </c>
      <c r="B517" s="2" t="s">
        <v>17</v>
      </c>
      <c r="C517" s="2" t="s">
        <v>50</v>
      </c>
      <c r="D517">
        <v>10</v>
      </c>
      <c r="E517">
        <v>98</v>
      </c>
      <c r="F517" s="2" t="s">
        <v>46</v>
      </c>
      <c r="G517" s="2" t="s">
        <v>20</v>
      </c>
      <c r="H517">
        <v>0</v>
      </c>
      <c r="I517" s="2" t="s">
        <v>42</v>
      </c>
      <c r="J517" s="2" t="s">
        <v>53</v>
      </c>
      <c r="K517">
        <v>1</v>
      </c>
      <c r="L517" s="2" t="s">
        <v>1063</v>
      </c>
      <c r="M517" s="2" t="s">
        <v>626</v>
      </c>
      <c r="N517">
        <v>21.01</v>
      </c>
      <c r="O517" s="1">
        <v>45611</v>
      </c>
      <c r="P517" s="1">
        <v>45613</v>
      </c>
      <c r="Q517" s="2" t="s">
        <v>25</v>
      </c>
      <c r="R517" s="2">
        <v>980</v>
      </c>
    </row>
    <row r="518" spans="1:18" x14ac:dyDescent="0.25">
      <c r="A518" s="1">
        <v>45471</v>
      </c>
      <c r="B518" s="2" t="s">
        <v>40</v>
      </c>
      <c r="C518" s="2" t="s">
        <v>18</v>
      </c>
      <c r="D518">
        <v>6</v>
      </c>
      <c r="E518">
        <v>228</v>
      </c>
      <c r="F518" s="2" t="s">
        <v>51</v>
      </c>
      <c r="G518" s="2" t="s">
        <v>29</v>
      </c>
      <c r="H518">
        <v>0.05</v>
      </c>
      <c r="I518" s="2" t="s">
        <v>47</v>
      </c>
      <c r="J518" s="2" t="s">
        <v>56</v>
      </c>
      <c r="K518">
        <v>0</v>
      </c>
      <c r="L518" s="2" t="s">
        <v>1064</v>
      </c>
      <c r="M518" s="2" t="s">
        <v>1065</v>
      </c>
      <c r="N518">
        <v>38.22</v>
      </c>
      <c r="O518" s="1">
        <v>45471</v>
      </c>
      <c r="P518" s="1">
        <v>45478</v>
      </c>
      <c r="Q518" s="2" t="s">
        <v>45</v>
      </c>
      <c r="R518" s="2">
        <v>1300</v>
      </c>
    </row>
    <row r="519" spans="1:18" x14ac:dyDescent="0.25">
      <c r="A519" s="1">
        <v>45788</v>
      </c>
      <c r="B519" s="2" t="s">
        <v>40</v>
      </c>
      <c r="C519" s="2" t="s">
        <v>50</v>
      </c>
      <c r="D519">
        <v>5</v>
      </c>
      <c r="E519">
        <v>136</v>
      </c>
      <c r="F519" s="2" t="s">
        <v>46</v>
      </c>
      <c r="G519" s="2" t="s">
        <v>29</v>
      </c>
      <c r="H519">
        <v>0.15</v>
      </c>
      <c r="I519" s="2" t="s">
        <v>47</v>
      </c>
      <c r="J519" s="2" t="s">
        <v>22</v>
      </c>
      <c r="K519">
        <v>0</v>
      </c>
      <c r="L519" s="2" t="s">
        <v>1066</v>
      </c>
      <c r="M519" s="2" t="s">
        <v>1067</v>
      </c>
      <c r="N519">
        <v>10.02</v>
      </c>
      <c r="O519" s="1">
        <v>45788</v>
      </c>
      <c r="P519" s="1">
        <v>45797</v>
      </c>
      <c r="Q519" s="2" t="s">
        <v>45</v>
      </c>
      <c r="R519" s="2">
        <v>578</v>
      </c>
    </row>
    <row r="520" spans="1:18" x14ac:dyDescent="0.25">
      <c r="A520" s="1">
        <v>44983</v>
      </c>
      <c r="B520" s="2" t="s">
        <v>40</v>
      </c>
      <c r="C520" s="2" t="s">
        <v>75</v>
      </c>
      <c r="D520">
        <v>5</v>
      </c>
      <c r="E520">
        <v>489</v>
      </c>
      <c r="F520" s="2" t="s">
        <v>46</v>
      </c>
      <c r="G520" s="2" t="s">
        <v>29</v>
      </c>
      <c r="H520">
        <v>0.1</v>
      </c>
      <c r="I520" s="2" t="s">
        <v>52</v>
      </c>
      <c r="J520" s="2" t="s">
        <v>31</v>
      </c>
      <c r="K520">
        <v>0</v>
      </c>
      <c r="L520" s="2" t="s">
        <v>1068</v>
      </c>
      <c r="M520" s="2" t="s">
        <v>1069</v>
      </c>
      <c r="N520">
        <v>44.73</v>
      </c>
      <c r="O520" s="1">
        <v>44983</v>
      </c>
      <c r="P520" s="1">
        <v>44989</v>
      </c>
      <c r="Q520" s="2" t="s">
        <v>45</v>
      </c>
      <c r="R520" s="2">
        <v>2200</v>
      </c>
    </row>
    <row r="521" spans="1:18" x14ac:dyDescent="0.25">
      <c r="A521" s="1">
        <v>45412</v>
      </c>
      <c r="B521" s="2" t="s">
        <v>26</v>
      </c>
      <c r="C521" s="2" t="s">
        <v>18</v>
      </c>
      <c r="D521">
        <v>4</v>
      </c>
      <c r="E521">
        <v>414</v>
      </c>
      <c r="F521" s="2" t="s">
        <v>28</v>
      </c>
      <c r="G521" s="2" t="s">
        <v>29</v>
      </c>
      <c r="H521">
        <v>0</v>
      </c>
      <c r="I521" s="2" t="s">
        <v>62</v>
      </c>
      <c r="J521" s="2" t="s">
        <v>56</v>
      </c>
      <c r="K521">
        <v>0</v>
      </c>
      <c r="L521" s="2" t="s">
        <v>1070</v>
      </c>
      <c r="M521" s="2" t="s">
        <v>1071</v>
      </c>
      <c r="N521">
        <v>8.02</v>
      </c>
      <c r="O521" s="1">
        <v>45412</v>
      </c>
      <c r="P521" s="1">
        <v>45419</v>
      </c>
      <c r="Q521" s="2" t="s">
        <v>34</v>
      </c>
      <c r="R521" s="2">
        <v>1656</v>
      </c>
    </row>
    <row r="522" spans="1:18" x14ac:dyDescent="0.25">
      <c r="A522" s="1">
        <v>45727</v>
      </c>
      <c r="B522" s="2" t="s">
        <v>17</v>
      </c>
      <c r="C522" s="2" t="s">
        <v>18</v>
      </c>
      <c r="D522">
        <v>6</v>
      </c>
      <c r="E522">
        <v>138</v>
      </c>
      <c r="F522" s="2" t="s">
        <v>19</v>
      </c>
      <c r="G522" s="2" t="s">
        <v>29</v>
      </c>
      <c r="H522">
        <v>0.15</v>
      </c>
      <c r="I522" s="2" t="s">
        <v>21</v>
      </c>
      <c r="J522" s="2" t="s">
        <v>22</v>
      </c>
      <c r="K522">
        <v>1</v>
      </c>
      <c r="L522" s="2" t="s">
        <v>1072</v>
      </c>
      <c r="M522" s="2" t="s">
        <v>1073</v>
      </c>
      <c r="N522">
        <v>31.4</v>
      </c>
      <c r="O522" s="1">
        <v>45727</v>
      </c>
      <c r="P522" s="1">
        <v>45729</v>
      </c>
      <c r="Q522" s="2" t="s">
        <v>25</v>
      </c>
      <c r="R522" s="2">
        <v>704</v>
      </c>
    </row>
    <row r="523" spans="1:18" x14ac:dyDescent="0.25">
      <c r="A523" s="1">
        <v>45838</v>
      </c>
      <c r="B523" s="2" t="s">
        <v>17</v>
      </c>
      <c r="C523" s="2" t="s">
        <v>27</v>
      </c>
      <c r="D523">
        <v>12</v>
      </c>
      <c r="E523">
        <v>488</v>
      </c>
      <c r="F523" s="2" t="s">
        <v>28</v>
      </c>
      <c r="G523" s="2" t="s">
        <v>20</v>
      </c>
      <c r="H523">
        <v>0.05</v>
      </c>
      <c r="I523" s="2" t="s">
        <v>21</v>
      </c>
      <c r="J523" s="2" t="s">
        <v>59</v>
      </c>
      <c r="K523">
        <v>0</v>
      </c>
      <c r="L523" s="2" t="s">
        <v>1074</v>
      </c>
      <c r="M523" s="2" t="s">
        <v>1075</v>
      </c>
      <c r="N523">
        <v>37.33</v>
      </c>
      <c r="O523" s="1">
        <v>45838</v>
      </c>
      <c r="P523" s="1">
        <v>45848</v>
      </c>
      <c r="Q523" s="2" t="s">
        <v>25</v>
      </c>
      <c r="R523" s="2">
        <v>5563</v>
      </c>
    </row>
    <row r="524" spans="1:18" x14ac:dyDescent="0.25">
      <c r="A524" s="1">
        <v>45445</v>
      </c>
      <c r="B524" s="2" t="s">
        <v>35</v>
      </c>
      <c r="C524" s="2" t="s">
        <v>41</v>
      </c>
      <c r="D524">
        <v>20</v>
      </c>
      <c r="E524">
        <v>427</v>
      </c>
      <c r="F524" s="2" t="s">
        <v>46</v>
      </c>
      <c r="G524" s="2" t="s">
        <v>20</v>
      </c>
      <c r="H524">
        <v>0.05</v>
      </c>
      <c r="I524" s="2" t="s">
        <v>42</v>
      </c>
      <c r="J524" s="2" t="s">
        <v>31</v>
      </c>
      <c r="K524">
        <v>1</v>
      </c>
      <c r="L524" s="2" t="s">
        <v>1076</v>
      </c>
      <c r="M524" s="2" t="s">
        <v>1077</v>
      </c>
      <c r="N524">
        <v>25.19</v>
      </c>
      <c r="O524" s="1">
        <v>45445</v>
      </c>
      <c r="P524" s="1">
        <v>45451</v>
      </c>
      <c r="Q524" s="2" t="s">
        <v>39</v>
      </c>
      <c r="R524" s="2">
        <v>8113</v>
      </c>
    </row>
    <row r="525" spans="1:18" x14ac:dyDescent="0.25">
      <c r="A525" s="1">
        <v>45536</v>
      </c>
      <c r="B525" s="2" t="s">
        <v>26</v>
      </c>
      <c r="C525" s="2" t="s">
        <v>18</v>
      </c>
      <c r="D525">
        <v>16</v>
      </c>
      <c r="E525">
        <v>589</v>
      </c>
      <c r="F525" s="2" t="s">
        <v>51</v>
      </c>
      <c r="G525" s="2" t="s">
        <v>20</v>
      </c>
      <c r="H525">
        <v>0.15</v>
      </c>
      <c r="I525" s="2" t="s">
        <v>30</v>
      </c>
      <c r="J525" s="2" t="s">
        <v>59</v>
      </c>
      <c r="K525">
        <v>0</v>
      </c>
      <c r="L525" s="2" t="s">
        <v>1078</v>
      </c>
      <c r="M525" s="2" t="s">
        <v>1079</v>
      </c>
      <c r="N525">
        <v>7.89</v>
      </c>
      <c r="O525" s="1">
        <v>45536</v>
      </c>
      <c r="P525" s="1">
        <v>45540</v>
      </c>
      <c r="Q525" s="2" t="s">
        <v>34</v>
      </c>
      <c r="R525" s="2">
        <v>8010</v>
      </c>
    </row>
    <row r="526" spans="1:18" x14ac:dyDescent="0.25">
      <c r="A526" s="1">
        <v>45668</v>
      </c>
      <c r="B526" s="2" t="s">
        <v>26</v>
      </c>
      <c r="C526" s="2" t="s">
        <v>18</v>
      </c>
      <c r="D526">
        <v>6</v>
      </c>
      <c r="E526">
        <v>429</v>
      </c>
      <c r="F526" s="2" t="s">
        <v>19</v>
      </c>
      <c r="G526" s="2" t="s">
        <v>29</v>
      </c>
      <c r="H526">
        <v>0.1</v>
      </c>
      <c r="I526" s="2" t="s">
        <v>30</v>
      </c>
      <c r="J526" s="2" t="s">
        <v>59</v>
      </c>
      <c r="K526">
        <v>0</v>
      </c>
      <c r="L526" s="2" t="s">
        <v>1080</v>
      </c>
      <c r="M526" s="2" t="s">
        <v>1081</v>
      </c>
      <c r="N526">
        <v>47.18</v>
      </c>
      <c r="O526" s="1">
        <v>45668</v>
      </c>
      <c r="P526" s="1">
        <v>45675</v>
      </c>
      <c r="Q526" s="2" t="s">
        <v>34</v>
      </c>
      <c r="R526" s="2">
        <v>2317</v>
      </c>
    </row>
    <row r="527" spans="1:18" x14ac:dyDescent="0.25">
      <c r="A527" s="1">
        <v>45747</v>
      </c>
      <c r="B527" s="2" t="s">
        <v>26</v>
      </c>
      <c r="C527" s="2" t="s">
        <v>27</v>
      </c>
      <c r="D527">
        <v>1</v>
      </c>
      <c r="E527">
        <v>476</v>
      </c>
      <c r="F527" s="2" t="s">
        <v>28</v>
      </c>
      <c r="G527" s="2" t="s">
        <v>20</v>
      </c>
      <c r="H527">
        <v>0.15</v>
      </c>
      <c r="I527" s="2" t="s">
        <v>47</v>
      </c>
      <c r="J527" s="2" t="s">
        <v>59</v>
      </c>
      <c r="K527">
        <v>0</v>
      </c>
      <c r="L527" s="2" t="s">
        <v>1082</v>
      </c>
      <c r="M527" s="2" t="s">
        <v>1083</v>
      </c>
      <c r="N527">
        <v>18.95</v>
      </c>
      <c r="O527" s="1">
        <v>45747</v>
      </c>
      <c r="P527" s="1">
        <v>45750</v>
      </c>
      <c r="Q527" s="2" t="s">
        <v>34</v>
      </c>
      <c r="R527" s="2">
        <v>405</v>
      </c>
    </row>
    <row r="528" spans="1:18" x14ac:dyDescent="0.25">
      <c r="A528" s="1">
        <v>45624</v>
      </c>
      <c r="B528" s="2" t="s">
        <v>26</v>
      </c>
      <c r="C528" s="2" t="s">
        <v>27</v>
      </c>
      <c r="D528">
        <v>13</v>
      </c>
      <c r="E528">
        <v>141</v>
      </c>
      <c r="F528" s="2" t="s">
        <v>19</v>
      </c>
      <c r="G528" s="2" t="s">
        <v>29</v>
      </c>
      <c r="H528">
        <v>0</v>
      </c>
      <c r="I528" s="2" t="s">
        <v>42</v>
      </c>
      <c r="J528" s="2" t="s">
        <v>22</v>
      </c>
      <c r="K528">
        <v>0</v>
      </c>
      <c r="L528" s="2" t="s">
        <v>1084</v>
      </c>
      <c r="M528" s="2" t="s">
        <v>698</v>
      </c>
      <c r="N528">
        <v>23.68</v>
      </c>
      <c r="O528" s="1">
        <v>45624</v>
      </c>
      <c r="P528" s="1">
        <v>45631</v>
      </c>
      <c r="Q528" s="2" t="s">
        <v>34</v>
      </c>
      <c r="R528" s="2">
        <v>1833</v>
      </c>
    </row>
    <row r="529" spans="1:18" x14ac:dyDescent="0.25">
      <c r="A529" s="1">
        <v>45112</v>
      </c>
      <c r="B529" s="2" t="s">
        <v>35</v>
      </c>
      <c r="C529" s="2" t="s">
        <v>41</v>
      </c>
      <c r="D529">
        <v>3</v>
      </c>
      <c r="E529">
        <v>251</v>
      </c>
      <c r="F529" s="2" t="s">
        <v>51</v>
      </c>
      <c r="G529" s="2" t="s">
        <v>29</v>
      </c>
      <c r="H529">
        <v>0.15</v>
      </c>
      <c r="I529" s="2" t="s">
        <v>21</v>
      </c>
      <c r="J529" s="2" t="s">
        <v>53</v>
      </c>
      <c r="K529">
        <v>0</v>
      </c>
      <c r="L529" s="2" t="s">
        <v>1085</v>
      </c>
      <c r="M529" s="2" t="s">
        <v>1086</v>
      </c>
      <c r="N529">
        <v>44.46</v>
      </c>
      <c r="O529" s="1">
        <v>45112</v>
      </c>
      <c r="P529" s="1">
        <v>45114</v>
      </c>
      <c r="Q529" s="2" t="s">
        <v>39</v>
      </c>
      <c r="R529" s="2">
        <v>640</v>
      </c>
    </row>
    <row r="530" spans="1:18" x14ac:dyDescent="0.25">
      <c r="A530" s="1">
        <v>45589</v>
      </c>
      <c r="B530" s="2" t="s">
        <v>65</v>
      </c>
      <c r="C530" s="2" t="s">
        <v>50</v>
      </c>
      <c r="D530">
        <v>19</v>
      </c>
      <c r="E530">
        <v>301</v>
      </c>
      <c r="F530" s="2" t="s">
        <v>51</v>
      </c>
      <c r="G530" s="2" t="s">
        <v>29</v>
      </c>
      <c r="H530">
        <v>0.05</v>
      </c>
      <c r="I530" s="2" t="s">
        <v>30</v>
      </c>
      <c r="J530" s="2" t="s">
        <v>56</v>
      </c>
      <c r="K530">
        <v>0</v>
      </c>
      <c r="L530" s="2" t="s">
        <v>1087</v>
      </c>
      <c r="M530" s="2" t="s">
        <v>1088</v>
      </c>
      <c r="N530">
        <v>5.71</v>
      </c>
      <c r="O530" s="1">
        <v>45589</v>
      </c>
      <c r="P530" s="1">
        <v>45599</v>
      </c>
      <c r="Q530" s="2" t="s">
        <v>68</v>
      </c>
      <c r="R530" s="2">
        <v>5433</v>
      </c>
    </row>
    <row r="531" spans="1:18" x14ac:dyDescent="0.25">
      <c r="A531" s="1">
        <v>45755</v>
      </c>
      <c r="B531" s="2" t="s">
        <v>35</v>
      </c>
      <c r="C531" s="2" t="s">
        <v>41</v>
      </c>
      <c r="D531">
        <v>7</v>
      </c>
      <c r="E531">
        <v>31</v>
      </c>
      <c r="F531" s="2" t="s">
        <v>46</v>
      </c>
      <c r="G531" s="2" t="s">
        <v>29</v>
      </c>
      <c r="H531">
        <v>0.1</v>
      </c>
      <c r="I531" s="2" t="s">
        <v>62</v>
      </c>
      <c r="J531" s="2" t="s">
        <v>59</v>
      </c>
      <c r="K531">
        <v>1</v>
      </c>
      <c r="L531" s="2" t="s">
        <v>1089</v>
      </c>
      <c r="M531" s="2" t="s">
        <v>1090</v>
      </c>
      <c r="N531">
        <v>11.39</v>
      </c>
      <c r="O531" s="1">
        <v>45755</v>
      </c>
      <c r="P531" s="1">
        <v>45763</v>
      </c>
      <c r="Q531" s="2" t="s">
        <v>39</v>
      </c>
      <c r="R531" s="2">
        <v>195</v>
      </c>
    </row>
    <row r="532" spans="1:18" x14ac:dyDescent="0.25">
      <c r="A532" s="1">
        <v>45448</v>
      </c>
      <c r="B532" s="2" t="s">
        <v>17</v>
      </c>
      <c r="C532" s="2" t="s">
        <v>18</v>
      </c>
      <c r="D532">
        <v>1</v>
      </c>
      <c r="E532">
        <v>562</v>
      </c>
      <c r="F532" s="2" t="s">
        <v>28</v>
      </c>
      <c r="G532" s="2" t="s">
        <v>20</v>
      </c>
      <c r="H532">
        <v>0.15</v>
      </c>
      <c r="I532" s="2" t="s">
        <v>30</v>
      </c>
      <c r="J532" s="2" t="s">
        <v>56</v>
      </c>
      <c r="K532">
        <v>0</v>
      </c>
      <c r="L532" s="2" t="s">
        <v>1091</v>
      </c>
      <c r="M532" s="2" t="s">
        <v>314</v>
      </c>
      <c r="N532">
        <v>38.020000000000003</v>
      </c>
      <c r="O532" s="1">
        <v>45448</v>
      </c>
      <c r="P532" s="1">
        <v>45453</v>
      </c>
      <c r="Q532" s="2" t="s">
        <v>25</v>
      </c>
      <c r="R532" s="2">
        <v>478</v>
      </c>
    </row>
    <row r="533" spans="1:18" x14ac:dyDescent="0.25">
      <c r="A533" s="1">
        <v>45680</v>
      </c>
      <c r="B533" s="2" t="s">
        <v>65</v>
      </c>
      <c r="C533" s="2" t="s">
        <v>27</v>
      </c>
      <c r="D533">
        <v>16</v>
      </c>
      <c r="E533">
        <v>194</v>
      </c>
      <c r="F533" s="2" t="s">
        <v>28</v>
      </c>
      <c r="G533" s="2" t="s">
        <v>29</v>
      </c>
      <c r="H533">
        <v>0.15</v>
      </c>
      <c r="I533" s="2" t="s">
        <v>62</v>
      </c>
      <c r="J533" s="2" t="s">
        <v>53</v>
      </c>
      <c r="K533">
        <v>0</v>
      </c>
      <c r="L533" s="2" t="s">
        <v>1092</v>
      </c>
      <c r="M533" s="2" t="s">
        <v>1093</v>
      </c>
      <c r="N533">
        <v>6.83</v>
      </c>
      <c r="O533" s="1">
        <v>45680</v>
      </c>
      <c r="P533" s="1">
        <v>45686</v>
      </c>
      <c r="Q533" s="2" t="s">
        <v>68</v>
      </c>
      <c r="R533" s="2">
        <v>2638</v>
      </c>
    </row>
    <row r="534" spans="1:18" x14ac:dyDescent="0.25">
      <c r="A534" s="1">
        <v>45600</v>
      </c>
      <c r="B534" s="2" t="s">
        <v>40</v>
      </c>
      <c r="C534" s="2" t="s">
        <v>75</v>
      </c>
      <c r="D534">
        <v>17</v>
      </c>
      <c r="E534">
        <v>310</v>
      </c>
      <c r="F534" s="2" t="s">
        <v>51</v>
      </c>
      <c r="G534" s="2" t="s">
        <v>29</v>
      </c>
      <c r="H534">
        <v>0.05</v>
      </c>
      <c r="I534" s="2" t="s">
        <v>47</v>
      </c>
      <c r="J534" s="2" t="s">
        <v>22</v>
      </c>
      <c r="K534">
        <v>0</v>
      </c>
      <c r="L534" s="2" t="s">
        <v>1094</v>
      </c>
      <c r="M534" s="2" t="s">
        <v>1095</v>
      </c>
      <c r="N534">
        <v>8.06</v>
      </c>
      <c r="O534" s="1">
        <v>45600</v>
      </c>
      <c r="P534" s="1">
        <v>45608</v>
      </c>
      <c r="Q534" s="2" t="s">
        <v>45</v>
      </c>
      <c r="R534" s="2">
        <v>5006</v>
      </c>
    </row>
    <row r="535" spans="1:18" x14ac:dyDescent="0.25">
      <c r="A535" s="1">
        <v>45292</v>
      </c>
      <c r="B535" s="2" t="s">
        <v>65</v>
      </c>
      <c r="C535" s="2" t="s">
        <v>126</v>
      </c>
      <c r="D535">
        <v>13</v>
      </c>
      <c r="E535">
        <v>205</v>
      </c>
      <c r="F535" s="2" t="s">
        <v>28</v>
      </c>
      <c r="G535" s="2" t="s">
        <v>29</v>
      </c>
      <c r="H535">
        <v>0.15</v>
      </c>
      <c r="I535" s="2" t="s">
        <v>30</v>
      </c>
      <c r="J535" s="2" t="s">
        <v>22</v>
      </c>
      <c r="K535">
        <v>0</v>
      </c>
      <c r="L535" s="2" t="s">
        <v>1096</v>
      </c>
      <c r="M535" s="2" t="s">
        <v>1097</v>
      </c>
      <c r="N535">
        <v>6.76</v>
      </c>
      <c r="O535" s="1">
        <v>45292</v>
      </c>
      <c r="P535" s="1">
        <v>45296</v>
      </c>
      <c r="Q535" s="2" t="s">
        <v>68</v>
      </c>
      <c r="R535" s="2">
        <v>2265</v>
      </c>
    </row>
    <row r="536" spans="1:18" x14ac:dyDescent="0.25">
      <c r="A536" s="1">
        <v>45391</v>
      </c>
      <c r="B536" s="2" t="s">
        <v>40</v>
      </c>
      <c r="C536" s="2" t="s">
        <v>126</v>
      </c>
      <c r="D536">
        <v>3</v>
      </c>
      <c r="E536">
        <v>250</v>
      </c>
      <c r="F536" s="2" t="s">
        <v>51</v>
      </c>
      <c r="G536" s="2" t="s">
        <v>20</v>
      </c>
      <c r="H536">
        <v>0</v>
      </c>
      <c r="I536" s="2" t="s">
        <v>30</v>
      </c>
      <c r="J536" s="2" t="s">
        <v>31</v>
      </c>
      <c r="K536">
        <v>0</v>
      </c>
      <c r="L536" s="2" t="s">
        <v>1098</v>
      </c>
      <c r="M536" s="2" t="s">
        <v>1099</v>
      </c>
      <c r="N536">
        <v>36.35</v>
      </c>
      <c r="O536" s="1">
        <v>45391</v>
      </c>
      <c r="P536" s="1">
        <v>45399</v>
      </c>
      <c r="Q536" s="2" t="s">
        <v>45</v>
      </c>
      <c r="R536" s="2">
        <v>750</v>
      </c>
    </row>
    <row r="537" spans="1:18" x14ac:dyDescent="0.25">
      <c r="A537" s="1">
        <v>45674</v>
      </c>
      <c r="B537" s="2" t="s">
        <v>35</v>
      </c>
      <c r="C537" s="2" t="s">
        <v>36</v>
      </c>
      <c r="D537">
        <v>12</v>
      </c>
      <c r="E537">
        <v>527</v>
      </c>
      <c r="F537" s="2" t="s">
        <v>28</v>
      </c>
      <c r="G537" s="2" t="s">
        <v>29</v>
      </c>
      <c r="H537">
        <v>0</v>
      </c>
      <c r="I537" s="2" t="s">
        <v>42</v>
      </c>
      <c r="J537" s="2" t="s">
        <v>53</v>
      </c>
      <c r="K537">
        <v>0</v>
      </c>
      <c r="L537" s="2" t="s">
        <v>1100</v>
      </c>
      <c r="M537" s="2" t="s">
        <v>1101</v>
      </c>
      <c r="N537">
        <v>29.75</v>
      </c>
      <c r="O537" s="1">
        <v>45674</v>
      </c>
      <c r="P537" s="1">
        <v>45682</v>
      </c>
      <c r="Q537" s="2" t="s">
        <v>39</v>
      </c>
      <c r="R537" s="2">
        <v>6324</v>
      </c>
    </row>
    <row r="538" spans="1:18" x14ac:dyDescent="0.25">
      <c r="A538" s="1">
        <v>45557</v>
      </c>
      <c r="B538" s="2" t="s">
        <v>17</v>
      </c>
      <c r="C538" s="2" t="s">
        <v>41</v>
      </c>
      <c r="D538">
        <v>18</v>
      </c>
      <c r="E538">
        <v>575</v>
      </c>
      <c r="F538" s="2" t="s">
        <v>51</v>
      </c>
      <c r="G538" s="2" t="s">
        <v>20</v>
      </c>
      <c r="H538">
        <v>0</v>
      </c>
      <c r="I538" s="2" t="s">
        <v>62</v>
      </c>
      <c r="J538" s="2" t="s">
        <v>22</v>
      </c>
      <c r="K538">
        <v>0</v>
      </c>
      <c r="L538" s="2" t="s">
        <v>1102</v>
      </c>
      <c r="M538" s="2" t="s">
        <v>1103</v>
      </c>
      <c r="N538">
        <v>35.32</v>
      </c>
      <c r="O538" s="1">
        <v>45557</v>
      </c>
      <c r="P538" s="1">
        <v>45564</v>
      </c>
      <c r="Q538" s="2" t="s">
        <v>25</v>
      </c>
      <c r="R538" s="2">
        <v>10350</v>
      </c>
    </row>
    <row r="539" spans="1:18" x14ac:dyDescent="0.25">
      <c r="A539" s="1">
        <v>44946</v>
      </c>
      <c r="B539" s="2" t="s">
        <v>17</v>
      </c>
      <c r="C539" s="2" t="s">
        <v>50</v>
      </c>
      <c r="D539">
        <v>8</v>
      </c>
      <c r="E539">
        <v>326</v>
      </c>
      <c r="F539" s="2" t="s">
        <v>46</v>
      </c>
      <c r="G539" s="2" t="s">
        <v>29</v>
      </c>
      <c r="H539">
        <v>0.1</v>
      </c>
      <c r="I539" s="2" t="s">
        <v>42</v>
      </c>
      <c r="J539" s="2" t="s">
        <v>56</v>
      </c>
      <c r="K539">
        <v>0</v>
      </c>
      <c r="L539" s="2" t="s">
        <v>1104</v>
      </c>
      <c r="M539" s="2" t="s">
        <v>1105</v>
      </c>
      <c r="N539">
        <v>45.59</v>
      </c>
      <c r="O539" s="1">
        <v>44946</v>
      </c>
      <c r="P539" s="1">
        <v>44951</v>
      </c>
      <c r="Q539" s="2" t="s">
        <v>25</v>
      </c>
      <c r="R539" s="2">
        <v>2347</v>
      </c>
    </row>
    <row r="540" spans="1:18" x14ac:dyDescent="0.25">
      <c r="A540" s="1">
        <v>45303</v>
      </c>
      <c r="B540" s="2" t="s">
        <v>35</v>
      </c>
      <c r="C540" s="2" t="s">
        <v>50</v>
      </c>
      <c r="D540">
        <v>14</v>
      </c>
      <c r="E540">
        <v>157</v>
      </c>
      <c r="F540" s="2" t="s">
        <v>28</v>
      </c>
      <c r="G540" s="2" t="s">
        <v>20</v>
      </c>
      <c r="H540">
        <v>0.15</v>
      </c>
      <c r="I540" s="2" t="s">
        <v>52</v>
      </c>
      <c r="J540" s="2" t="s">
        <v>31</v>
      </c>
      <c r="K540">
        <v>0</v>
      </c>
      <c r="L540" s="2" t="s">
        <v>1106</v>
      </c>
      <c r="M540" s="2" t="s">
        <v>1107</v>
      </c>
      <c r="N540">
        <v>36.04</v>
      </c>
      <c r="O540" s="1">
        <v>45303</v>
      </c>
      <c r="P540" s="1">
        <v>45313</v>
      </c>
      <c r="Q540" s="2" t="s">
        <v>39</v>
      </c>
      <c r="R540" s="2">
        <v>1868</v>
      </c>
    </row>
    <row r="541" spans="1:18" x14ac:dyDescent="0.25">
      <c r="A541" s="1">
        <v>45390</v>
      </c>
      <c r="B541" s="2" t="s">
        <v>40</v>
      </c>
      <c r="C541" s="2" t="s">
        <v>18</v>
      </c>
      <c r="D541">
        <v>10</v>
      </c>
      <c r="E541">
        <v>100</v>
      </c>
      <c r="F541" s="2" t="s">
        <v>51</v>
      </c>
      <c r="G541" s="2" t="s">
        <v>20</v>
      </c>
      <c r="H541">
        <v>0.05</v>
      </c>
      <c r="I541" s="2" t="s">
        <v>47</v>
      </c>
      <c r="J541" s="2" t="s">
        <v>31</v>
      </c>
      <c r="K541">
        <v>0</v>
      </c>
      <c r="L541" s="2" t="s">
        <v>1108</v>
      </c>
      <c r="M541" s="2" t="s">
        <v>1109</v>
      </c>
      <c r="N541">
        <v>36.71</v>
      </c>
      <c r="O541" s="1">
        <v>45390</v>
      </c>
      <c r="P541" s="1">
        <v>45397</v>
      </c>
      <c r="Q541" s="2" t="s">
        <v>45</v>
      </c>
      <c r="R541" s="2">
        <v>950</v>
      </c>
    </row>
    <row r="542" spans="1:18" x14ac:dyDescent="0.25">
      <c r="A542" s="1">
        <v>45043</v>
      </c>
      <c r="B542" s="2" t="s">
        <v>40</v>
      </c>
      <c r="C542" s="2" t="s">
        <v>18</v>
      </c>
      <c r="D542">
        <v>9</v>
      </c>
      <c r="E542">
        <v>554</v>
      </c>
      <c r="F542" s="2" t="s">
        <v>46</v>
      </c>
      <c r="G542" s="2" t="s">
        <v>20</v>
      </c>
      <c r="H542">
        <v>0</v>
      </c>
      <c r="I542" s="2" t="s">
        <v>47</v>
      </c>
      <c r="J542" s="2" t="s">
        <v>22</v>
      </c>
      <c r="K542">
        <v>0</v>
      </c>
      <c r="L542" s="2" t="s">
        <v>1110</v>
      </c>
      <c r="M542" s="2" t="s">
        <v>1111</v>
      </c>
      <c r="N542">
        <v>48.26</v>
      </c>
      <c r="O542" s="1">
        <v>45043</v>
      </c>
      <c r="P542" s="1">
        <v>45047</v>
      </c>
      <c r="Q542" s="2" t="s">
        <v>45</v>
      </c>
      <c r="R542" s="2">
        <v>4986</v>
      </c>
    </row>
    <row r="543" spans="1:18" x14ac:dyDescent="0.25">
      <c r="A543" s="1">
        <v>45490</v>
      </c>
      <c r="B543" s="2" t="s">
        <v>35</v>
      </c>
      <c r="C543" s="2" t="s">
        <v>27</v>
      </c>
      <c r="D543">
        <v>4</v>
      </c>
      <c r="E543">
        <v>376</v>
      </c>
      <c r="F543" s="2" t="s">
        <v>46</v>
      </c>
      <c r="G543" s="2" t="s">
        <v>29</v>
      </c>
      <c r="H543">
        <v>0.15</v>
      </c>
      <c r="I543" s="2" t="s">
        <v>47</v>
      </c>
      <c r="J543" s="2" t="s">
        <v>56</v>
      </c>
      <c r="K543">
        <v>0</v>
      </c>
      <c r="L543" s="2" t="s">
        <v>1112</v>
      </c>
      <c r="M543" s="2" t="s">
        <v>1113</v>
      </c>
      <c r="N543">
        <v>44.99</v>
      </c>
      <c r="O543" s="1">
        <v>45490</v>
      </c>
      <c r="P543" s="1">
        <v>45498</v>
      </c>
      <c r="Q543" s="2" t="s">
        <v>39</v>
      </c>
      <c r="R543" s="2">
        <v>1278</v>
      </c>
    </row>
    <row r="544" spans="1:18" x14ac:dyDescent="0.25">
      <c r="A544" s="1">
        <v>45339</v>
      </c>
      <c r="B544" s="2" t="s">
        <v>40</v>
      </c>
      <c r="C544" s="2" t="s">
        <v>50</v>
      </c>
      <c r="D544">
        <v>14</v>
      </c>
      <c r="E544">
        <v>485</v>
      </c>
      <c r="F544" s="2" t="s">
        <v>28</v>
      </c>
      <c r="G544" s="2" t="s">
        <v>29</v>
      </c>
      <c r="H544">
        <v>0</v>
      </c>
      <c r="I544" s="2" t="s">
        <v>42</v>
      </c>
      <c r="J544" s="2" t="s">
        <v>22</v>
      </c>
      <c r="K544">
        <v>0</v>
      </c>
      <c r="L544" s="2" t="s">
        <v>1114</v>
      </c>
      <c r="M544" s="2" t="s">
        <v>1115</v>
      </c>
      <c r="N544">
        <v>41.72</v>
      </c>
      <c r="O544" s="1">
        <v>45339</v>
      </c>
      <c r="P544" s="1">
        <v>45345</v>
      </c>
      <c r="Q544" s="2" t="s">
        <v>45</v>
      </c>
      <c r="R544" s="2">
        <v>6790</v>
      </c>
    </row>
    <row r="545" spans="1:18" x14ac:dyDescent="0.25">
      <c r="A545" s="1">
        <v>45316</v>
      </c>
      <c r="B545" s="2" t="s">
        <v>26</v>
      </c>
      <c r="C545" s="2" t="s">
        <v>50</v>
      </c>
      <c r="D545">
        <v>9</v>
      </c>
      <c r="E545">
        <v>372</v>
      </c>
      <c r="F545" s="2" t="s">
        <v>28</v>
      </c>
      <c r="G545" s="2" t="s">
        <v>20</v>
      </c>
      <c r="H545">
        <v>0.05</v>
      </c>
      <c r="I545" s="2" t="s">
        <v>52</v>
      </c>
      <c r="J545" s="2" t="s">
        <v>31</v>
      </c>
      <c r="K545">
        <v>0</v>
      </c>
      <c r="L545" s="2" t="s">
        <v>1116</v>
      </c>
      <c r="M545" s="2" t="s">
        <v>1117</v>
      </c>
      <c r="N545">
        <v>41.87</v>
      </c>
      <c r="O545" s="1">
        <v>45316</v>
      </c>
      <c r="P545" s="1">
        <v>45324</v>
      </c>
      <c r="Q545" s="2" t="s">
        <v>34</v>
      </c>
      <c r="R545" s="2">
        <v>3181</v>
      </c>
    </row>
    <row r="546" spans="1:18" x14ac:dyDescent="0.25">
      <c r="A546" s="1">
        <v>45375</v>
      </c>
      <c r="B546" s="2" t="s">
        <v>40</v>
      </c>
      <c r="C546" s="2" t="s">
        <v>18</v>
      </c>
      <c r="D546">
        <v>7</v>
      </c>
      <c r="E546">
        <v>141</v>
      </c>
      <c r="F546" s="2" t="s">
        <v>51</v>
      </c>
      <c r="G546" s="2" t="s">
        <v>29</v>
      </c>
      <c r="H546">
        <v>0</v>
      </c>
      <c r="I546" s="2" t="s">
        <v>42</v>
      </c>
      <c r="J546" s="2" t="s">
        <v>56</v>
      </c>
      <c r="K546">
        <v>1</v>
      </c>
      <c r="L546" s="2" t="s">
        <v>1118</v>
      </c>
      <c r="M546" s="2" t="s">
        <v>1119</v>
      </c>
      <c r="N546">
        <v>24.53</v>
      </c>
      <c r="O546" s="1">
        <v>45375</v>
      </c>
      <c r="P546" s="1">
        <v>45384</v>
      </c>
      <c r="Q546" s="2" t="s">
        <v>45</v>
      </c>
      <c r="R546" s="2">
        <v>987</v>
      </c>
    </row>
    <row r="547" spans="1:18" x14ac:dyDescent="0.25">
      <c r="A547" s="1">
        <v>45102</v>
      </c>
      <c r="B547" s="2" t="s">
        <v>35</v>
      </c>
      <c r="C547" s="2" t="s">
        <v>36</v>
      </c>
      <c r="D547">
        <v>15</v>
      </c>
      <c r="E547">
        <v>366</v>
      </c>
      <c r="F547" s="2" t="s">
        <v>51</v>
      </c>
      <c r="G547" s="2" t="s">
        <v>29</v>
      </c>
      <c r="H547">
        <v>0.15</v>
      </c>
      <c r="I547" s="2" t="s">
        <v>62</v>
      </c>
      <c r="J547" s="2" t="s">
        <v>59</v>
      </c>
      <c r="K547">
        <v>0</v>
      </c>
      <c r="L547" s="2" t="s">
        <v>1120</v>
      </c>
      <c r="M547" s="2" t="s">
        <v>1121</v>
      </c>
      <c r="N547">
        <v>35.840000000000003</v>
      </c>
      <c r="O547" s="1">
        <v>45102</v>
      </c>
      <c r="P547" s="1">
        <v>45104</v>
      </c>
      <c r="Q547" s="2" t="s">
        <v>39</v>
      </c>
      <c r="R547" s="2">
        <v>4666</v>
      </c>
    </row>
    <row r="548" spans="1:18" x14ac:dyDescent="0.25">
      <c r="A548" s="1">
        <v>45033</v>
      </c>
      <c r="B548" s="2" t="s">
        <v>26</v>
      </c>
      <c r="C548" s="2" t="s">
        <v>18</v>
      </c>
      <c r="D548">
        <v>20</v>
      </c>
      <c r="E548">
        <v>354</v>
      </c>
      <c r="F548" s="2" t="s">
        <v>19</v>
      </c>
      <c r="G548" s="2" t="s">
        <v>20</v>
      </c>
      <c r="H548">
        <v>0.15</v>
      </c>
      <c r="I548" s="2" t="s">
        <v>42</v>
      </c>
      <c r="J548" s="2" t="s">
        <v>59</v>
      </c>
      <c r="K548">
        <v>1</v>
      </c>
      <c r="L548" s="2" t="s">
        <v>1122</v>
      </c>
      <c r="M548" s="2" t="s">
        <v>1123</v>
      </c>
      <c r="N548">
        <v>22.05</v>
      </c>
      <c r="O548" s="1">
        <v>45033</v>
      </c>
      <c r="P548" s="1">
        <v>45036</v>
      </c>
      <c r="Q548" s="2" t="s">
        <v>34</v>
      </c>
      <c r="R548" s="2">
        <v>6018</v>
      </c>
    </row>
    <row r="549" spans="1:18" x14ac:dyDescent="0.25">
      <c r="A549" s="1">
        <v>45105</v>
      </c>
      <c r="B549" s="2" t="s">
        <v>17</v>
      </c>
      <c r="C549" s="2" t="s">
        <v>41</v>
      </c>
      <c r="D549">
        <v>14</v>
      </c>
      <c r="E549">
        <v>293</v>
      </c>
      <c r="F549" s="2" t="s">
        <v>51</v>
      </c>
      <c r="G549" s="2" t="s">
        <v>20</v>
      </c>
      <c r="H549">
        <v>0</v>
      </c>
      <c r="I549" s="2" t="s">
        <v>30</v>
      </c>
      <c r="J549" s="2" t="s">
        <v>31</v>
      </c>
      <c r="K549">
        <v>0</v>
      </c>
      <c r="L549" s="2" t="s">
        <v>1124</v>
      </c>
      <c r="M549" s="2" t="s">
        <v>1125</v>
      </c>
      <c r="N549">
        <v>21.61</v>
      </c>
      <c r="O549" s="1">
        <v>45105</v>
      </c>
      <c r="P549" s="1">
        <v>45107</v>
      </c>
      <c r="Q549" s="2" t="s">
        <v>25</v>
      </c>
      <c r="R549" s="2">
        <v>4102</v>
      </c>
    </row>
    <row r="550" spans="1:18" x14ac:dyDescent="0.25">
      <c r="A550" s="1">
        <v>45388</v>
      </c>
      <c r="B550" s="2" t="s">
        <v>40</v>
      </c>
      <c r="C550" s="2" t="s">
        <v>41</v>
      </c>
      <c r="D550">
        <v>10</v>
      </c>
      <c r="E550">
        <v>397</v>
      </c>
      <c r="F550" s="2" t="s">
        <v>51</v>
      </c>
      <c r="G550" s="2" t="s">
        <v>29</v>
      </c>
      <c r="H550">
        <v>0.15</v>
      </c>
      <c r="I550" s="2" t="s">
        <v>30</v>
      </c>
      <c r="J550" s="2" t="s">
        <v>31</v>
      </c>
      <c r="K550">
        <v>0</v>
      </c>
      <c r="L550" s="2" t="s">
        <v>1126</v>
      </c>
      <c r="M550" s="2" t="s">
        <v>1127</v>
      </c>
      <c r="N550">
        <v>25.27</v>
      </c>
      <c r="O550" s="1">
        <v>45388</v>
      </c>
      <c r="P550" s="1">
        <v>45398</v>
      </c>
      <c r="Q550" s="2" t="s">
        <v>45</v>
      </c>
      <c r="R550" s="2">
        <v>3374</v>
      </c>
    </row>
    <row r="551" spans="1:18" x14ac:dyDescent="0.25">
      <c r="A551" s="1">
        <v>45705</v>
      </c>
      <c r="B551" s="2" t="s">
        <v>26</v>
      </c>
      <c r="C551" s="2" t="s">
        <v>41</v>
      </c>
      <c r="D551">
        <v>2</v>
      </c>
      <c r="E551">
        <v>98</v>
      </c>
      <c r="F551" s="2" t="s">
        <v>46</v>
      </c>
      <c r="G551" s="2" t="s">
        <v>29</v>
      </c>
      <c r="H551">
        <v>0</v>
      </c>
      <c r="I551" s="2" t="s">
        <v>21</v>
      </c>
      <c r="J551" s="2" t="s">
        <v>56</v>
      </c>
      <c r="K551">
        <v>0</v>
      </c>
      <c r="L551" s="2" t="s">
        <v>1128</v>
      </c>
      <c r="M551" s="2" t="s">
        <v>1129</v>
      </c>
      <c r="N551">
        <v>28.65</v>
      </c>
      <c r="O551" s="1">
        <v>45705</v>
      </c>
      <c r="P551" s="1">
        <v>45707</v>
      </c>
      <c r="Q551" s="2" t="s">
        <v>34</v>
      </c>
      <c r="R551" s="2">
        <v>196</v>
      </c>
    </row>
    <row r="552" spans="1:18" x14ac:dyDescent="0.25">
      <c r="A552" s="1">
        <v>44934</v>
      </c>
      <c r="B552" s="2" t="s">
        <v>26</v>
      </c>
      <c r="C552" s="2" t="s">
        <v>36</v>
      </c>
      <c r="D552">
        <v>6</v>
      </c>
      <c r="E552">
        <v>582</v>
      </c>
      <c r="F552" s="2" t="s">
        <v>28</v>
      </c>
      <c r="G552" s="2" t="s">
        <v>20</v>
      </c>
      <c r="H552">
        <v>0</v>
      </c>
      <c r="I552" s="2" t="s">
        <v>42</v>
      </c>
      <c r="J552" s="2" t="s">
        <v>56</v>
      </c>
      <c r="K552">
        <v>0</v>
      </c>
      <c r="L552" s="2" t="s">
        <v>1130</v>
      </c>
      <c r="M552" s="2" t="s">
        <v>1131</v>
      </c>
      <c r="N552">
        <v>39.4</v>
      </c>
      <c r="O552" s="1">
        <v>44934</v>
      </c>
      <c r="P552" s="1">
        <v>44937</v>
      </c>
      <c r="Q552" s="2" t="s">
        <v>34</v>
      </c>
      <c r="R552" s="2">
        <v>3492</v>
      </c>
    </row>
    <row r="553" spans="1:18" x14ac:dyDescent="0.25">
      <c r="A553" s="1">
        <v>45281</v>
      </c>
      <c r="B553" s="2" t="s">
        <v>26</v>
      </c>
      <c r="C553" s="2" t="s">
        <v>27</v>
      </c>
      <c r="D553">
        <v>19</v>
      </c>
      <c r="E553">
        <v>30</v>
      </c>
      <c r="F553" s="2" t="s">
        <v>51</v>
      </c>
      <c r="G553" s="2" t="s">
        <v>29</v>
      </c>
      <c r="H553">
        <v>0.05</v>
      </c>
      <c r="I553" s="2" t="s">
        <v>42</v>
      </c>
      <c r="J553" s="2" t="s">
        <v>56</v>
      </c>
      <c r="K553">
        <v>0</v>
      </c>
      <c r="L553" s="2" t="s">
        <v>1132</v>
      </c>
      <c r="M553" s="2" t="s">
        <v>1133</v>
      </c>
      <c r="N553">
        <v>48.33</v>
      </c>
      <c r="O553" s="1">
        <v>45281</v>
      </c>
      <c r="P553" s="1">
        <v>45291</v>
      </c>
      <c r="Q553" s="2" t="s">
        <v>34</v>
      </c>
      <c r="R553" s="2">
        <v>542</v>
      </c>
    </row>
    <row r="554" spans="1:18" x14ac:dyDescent="0.25">
      <c r="A554" s="1">
        <v>45486</v>
      </c>
      <c r="B554" s="2" t="s">
        <v>35</v>
      </c>
      <c r="C554" s="2" t="s">
        <v>50</v>
      </c>
      <c r="D554">
        <v>15</v>
      </c>
      <c r="E554">
        <v>369</v>
      </c>
      <c r="F554" s="2" t="s">
        <v>46</v>
      </c>
      <c r="G554" s="2" t="s">
        <v>20</v>
      </c>
      <c r="H554">
        <v>0.1</v>
      </c>
      <c r="I554" s="2" t="s">
        <v>62</v>
      </c>
      <c r="J554" s="2" t="s">
        <v>31</v>
      </c>
      <c r="K554">
        <v>0</v>
      </c>
      <c r="L554" s="2" t="s">
        <v>1134</v>
      </c>
      <c r="M554" s="2" t="s">
        <v>1135</v>
      </c>
      <c r="N554">
        <v>16.899999999999999</v>
      </c>
      <c r="O554" s="1">
        <v>45486</v>
      </c>
      <c r="P554" s="1">
        <v>45488</v>
      </c>
      <c r="Q554" s="2" t="s">
        <v>39</v>
      </c>
      <c r="R554" s="2">
        <v>4982</v>
      </c>
    </row>
    <row r="555" spans="1:18" x14ac:dyDescent="0.25">
      <c r="A555" s="1">
        <v>45374</v>
      </c>
      <c r="B555" s="2" t="s">
        <v>65</v>
      </c>
      <c r="C555" s="2" t="s">
        <v>50</v>
      </c>
      <c r="D555">
        <v>4</v>
      </c>
      <c r="E555">
        <v>56</v>
      </c>
      <c r="F555" s="2" t="s">
        <v>51</v>
      </c>
      <c r="G555" s="2" t="s">
        <v>29</v>
      </c>
      <c r="H555">
        <v>0.15</v>
      </c>
      <c r="I555" s="2" t="s">
        <v>47</v>
      </c>
      <c r="J555" s="2" t="s">
        <v>59</v>
      </c>
      <c r="K555">
        <v>0</v>
      </c>
      <c r="L555" s="2" t="s">
        <v>1136</v>
      </c>
      <c r="M555" s="2" t="s">
        <v>1137</v>
      </c>
      <c r="N555">
        <v>10.77</v>
      </c>
      <c r="O555" s="1">
        <v>45374</v>
      </c>
      <c r="P555" s="1">
        <v>45383</v>
      </c>
      <c r="Q555" s="2" t="s">
        <v>68</v>
      </c>
      <c r="R555" s="2">
        <v>190</v>
      </c>
    </row>
    <row r="556" spans="1:18" x14ac:dyDescent="0.25">
      <c r="A556" s="1">
        <v>45370</v>
      </c>
      <c r="B556" s="2" t="s">
        <v>65</v>
      </c>
      <c r="C556" s="2" t="s">
        <v>41</v>
      </c>
      <c r="D556">
        <v>7</v>
      </c>
      <c r="E556">
        <v>16</v>
      </c>
      <c r="F556" s="2" t="s">
        <v>51</v>
      </c>
      <c r="G556" s="2" t="s">
        <v>20</v>
      </c>
      <c r="H556">
        <v>0</v>
      </c>
      <c r="I556" s="2" t="s">
        <v>47</v>
      </c>
      <c r="J556" s="2" t="s">
        <v>56</v>
      </c>
      <c r="K556">
        <v>0</v>
      </c>
      <c r="L556" s="2" t="s">
        <v>1138</v>
      </c>
      <c r="M556" s="2" t="s">
        <v>1139</v>
      </c>
      <c r="N556">
        <v>13.28</v>
      </c>
      <c r="O556" s="1">
        <v>45370</v>
      </c>
      <c r="P556" s="1">
        <v>45376</v>
      </c>
      <c r="Q556" s="2" t="s">
        <v>68</v>
      </c>
      <c r="R556" s="2">
        <v>112</v>
      </c>
    </row>
    <row r="557" spans="1:18" x14ac:dyDescent="0.25">
      <c r="A557" s="1">
        <v>45797</v>
      </c>
      <c r="B557" s="2" t="s">
        <v>40</v>
      </c>
      <c r="C557" s="2" t="s">
        <v>75</v>
      </c>
      <c r="D557">
        <v>9</v>
      </c>
      <c r="E557">
        <v>381</v>
      </c>
      <c r="F557" s="2" t="s">
        <v>19</v>
      </c>
      <c r="G557" s="2" t="s">
        <v>20</v>
      </c>
      <c r="H557">
        <v>0</v>
      </c>
      <c r="I557" s="2" t="s">
        <v>47</v>
      </c>
      <c r="J557" s="2" t="s">
        <v>59</v>
      </c>
      <c r="K557">
        <v>0</v>
      </c>
      <c r="L557" s="2" t="s">
        <v>1140</v>
      </c>
      <c r="M557" s="2" t="s">
        <v>821</v>
      </c>
      <c r="N557">
        <v>33.4</v>
      </c>
      <c r="O557" s="1">
        <v>45797</v>
      </c>
      <c r="P557" s="1">
        <v>45806</v>
      </c>
      <c r="Q557" s="2" t="s">
        <v>45</v>
      </c>
      <c r="R557" s="2">
        <v>3429</v>
      </c>
    </row>
    <row r="558" spans="1:18" x14ac:dyDescent="0.25">
      <c r="A558" s="1">
        <v>45676</v>
      </c>
      <c r="B558" s="2" t="s">
        <v>26</v>
      </c>
      <c r="C558" s="2" t="s">
        <v>41</v>
      </c>
      <c r="D558">
        <v>11</v>
      </c>
      <c r="E558">
        <v>587</v>
      </c>
      <c r="F558" s="2" t="s">
        <v>46</v>
      </c>
      <c r="G558" s="2" t="s">
        <v>20</v>
      </c>
      <c r="H558">
        <v>0</v>
      </c>
      <c r="I558" s="2" t="s">
        <v>47</v>
      </c>
      <c r="J558" s="2" t="s">
        <v>56</v>
      </c>
      <c r="K558">
        <v>0</v>
      </c>
      <c r="L558" s="2" t="s">
        <v>1141</v>
      </c>
      <c r="M558" s="2" t="s">
        <v>1142</v>
      </c>
      <c r="N558">
        <v>34.32</v>
      </c>
      <c r="O558" s="1">
        <v>45676</v>
      </c>
      <c r="P558" s="1">
        <v>45683</v>
      </c>
      <c r="Q558" s="2" t="s">
        <v>34</v>
      </c>
      <c r="R558" s="2">
        <v>6457</v>
      </c>
    </row>
    <row r="559" spans="1:18" x14ac:dyDescent="0.25">
      <c r="A559" s="1">
        <v>45074</v>
      </c>
      <c r="B559" s="2" t="s">
        <v>26</v>
      </c>
      <c r="C559" s="2" t="s">
        <v>126</v>
      </c>
      <c r="D559">
        <v>17</v>
      </c>
      <c r="E559">
        <v>554</v>
      </c>
      <c r="F559" s="2" t="s">
        <v>28</v>
      </c>
      <c r="G559" s="2" t="s">
        <v>20</v>
      </c>
      <c r="H559">
        <v>0.1</v>
      </c>
      <c r="I559" s="2" t="s">
        <v>52</v>
      </c>
      <c r="J559" s="2" t="s">
        <v>56</v>
      </c>
      <c r="K559">
        <v>0</v>
      </c>
      <c r="L559" s="2" t="s">
        <v>1143</v>
      </c>
      <c r="M559" s="2" t="s">
        <v>1144</v>
      </c>
      <c r="N559">
        <v>8.66</v>
      </c>
      <c r="O559" s="1">
        <v>45074</v>
      </c>
      <c r="P559" s="1">
        <v>45078</v>
      </c>
      <c r="Q559" s="2" t="s">
        <v>34</v>
      </c>
      <c r="R559" s="2">
        <v>8476</v>
      </c>
    </row>
    <row r="560" spans="1:18" x14ac:dyDescent="0.25">
      <c r="A560" s="1">
        <v>45227</v>
      </c>
      <c r="B560" s="2" t="s">
        <v>17</v>
      </c>
      <c r="C560" s="2" t="s">
        <v>126</v>
      </c>
      <c r="D560">
        <v>3</v>
      </c>
      <c r="E560">
        <v>410</v>
      </c>
      <c r="F560" s="2" t="s">
        <v>28</v>
      </c>
      <c r="G560" s="2" t="s">
        <v>20</v>
      </c>
      <c r="H560">
        <v>0.15</v>
      </c>
      <c r="I560" s="2" t="s">
        <v>52</v>
      </c>
      <c r="J560" s="2" t="s">
        <v>53</v>
      </c>
      <c r="K560">
        <v>0</v>
      </c>
      <c r="L560" s="2" t="s">
        <v>1145</v>
      </c>
      <c r="M560" s="2" t="s">
        <v>1146</v>
      </c>
      <c r="N560">
        <v>6.04</v>
      </c>
      <c r="O560" s="1">
        <v>45227</v>
      </c>
      <c r="P560" s="1">
        <v>45233</v>
      </c>
      <c r="Q560" s="2" t="s">
        <v>25</v>
      </c>
      <c r="R560" s="2">
        <v>1046</v>
      </c>
    </row>
    <row r="561" spans="1:18" x14ac:dyDescent="0.25">
      <c r="A561" s="1">
        <v>45255</v>
      </c>
      <c r="B561" s="2" t="s">
        <v>65</v>
      </c>
      <c r="C561" s="2" t="s">
        <v>50</v>
      </c>
      <c r="D561">
        <v>5</v>
      </c>
      <c r="E561">
        <v>99</v>
      </c>
      <c r="F561" s="2" t="s">
        <v>19</v>
      </c>
      <c r="G561" s="2" t="s">
        <v>29</v>
      </c>
      <c r="H561">
        <v>0</v>
      </c>
      <c r="I561" s="2" t="s">
        <v>21</v>
      </c>
      <c r="J561" s="2" t="s">
        <v>56</v>
      </c>
      <c r="K561">
        <v>0</v>
      </c>
      <c r="L561" s="2" t="s">
        <v>1147</v>
      </c>
      <c r="M561" s="2" t="s">
        <v>1148</v>
      </c>
      <c r="N561">
        <v>37.659999999999997</v>
      </c>
      <c r="O561" s="1">
        <v>45255</v>
      </c>
      <c r="P561" s="1">
        <v>45262</v>
      </c>
      <c r="Q561" s="2" t="s">
        <v>68</v>
      </c>
      <c r="R561" s="2">
        <v>495</v>
      </c>
    </row>
    <row r="562" spans="1:18" x14ac:dyDescent="0.25">
      <c r="A562" s="1">
        <v>45613</v>
      </c>
      <c r="B562" s="2" t="s">
        <v>26</v>
      </c>
      <c r="C562" s="2" t="s">
        <v>50</v>
      </c>
      <c r="D562">
        <v>9</v>
      </c>
      <c r="E562">
        <v>503</v>
      </c>
      <c r="F562" s="2" t="s">
        <v>19</v>
      </c>
      <c r="G562" s="2" t="s">
        <v>20</v>
      </c>
      <c r="H562">
        <v>0</v>
      </c>
      <c r="I562" s="2" t="s">
        <v>52</v>
      </c>
      <c r="J562" s="2" t="s">
        <v>31</v>
      </c>
      <c r="K562">
        <v>1</v>
      </c>
      <c r="L562" s="2" t="s">
        <v>1149</v>
      </c>
      <c r="M562" s="2" t="s">
        <v>1150</v>
      </c>
      <c r="N562">
        <v>46.02</v>
      </c>
      <c r="O562" s="1">
        <v>45613</v>
      </c>
      <c r="P562" s="1">
        <v>45620</v>
      </c>
      <c r="Q562" s="2" t="s">
        <v>34</v>
      </c>
      <c r="R562" s="2">
        <v>4527</v>
      </c>
    </row>
    <row r="563" spans="1:18" x14ac:dyDescent="0.25">
      <c r="A563" s="1">
        <v>45315</v>
      </c>
      <c r="B563" s="2" t="s">
        <v>40</v>
      </c>
      <c r="C563" s="2" t="s">
        <v>50</v>
      </c>
      <c r="D563">
        <v>17</v>
      </c>
      <c r="E563">
        <v>155</v>
      </c>
      <c r="F563" s="2" t="s">
        <v>46</v>
      </c>
      <c r="G563" s="2" t="s">
        <v>29</v>
      </c>
      <c r="H563">
        <v>0.15</v>
      </c>
      <c r="I563" s="2" t="s">
        <v>62</v>
      </c>
      <c r="J563" s="2" t="s">
        <v>53</v>
      </c>
      <c r="K563">
        <v>0</v>
      </c>
      <c r="L563" s="2" t="s">
        <v>1151</v>
      </c>
      <c r="M563" s="2" t="s">
        <v>1152</v>
      </c>
      <c r="N563">
        <v>27.1</v>
      </c>
      <c r="O563" s="1">
        <v>45315</v>
      </c>
      <c r="P563" s="1">
        <v>45320</v>
      </c>
      <c r="Q563" s="2" t="s">
        <v>45</v>
      </c>
      <c r="R563" s="2">
        <v>2240</v>
      </c>
    </row>
    <row r="564" spans="1:18" x14ac:dyDescent="0.25">
      <c r="A564" s="1">
        <v>45096</v>
      </c>
      <c r="B564" s="2" t="s">
        <v>35</v>
      </c>
      <c r="C564" s="2" t="s">
        <v>41</v>
      </c>
      <c r="D564">
        <v>7</v>
      </c>
      <c r="E564">
        <v>304</v>
      </c>
      <c r="F564" s="2" t="s">
        <v>51</v>
      </c>
      <c r="G564" s="2" t="s">
        <v>20</v>
      </c>
      <c r="H564">
        <v>0.15</v>
      </c>
      <c r="I564" s="2" t="s">
        <v>42</v>
      </c>
      <c r="J564" s="2" t="s">
        <v>53</v>
      </c>
      <c r="K564">
        <v>0</v>
      </c>
      <c r="L564" s="2" t="s">
        <v>1153</v>
      </c>
      <c r="M564" s="2" t="s">
        <v>1154</v>
      </c>
      <c r="N564">
        <v>38.85</v>
      </c>
      <c r="O564" s="1">
        <v>45096</v>
      </c>
      <c r="P564" s="1">
        <v>45106</v>
      </c>
      <c r="Q564" s="2" t="s">
        <v>39</v>
      </c>
      <c r="R564" s="2">
        <v>1809</v>
      </c>
    </row>
    <row r="565" spans="1:18" x14ac:dyDescent="0.25">
      <c r="A565" s="1">
        <v>45670</v>
      </c>
      <c r="B565" s="2" t="s">
        <v>17</v>
      </c>
      <c r="C565" s="2" t="s">
        <v>27</v>
      </c>
      <c r="D565">
        <v>17</v>
      </c>
      <c r="E565">
        <v>264</v>
      </c>
      <c r="F565" s="2" t="s">
        <v>19</v>
      </c>
      <c r="G565" s="2" t="s">
        <v>29</v>
      </c>
      <c r="H565">
        <v>0</v>
      </c>
      <c r="I565" s="2" t="s">
        <v>30</v>
      </c>
      <c r="J565" s="2" t="s">
        <v>22</v>
      </c>
      <c r="K565">
        <v>1</v>
      </c>
      <c r="L565" s="2" t="s">
        <v>1155</v>
      </c>
      <c r="M565" s="2" t="s">
        <v>1156</v>
      </c>
      <c r="N565">
        <v>12.97</v>
      </c>
      <c r="O565" s="1">
        <v>45670</v>
      </c>
      <c r="P565" s="1">
        <v>45675</v>
      </c>
      <c r="Q565" s="2" t="s">
        <v>25</v>
      </c>
      <c r="R565" s="2">
        <v>4488</v>
      </c>
    </row>
    <row r="566" spans="1:18" x14ac:dyDescent="0.25">
      <c r="A566" s="1">
        <v>45315</v>
      </c>
      <c r="B566" s="2" t="s">
        <v>17</v>
      </c>
      <c r="C566" s="2" t="s">
        <v>27</v>
      </c>
      <c r="D566">
        <v>4</v>
      </c>
      <c r="E566">
        <v>180</v>
      </c>
      <c r="F566" s="2" t="s">
        <v>51</v>
      </c>
      <c r="G566" s="2" t="s">
        <v>29</v>
      </c>
      <c r="H566">
        <v>0.1</v>
      </c>
      <c r="I566" s="2" t="s">
        <v>52</v>
      </c>
      <c r="J566" s="2" t="s">
        <v>22</v>
      </c>
      <c r="K566">
        <v>0</v>
      </c>
      <c r="L566" s="2" t="s">
        <v>1157</v>
      </c>
      <c r="M566" s="2" t="s">
        <v>1158</v>
      </c>
      <c r="N566">
        <v>35.26</v>
      </c>
      <c r="O566" s="1">
        <v>45315</v>
      </c>
      <c r="P566" s="1">
        <v>45323</v>
      </c>
      <c r="Q566" s="2" t="s">
        <v>25</v>
      </c>
      <c r="R566" s="2">
        <v>648</v>
      </c>
    </row>
    <row r="567" spans="1:18" x14ac:dyDescent="0.25">
      <c r="A567" s="1">
        <v>45663</v>
      </c>
      <c r="B567" s="2" t="s">
        <v>26</v>
      </c>
      <c r="C567" s="2" t="s">
        <v>126</v>
      </c>
      <c r="D567">
        <v>2</v>
      </c>
      <c r="E567">
        <v>264</v>
      </c>
      <c r="F567" s="2" t="s">
        <v>51</v>
      </c>
      <c r="G567" s="2" t="s">
        <v>29</v>
      </c>
      <c r="H567">
        <v>0</v>
      </c>
      <c r="I567" s="2" t="s">
        <v>62</v>
      </c>
      <c r="J567" s="2" t="s">
        <v>31</v>
      </c>
      <c r="K567">
        <v>0</v>
      </c>
      <c r="L567" s="2" t="s">
        <v>1159</v>
      </c>
      <c r="M567" s="2" t="s">
        <v>1160</v>
      </c>
      <c r="N567">
        <v>26.73</v>
      </c>
      <c r="O567" s="1">
        <v>45663</v>
      </c>
      <c r="P567" s="1">
        <v>45671</v>
      </c>
      <c r="Q567" s="2" t="s">
        <v>34</v>
      </c>
      <c r="R567" s="2">
        <v>528</v>
      </c>
    </row>
    <row r="568" spans="1:18" x14ac:dyDescent="0.25">
      <c r="A568" s="1">
        <v>45659</v>
      </c>
      <c r="B568" s="2" t="s">
        <v>40</v>
      </c>
      <c r="C568" s="2" t="s">
        <v>18</v>
      </c>
      <c r="D568">
        <v>4</v>
      </c>
      <c r="E568">
        <v>404</v>
      </c>
      <c r="F568" s="2" t="s">
        <v>28</v>
      </c>
      <c r="G568" s="2" t="s">
        <v>20</v>
      </c>
      <c r="H568">
        <v>0.05</v>
      </c>
      <c r="I568" s="2" t="s">
        <v>30</v>
      </c>
      <c r="J568" s="2" t="s">
        <v>59</v>
      </c>
      <c r="K568">
        <v>0</v>
      </c>
      <c r="L568" s="2" t="s">
        <v>1161</v>
      </c>
      <c r="M568" s="2" t="s">
        <v>1162</v>
      </c>
      <c r="N568">
        <v>39.92</v>
      </c>
      <c r="O568" s="1">
        <v>45659</v>
      </c>
      <c r="P568" s="1">
        <v>45666</v>
      </c>
      <c r="Q568" s="2" t="s">
        <v>45</v>
      </c>
      <c r="R568" s="2">
        <v>1535</v>
      </c>
    </row>
    <row r="569" spans="1:18" x14ac:dyDescent="0.25">
      <c r="A569" s="1">
        <v>44979</v>
      </c>
      <c r="B569" s="2" t="s">
        <v>35</v>
      </c>
      <c r="C569" s="2" t="s">
        <v>36</v>
      </c>
      <c r="D569">
        <v>4</v>
      </c>
      <c r="E569">
        <v>86</v>
      </c>
      <c r="F569" s="2" t="s">
        <v>28</v>
      </c>
      <c r="G569" s="2" t="s">
        <v>29</v>
      </c>
      <c r="H569">
        <v>0.1</v>
      </c>
      <c r="I569" s="2" t="s">
        <v>42</v>
      </c>
      <c r="J569" s="2" t="s">
        <v>53</v>
      </c>
      <c r="K569">
        <v>0</v>
      </c>
      <c r="L569" s="2" t="s">
        <v>1163</v>
      </c>
      <c r="M569" s="2" t="s">
        <v>1164</v>
      </c>
      <c r="N569">
        <v>32.119999999999997</v>
      </c>
      <c r="O569" s="1">
        <v>44979</v>
      </c>
      <c r="P569" s="1">
        <v>44988</v>
      </c>
      <c r="Q569" s="2" t="s">
        <v>39</v>
      </c>
      <c r="R569" s="2">
        <v>310</v>
      </c>
    </row>
    <row r="570" spans="1:18" x14ac:dyDescent="0.25">
      <c r="A570" s="1">
        <v>45694</v>
      </c>
      <c r="B570" s="2" t="s">
        <v>17</v>
      </c>
      <c r="C570" s="2" t="s">
        <v>36</v>
      </c>
      <c r="D570">
        <v>2</v>
      </c>
      <c r="E570">
        <v>93</v>
      </c>
      <c r="F570" s="2" t="s">
        <v>28</v>
      </c>
      <c r="G570" s="2" t="s">
        <v>20</v>
      </c>
      <c r="H570">
        <v>0.1</v>
      </c>
      <c r="I570" s="2" t="s">
        <v>30</v>
      </c>
      <c r="J570" s="2" t="s">
        <v>56</v>
      </c>
      <c r="K570">
        <v>0</v>
      </c>
      <c r="L570" s="2" t="s">
        <v>1165</v>
      </c>
      <c r="M570" s="2" t="s">
        <v>1166</v>
      </c>
      <c r="N570">
        <v>26.31</v>
      </c>
      <c r="O570" s="1">
        <v>45694</v>
      </c>
      <c r="P570" s="1">
        <v>45704</v>
      </c>
      <c r="Q570" s="2" t="s">
        <v>25</v>
      </c>
      <c r="R570" s="2">
        <v>167</v>
      </c>
    </row>
    <row r="571" spans="1:18" x14ac:dyDescent="0.25">
      <c r="A571" s="1">
        <v>45561</v>
      </c>
      <c r="B571" s="2" t="s">
        <v>17</v>
      </c>
      <c r="C571" s="2" t="s">
        <v>36</v>
      </c>
      <c r="D571">
        <v>11</v>
      </c>
      <c r="E571">
        <v>144</v>
      </c>
      <c r="F571" s="2" t="s">
        <v>19</v>
      </c>
      <c r="G571" s="2" t="s">
        <v>29</v>
      </c>
      <c r="H571">
        <v>0.05</v>
      </c>
      <c r="I571" s="2" t="s">
        <v>62</v>
      </c>
      <c r="J571" s="2" t="s">
        <v>53</v>
      </c>
      <c r="K571">
        <v>0</v>
      </c>
      <c r="L571" s="2" t="s">
        <v>1167</v>
      </c>
      <c r="M571" s="2" t="s">
        <v>879</v>
      </c>
      <c r="N571">
        <v>11.91</v>
      </c>
      <c r="O571" s="1">
        <v>45561</v>
      </c>
      <c r="P571" s="1">
        <v>45565</v>
      </c>
      <c r="Q571" s="2" t="s">
        <v>25</v>
      </c>
      <c r="R571" s="2">
        <v>1505</v>
      </c>
    </row>
    <row r="572" spans="1:18" x14ac:dyDescent="0.25">
      <c r="A572" s="1">
        <v>45744</v>
      </c>
      <c r="B572" s="2" t="s">
        <v>35</v>
      </c>
      <c r="C572" s="2" t="s">
        <v>41</v>
      </c>
      <c r="D572">
        <v>18</v>
      </c>
      <c r="E572">
        <v>553</v>
      </c>
      <c r="F572" s="2" t="s">
        <v>51</v>
      </c>
      <c r="G572" s="2" t="s">
        <v>20</v>
      </c>
      <c r="H572">
        <v>0</v>
      </c>
      <c r="I572" s="2" t="s">
        <v>42</v>
      </c>
      <c r="J572" s="2" t="s">
        <v>59</v>
      </c>
      <c r="K572">
        <v>0</v>
      </c>
      <c r="L572" s="2" t="s">
        <v>1168</v>
      </c>
      <c r="M572" s="2" t="s">
        <v>1169</v>
      </c>
      <c r="N572">
        <v>31.76</v>
      </c>
      <c r="O572" s="1">
        <v>45744</v>
      </c>
      <c r="P572" s="1">
        <v>45748</v>
      </c>
      <c r="Q572" s="2" t="s">
        <v>39</v>
      </c>
      <c r="R572" s="2">
        <v>9954</v>
      </c>
    </row>
    <row r="573" spans="1:18" x14ac:dyDescent="0.25">
      <c r="A573" s="1">
        <v>45108</v>
      </c>
      <c r="B573" s="2" t="s">
        <v>17</v>
      </c>
      <c r="C573" s="2" t="s">
        <v>41</v>
      </c>
      <c r="D573">
        <v>9</v>
      </c>
      <c r="E573">
        <v>228</v>
      </c>
      <c r="F573" s="2" t="s">
        <v>19</v>
      </c>
      <c r="G573" s="2" t="s">
        <v>29</v>
      </c>
      <c r="H573">
        <v>0.05</v>
      </c>
      <c r="I573" s="2" t="s">
        <v>21</v>
      </c>
      <c r="J573" s="2" t="s">
        <v>56</v>
      </c>
      <c r="K573">
        <v>0</v>
      </c>
      <c r="L573" s="2" t="s">
        <v>1170</v>
      </c>
      <c r="M573" s="2" t="s">
        <v>1171</v>
      </c>
      <c r="N573">
        <v>8.75</v>
      </c>
      <c r="O573" s="1">
        <v>45108</v>
      </c>
      <c r="P573" s="1">
        <v>45116</v>
      </c>
      <c r="Q573" s="2" t="s">
        <v>25</v>
      </c>
      <c r="R573" s="2">
        <v>1949</v>
      </c>
    </row>
    <row r="574" spans="1:18" x14ac:dyDescent="0.25">
      <c r="A574" s="1">
        <v>45045</v>
      </c>
      <c r="B574" s="2" t="s">
        <v>65</v>
      </c>
      <c r="C574" s="2" t="s">
        <v>36</v>
      </c>
      <c r="D574">
        <v>7</v>
      </c>
      <c r="E574">
        <v>236</v>
      </c>
      <c r="F574" s="2" t="s">
        <v>51</v>
      </c>
      <c r="G574" s="2" t="s">
        <v>20</v>
      </c>
      <c r="H574">
        <v>0.1</v>
      </c>
      <c r="I574" s="2" t="s">
        <v>30</v>
      </c>
      <c r="J574" s="2" t="s">
        <v>31</v>
      </c>
      <c r="K574">
        <v>0</v>
      </c>
      <c r="L574" s="2" t="s">
        <v>1172</v>
      </c>
      <c r="M574" s="2" t="s">
        <v>1173</v>
      </c>
      <c r="N574">
        <v>8.44</v>
      </c>
      <c r="O574" s="1">
        <v>45045</v>
      </c>
      <c r="P574" s="1">
        <v>45050</v>
      </c>
      <c r="Q574" s="2" t="s">
        <v>68</v>
      </c>
      <c r="R574" s="2">
        <v>1487</v>
      </c>
    </row>
    <row r="575" spans="1:18" x14ac:dyDescent="0.25">
      <c r="A575" s="1">
        <v>45046</v>
      </c>
      <c r="B575" s="2" t="s">
        <v>17</v>
      </c>
      <c r="C575" s="2" t="s">
        <v>126</v>
      </c>
      <c r="D575">
        <v>17</v>
      </c>
      <c r="E575">
        <v>370</v>
      </c>
      <c r="F575" s="2" t="s">
        <v>46</v>
      </c>
      <c r="G575" s="2" t="s">
        <v>20</v>
      </c>
      <c r="H575">
        <v>0</v>
      </c>
      <c r="I575" s="2" t="s">
        <v>47</v>
      </c>
      <c r="J575" s="2" t="s">
        <v>31</v>
      </c>
      <c r="K575">
        <v>0</v>
      </c>
      <c r="L575" s="2" t="s">
        <v>1174</v>
      </c>
      <c r="M575" s="2" t="s">
        <v>1175</v>
      </c>
      <c r="N575">
        <v>17.12</v>
      </c>
      <c r="O575" s="1">
        <v>45046</v>
      </c>
      <c r="P575" s="1">
        <v>45052</v>
      </c>
      <c r="Q575" s="2" t="s">
        <v>25</v>
      </c>
      <c r="R575" s="2">
        <v>6290</v>
      </c>
    </row>
    <row r="576" spans="1:18" x14ac:dyDescent="0.25">
      <c r="A576" s="1">
        <v>45365</v>
      </c>
      <c r="B576" s="2" t="s">
        <v>65</v>
      </c>
      <c r="C576" s="2" t="s">
        <v>27</v>
      </c>
      <c r="D576">
        <v>8</v>
      </c>
      <c r="E576">
        <v>142</v>
      </c>
      <c r="F576" s="2" t="s">
        <v>28</v>
      </c>
      <c r="G576" s="2" t="s">
        <v>20</v>
      </c>
      <c r="H576">
        <v>0</v>
      </c>
      <c r="I576" s="2" t="s">
        <v>21</v>
      </c>
      <c r="J576" s="2" t="s">
        <v>53</v>
      </c>
      <c r="K576">
        <v>0</v>
      </c>
      <c r="L576" s="2" t="s">
        <v>1176</v>
      </c>
      <c r="M576" s="2" t="s">
        <v>1177</v>
      </c>
      <c r="N576">
        <v>38.97</v>
      </c>
      <c r="O576" s="1">
        <v>45365</v>
      </c>
      <c r="P576" s="1">
        <v>45371</v>
      </c>
      <c r="Q576" s="2" t="s">
        <v>68</v>
      </c>
      <c r="R576" s="2">
        <v>1136</v>
      </c>
    </row>
    <row r="577" spans="1:18" x14ac:dyDescent="0.25">
      <c r="A577" s="1">
        <v>45104</v>
      </c>
      <c r="B577" s="2" t="s">
        <v>40</v>
      </c>
      <c r="C577" s="2" t="s">
        <v>41</v>
      </c>
      <c r="D577">
        <v>3</v>
      </c>
      <c r="E577">
        <v>498</v>
      </c>
      <c r="F577" s="2" t="s">
        <v>19</v>
      </c>
      <c r="G577" s="2" t="s">
        <v>20</v>
      </c>
      <c r="H577">
        <v>0.15</v>
      </c>
      <c r="I577" s="2" t="s">
        <v>30</v>
      </c>
      <c r="J577" s="2" t="s">
        <v>59</v>
      </c>
      <c r="K577">
        <v>1</v>
      </c>
      <c r="L577" s="2" t="s">
        <v>1178</v>
      </c>
      <c r="M577" s="2" t="s">
        <v>1179</v>
      </c>
      <c r="N577">
        <v>13.97</v>
      </c>
      <c r="O577" s="1">
        <v>45104</v>
      </c>
      <c r="P577" s="1">
        <v>45109</v>
      </c>
      <c r="Q577" s="2" t="s">
        <v>45</v>
      </c>
      <c r="R577" s="2">
        <v>1270</v>
      </c>
    </row>
    <row r="578" spans="1:18" x14ac:dyDescent="0.25">
      <c r="A578" s="1">
        <v>45392</v>
      </c>
      <c r="B578" s="2" t="s">
        <v>35</v>
      </c>
      <c r="C578" s="2" t="s">
        <v>18</v>
      </c>
      <c r="D578">
        <v>19</v>
      </c>
      <c r="E578">
        <v>9</v>
      </c>
      <c r="F578" s="2" t="s">
        <v>28</v>
      </c>
      <c r="G578" s="2" t="s">
        <v>20</v>
      </c>
      <c r="H578">
        <v>0</v>
      </c>
      <c r="I578" s="2" t="s">
        <v>47</v>
      </c>
      <c r="J578" s="2" t="s">
        <v>22</v>
      </c>
      <c r="K578">
        <v>0</v>
      </c>
      <c r="L578" s="2" t="s">
        <v>1180</v>
      </c>
      <c r="M578" s="2" t="s">
        <v>1181</v>
      </c>
      <c r="N578">
        <v>22.33</v>
      </c>
      <c r="O578" s="1">
        <v>45392</v>
      </c>
      <c r="P578" s="1">
        <v>45394</v>
      </c>
      <c r="Q578" s="2" t="s">
        <v>39</v>
      </c>
      <c r="R578" s="2">
        <v>171</v>
      </c>
    </row>
    <row r="579" spans="1:18" x14ac:dyDescent="0.25">
      <c r="A579" s="1">
        <v>45168</v>
      </c>
      <c r="B579" s="2" t="s">
        <v>40</v>
      </c>
      <c r="C579" s="2" t="s">
        <v>126</v>
      </c>
      <c r="D579">
        <v>8</v>
      </c>
      <c r="E579">
        <v>55</v>
      </c>
      <c r="F579" s="2" t="s">
        <v>28</v>
      </c>
      <c r="G579" s="2" t="s">
        <v>20</v>
      </c>
      <c r="H579">
        <v>0.15</v>
      </c>
      <c r="I579" s="2" t="s">
        <v>62</v>
      </c>
      <c r="J579" s="2" t="s">
        <v>59</v>
      </c>
      <c r="K579">
        <v>0</v>
      </c>
      <c r="L579" s="2" t="s">
        <v>1182</v>
      </c>
      <c r="M579" s="2" t="s">
        <v>1183</v>
      </c>
      <c r="N579">
        <v>16.84</v>
      </c>
      <c r="O579" s="1">
        <v>45168</v>
      </c>
      <c r="P579" s="1">
        <v>45170</v>
      </c>
      <c r="Q579" s="2" t="s">
        <v>45</v>
      </c>
      <c r="R579" s="2">
        <v>374</v>
      </c>
    </row>
    <row r="580" spans="1:18" x14ac:dyDescent="0.25">
      <c r="A580" s="1">
        <v>45222</v>
      </c>
      <c r="B580" s="2" t="s">
        <v>65</v>
      </c>
      <c r="C580" s="2" t="s">
        <v>18</v>
      </c>
      <c r="D580">
        <v>17</v>
      </c>
      <c r="E580">
        <v>26</v>
      </c>
      <c r="F580" s="2" t="s">
        <v>19</v>
      </c>
      <c r="G580" s="2" t="s">
        <v>20</v>
      </c>
      <c r="H580">
        <v>0.05</v>
      </c>
      <c r="I580" s="2" t="s">
        <v>62</v>
      </c>
      <c r="J580" s="2" t="s">
        <v>31</v>
      </c>
      <c r="K580">
        <v>0</v>
      </c>
      <c r="L580" s="2" t="s">
        <v>1184</v>
      </c>
      <c r="M580" s="2" t="s">
        <v>1185</v>
      </c>
      <c r="N580">
        <v>27.68</v>
      </c>
      <c r="O580" s="1">
        <v>45222</v>
      </c>
      <c r="P580" s="1">
        <v>45229</v>
      </c>
      <c r="Q580" s="2" t="s">
        <v>68</v>
      </c>
      <c r="R580" s="2">
        <v>420</v>
      </c>
    </row>
    <row r="581" spans="1:18" x14ac:dyDescent="0.25">
      <c r="A581" s="1">
        <v>45008</v>
      </c>
      <c r="B581" s="2" t="s">
        <v>35</v>
      </c>
      <c r="C581" s="2" t="s">
        <v>36</v>
      </c>
      <c r="D581">
        <v>18</v>
      </c>
      <c r="E581">
        <v>210</v>
      </c>
      <c r="F581" s="2" t="s">
        <v>28</v>
      </c>
      <c r="G581" s="2" t="s">
        <v>20</v>
      </c>
      <c r="H581">
        <v>0.1</v>
      </c>
      <c r="I581" s="2" t="s">
        <v>47</v>
      </c>
      <c r="J581" s="2" t="s">
        <v>56</v>
      </c>
      <c r="K581">
        <v>0</v>
      </c>
      <c r="L581" s="2" t="s">
        <v>1186</v>
      </c>
      <c r="M581" s="2" t="s">
        <v>1187</v>
      </c>
      <c r="N581">
        <v>42.04</v>
      </c>
      <c r="O581" s="1">
        <v>45008</v>
      </c>
      <c r="P581" s="1">
        <v>45015</v>
      </c>
      <c r="Q581" s="2" t="s">
        <v>39</v>
      </c>
      <c r="R581" s="2">
        <v>3402</v>
      </c>
    </row>
    <row r="582" spans="1:18" x14ac:dyDescent="0.25">
      <c r="A582" s="1">
        <v>45556</v>
      </c>
      <c r="B582" s="2" t="s">
        <v>40</v>
      </c>
      <c r="C582" s="2" t="s">
        <v>18</v>
      </c>
      <c r="D582">
        <v>13</v>
      </c>
      <c r="E582">
        <v>76</v>
      </c>
      <c r="F582" s="2" t="s">
        <v>19</v>
      </c>
      <c r="G582" s="2" t="s">
        <v>20</v>
      </c>
      <c r="H582">
        <v>0.15</v>
      </c>
      <c r="I582" s="2" t="s">
        <v>42</v>
      </c>
      <c r="J582" s="2" t="s">
        <v>56</v>
      </c>
      <c r="K582">
        <v>0</v>
      </c>
      <c r="L582" s="2" t="s">
        <v>1188</v>
      </c>
      <c r="M582" s="2" t="s">
        <v>1189</v>
      </c>
      <c r="N582">
        <v>41.94</v>
      </c>
      <c r="O582" s="1">
        <v>45556</v>
      </c>
      <c r="P582" s="1">
        <v>45565</v>
      </c>
      <c r="Q582" s="2" t="s">
        <v>45</v>
      </c>
      <c r="R582" s="2">
        <v>840</v>
      </c>
    </row>
    <row r="583" spans="1:18" x14ac:dyDescent="0.25">
      <c r="A583" s="1">
        <v>45652</v>
      </c>
      <c r="B583" s="2" t="s">
        <v>65</v>
      </c>
      <c r="C583" s="2" t="s">
        <v>75</v>
      </c>
      <c r="D583">
        <v>5</v>
      </c>
      <c r="E583">
        <v>308</v>
      </c>
      <c r="F583" s="2" t="s">
        <v>19</v>
      </c>
      <c r="G583" s="2" t="s">
        <v>20</v>
      </c>
      <c r="H583">
        <v>0.1</v>
      </c>
      <c r="I583" s="2" t="s">
        <v>62</v>
      </c>
      <c r="J583" s="2" t="s">
        <v>22</v>
      </c>
      <c r="K583">
        <v>0</v>
      </c>
      <c r="L583" s="2" t="s">
        <v>1190</v>
      </c>
      <c r="M583" s="2" t="s">
        <v>1191</v>
      </c>
      <c r="N583">
        <v>13.61</v>
      </c>
      <c r="O583" s="1">
        <v>45652</v>
      </c>
      <c r="P583" s="1">
        <v>45660</v>
      </c>
      <c r="Q583" s="2" t="s">
        <v>68</v>
      </c>
      <c r="R583" s="2">
        <v>1386</v>
      </c>
    </row>
    <row r="584" spans="1:18" x14ac:dyDescent="0.25">
      <c r="A584" s="1">
        <v>44983</v>
      </c>
      <c r="B584" s="2" t="s">
        <v>17</v>
      </c>
      <c r="C584" s="2" t="s">
        <v>27</v>
      </c>
      <c r="D584">
        <v>13</v>
      </c>
      <c r="E584">
        <v>6</v>
      </c>
      <c r="F584" s="2" t="s">
        <v>28</v>
      </c>
      <c r="G584" s="2" t="s">
        <v>20</v>
      </c>
      <c r="H584">
        <v>0</v>
      </c>
      <c r="I584" s="2" t="s">
        <v>52</v>
      </c>
      <c r="J584" s="2" t="s">
        <v>59</v>
      </c>
      <c r="K584">
        <v>0</v>
      </c>
      <c r="L584" s="2" t="s">
        <v>1192</v>
      </c>
      <c r="M584" s="2" t="s">
        <v>1193</v>
      </c>
      <c r="N584">
        <v>20.02</v>
      </c>
      <c r="O584" s="1">
        <v>44983</v>
      </c>
      <c r="P584" s="1">
        <v>44988</v>
      </c>
      <c r="Q584" s="2" t="s">
        <v>25</v>
      </c>
      <c r="R584" s="2">
        <v>78</v>
      </c>
    </row>
    <row r="585" spans="1:18" x14ac:dyDescent="0.25">
      <c r="A585" s="1">
        <v>45636</v>
      </c>
      <c r="B585" s="2" t="s">
        <v>35</v>
      </c>
      <c r="C585" s="2" t="s">
        <v>50</v>
      </c>
      <c r="D585">
        <v>8</v>
      </c>
      <c r="E585">
        <v>71</v>
      </c>
      <c r="F585" s="2" t="s">
        <v>19</v>
      </c>
      <c r="G585" s="2" t="s">
        <v>20</v>
      </c>
      <c r="H585">
        <v>0</v>
      </c>
      <c r="I585" s="2" t="s">
        <v>52</v>
      </c>
      <c r="J585" s="2" t="s">
        <v>22</v>
      </c>
      <c r="K585">
        <v>0</v>
      </c>
      <c r="L585" s="2" t="s">
        <v>1194</v>
      </c>
      <c r="M585" s="2" t="s">
        <v>1195</v>
      </c>
      <c r="N585">
        <v>46.35</v>
      </c>
      <c r="O585" s="1">
        <v>45636</v>
      </c>
      <c r="P585" s="1">
        <v>45640</v>
      </c>
      <c r="Q585" s="2" t="s">
        <v>39</v>
      </c>
      <c r="R585" s="2">
        <v>568</v>
      </c>
    </row>
    <row r="586" spans="1:18" x14ac:dyDescent="0.25">
      <c r="A586" s="1">
        <v>45658</v>
      </c>
      <c r="B586" s="2" t="s">
        <v>17</v>
      </c>
      <c r="C586" s="2" t="s">
        <v>18</v>
      </c>
      <c r="D586">
        <v>17</v>
      </c>
      <c r="E586">
        <v>585</v>
      </c>
      <c r="F586" s="2" t="s">
        <v>51</v>
      </c>
      <c r="G586" s="2" t="s">
        <v>29</v>
      </c>
      <c r="H586">
        <v>0.1</v>
      </c>
      <c r="I586" s="2" t="s">
        <v>21</v>
      </c>
      <c r="J586" s="2" t="s">
        <v>22</v>
      </c>
      <c r="K586">
        <v>1</v>
      </c>
      <c r="L586" s="2" t="s">
        <v>1196</v>
      </c>
      <c r="M586" s="2" t="s">
        <v>1197</v>
      </c>
      <c r="N586">
        <v>46.59</v>
      </c>
      <c r="O586" s="1">
        <v>45658</v>
      </c>
      <c r="P586" s="1">
        <v>45660</v>
      </c>
      <c r="Q586" s="2" t="s">
        <v>25</v>
      </c>
      <c r="R586" s="2">
        <v>8950</v>
      </c>
    </row>
    <row r="587" spans="1:18" x14ac:dyDescent="0.25">
      <c r="A587" s="1">
        <v>45730</v>
      </c>
      <c r="B587" s="2" t="s">
        <v>17</v>
      </c>
      <c r="C587" s="2" t="s">
        <v>27</v>
      </c>
      <c r="D587">
        <v>4</v>
      </c>
      <c r="E587">
        <v>23</v>
      </c>
      <c r="F587" s="2" t="s">
        <v>46</v>
      </c>
      <c r="G587" s="2" t="s">
        <v>20</v>
      </c>
      <c r="H587">
        <v>0.15</v>
      </c>
      <c r="I587" s="2" t="s">
        <v>52</v>
      </c>
      <c r="J587" s="2" t="s">
        <v>22</v>
      </c>
      <c r="K587">
        <v>0</v>
      </c>
      <c r="L587" s="2" t="s">
        <v>1198</v>
      </c>
      <c r="M587" s="2" t="s">
        <v>1199</v>
      </c>
      <c r="N587">
        <v>32.86</v>
      </c>
      <c r="O587" s="1">
        <v>45730</v>
      </c>
      <c r="P587" s="1">
        <v>45737</v>
      </c>
      <c r="Q587" s="2" t="s">
        <v>25</v>
      </c>
      <c r="R587" s="2">
        <v>78</v>
      </c>
    </row>
    <row r="588" spans="1:18" x14ac:dyDescent="0.25">
      <c r="A588" s="1">
        <v>45307</v>
      </c>
      <c r="B588" s="2" t="s">
        <v>26</v>
      </c>
      <c r="C588" s="2" t="s">
        <v>75</v>
      </c>
      <c r="D588">
        <v>5</v>
      </c>
      <c r="E588">
        <v>441</v>
      </c>
      <c r="F588" s="2" t="s">
        <v>19</v>
      </c>
      <c r="G588" s="2" t="s">
        <v>20</v>
      </c>
      <c r="H588">
        <v>0.1</v>
      </c>
      <c r="I588" s="2" t="s">
        <v>47</v>
      </c>
      <c r="J588" s="2" t="s">
        <v>31</v>
      </c>
      <c r="K588">
        <v>0</v>
      </c>
      <c r="L588" s="2" t="s">
        <v>1200</v>
      </c>
      <c r="M588" s="2" t="s">
        <v>1201</v>
      </c>
      <c r="N588">
        <v>23.84</v>
      </c>
      <c r="O588" s="1">
        <v>45307</v>
      </c>
      <c r="P588" s="1">
        <v>45311</v>
      </c>
      <c r="Q588" s="2" t="s">
        <v>34</v>
      </c>
      <c r="R588" s="2">
        <v>1984</v>
      </c>
    </row>
    <row r="589" spans="1:18" x14ac:dyDescent="0.25">
      <c r="A589" s="1">
        <v>45401</v>
      </c>
      <c r="B589" s="2" t="s">
        <v>65</v>
      </c>
      <c r="C589" s="2" t="s">
        <v>75</v>
      </c>
      <c r="D589">
        <v>10</v>
      </c>
      <c r="E589">
        <v>278</v>
      </c>
      <c r="F589" s="2" t="s">
        <v>51</v>
      </c>
      <c r="G589" s="2" t="s">
        <v>20</v>
      </c>
      <c r="H589">
        <v>0</v>
      </c>
      <c r="I589" s="2" t="s">
        <v>21</v>
      </c>
      <c r="J589" s="2" t="s">
        <v>53</v>
      </c>
      <c r="K589">
        <v>0</v>
      </c>
      <c r="L589" s="2" t="s">
        <v>1202</v>
      </c>
      <c r="M589" s="2" t="s">
        <v>1203</v>
      </c>
      <c r="N589">
        <v>11.13</v>
      </c>
      <c r="O589" s="1">
        <v>45401</v>
      </c>
      <c r="P589" s="1">
        <v>45407</v>
      </c>
      <c r="Q589" s="2" t="s">
        <v>68</v>
      </c>
      <c r="R589" s="2">
        <v>2780</v>
      </c>
    </row>
    <row r="590" spans="1:18" x14ac:dyDescent="0.25">
      <c r="A590" s="1">
        <v>45268</v>
      </c>
      <c r="B590" s="2" t="s">
        <v>35</v>
      </c>
      <c r="C590" s="2" t="s">
        <v>50</v>
      </c>
      <c r="D590">
        <v>14</v>
      </c>
      <c r="E590">
        <v>382</v>
      </c>
      <c r="F590" s="2" t="s">
        <v>19</v>
      </c>
      <c r="G590" s="2" t="s">
        <v>20</v>
      </c>
      <c r="H590">
        <v>0.05</v>
      </c>
      <c r="I590" s="2" t="s">
        <v>42</v>
      </c>
      <c r="J590" s="2" t="s">
        <v>59</v>
      </c>
      <c r="K590">
        <v>1</v>
      </c>
      <c r="L590" s="2" t="s">
        <v>1204</v>
      </c>
      <c r="M590" s="2" t="s">
        <v>1205</v>
      </c>
      <c r="N590">
        <v>49.12</v>
      </c>
      <c r="O590" s="1">
        <v>45268</v>
      </c>
      <c r="P590" s="1">
        <v>45271</v>
      </c>
      <c r="Q590" s="2" t="s">
        <v>39</v>
      </c>
      <c r="R590" s="2">
        <v>5081</v>
      </c>
    </row>
    <row r="591" spans="1:18" x14ac:dyDescent="0.25">
      <c r="A591" s="1">
        <v>45000</v>
      </c>
      <c r="B591" s="2" t="s">
        <v>35</v>
      </c>
      <c r="C591" s="2" t="s">
        <v>50</v>
      </c>
      <c r="D591">
        <v>14</v>
      </c>
      <c r="E591">
        <v>232</v>
      </c>
      <c r="F591" s="2" t="s">
        <v>51</v>
      </c>
      <c r="G591" s="2" t="s">
        <v>20</v>
      </c>
      <c r="H591">
        <v>0.05</v>
      </c>
      <c r="I591" s="2" t="s">
        <v>52</v>
      </c>
      <c r="J591" s="2" t="s">
        <v>22</v>
      </c>
      <c r="K591">
        <v>1</v>
      </c>
      <c r="L591" s="2" t="s">
        <v>1206</v>
      </c>
      <c r="M591" s="2" t="s">
        <v>1207</v>
      </c>
      <c r="N591">
        <v>5.32</v>
      </c>
      <c r="O591" s="1">
        <v>45000</v>
      </c>
      <c r="P591" s="1">
        <v>45004</v>
      </c>
      <c r="Q591" s="2" t="s">
        <v>39</v>
      </c>
      <c r="R591" s="2">
        <v>3086</v>
      </c>
    </row>
    <row r="592" spans="1:18" x14ac:dyDescent="0.25">
      <c r="A592" s="1">
        <v>45695</v>
      </c>
      <c r="B592" s="2" t="s">
        <v>26</v>
      </c>
      <c r="C592" s="2" t="s">
        <v>18</v>
      </c>
      <c r="D592">
        <v>17</v>
      </c>
      <c r="E592">
        <v>15</v>
      </c>
      <c r="F592" s="2" t="s">
        <v>51</v>
      </c>
      <c r="G592" s="2" t="s">
        <v>20</v>
      </c>
      <c r="H592">
        <v>0.15</v>
      </c>
      <c r="I592" s="2" t="s">
        <v>52</v>
      </c>
      <c r="J592" s="2" t="s">
        <v>56</v>
      </c>
      <c r="K592">
        <v>1</v>
      </c>
      <c r="L592" s="2" t="s">
        <v>1208</v>
      </c>
      <c r="M592" s="2" t="s">
        <v>1209</v>
      </c>
      <c r="N592">
        <v>22</v>
      </c>
      <c r="O592" s="1">
        <v>45695</v>
      </c>
      <c r="P592" s="1">
        <v>45701</v>
      </c>
      <c r="Q592" s="2" t="s">
        <v>34</v>
      </c>
      <c r="R592" s="2">
        <v>217</v>
      </c>
    </row>
    <row r="593" spans="1:18" x14ac:dyDescent="0.25">
      <c r="A593" s="1">
        <v>45835</v>
      </c>
      <c r="B593" s="2" t="s">
        <v>35</v>
      </c>
      <c r="C593" s="2" t="s">
        <v>50</v>
      </c>
      <c r="D593">
        <v>11</v>
      </c>
      <c r="E593">
        <v>29</v>
      </c>
      <c r="F593" s="2" t="s">
        <v>51</v>
      </c>
      <c r="G593" s="2" t="s">
        <v>29</v>
      </c>
      <c r="H593">
        <v>0.05</v>
      </c>
      <c r="I593" s="2" t="s">
        <v>47</v>
      </c>
      <c r="J593" s="2" t="s">
        <v>53</v>
      </c>
      <c r="K593">
        <v>0</v>
      </c>
      <c r="L593" s="2" t="s">
        <v>1210</v>
      </c>
      <c r="M593" s="2" t="s">
        <v>1211</v>
      </c>
      <c r="N593">
        <v>6.16</v>
      </c>
      <c r="O593" s="1">
        <v>45835</v>
      </c>
      <c r="P593" s="1">
        <v>45840</v>
      </c>
      <c r="Q593" s="2" t="s">
        <v>39</v>
      </c>
      <c r="R593" s="2">
        <v>303</v>
      </c>
    </row>
    <row r="594" spans="1:18" x14ac:dyDescent="0.25">
      <c r="A594" s="1">
        <v>45643</v>
      </c>
      <c r="B594" s="2" t="s">
        <v>40</v>
      </c>
      <c r="C594" s="2" t="s">
        <v>75</v>
      </c>
      <c r="D594">
        <v>1</v>
      </c>
      <c r="E594">
        <v>486</v>
      </c>
      <c r="F594" s="2" t="s">
        <v>19</v>
      </c>
      <c r="G594" s="2" t="s">
        <v>29</v>
      </c>
      <c r="H594">
        <v>0.05</v>
      </c>
      <c r="I594" s="2" t="s">
        <v>42</v>
      </c>
      <c r="J594" s="2" t="s">
        <v>22</v>
      </c>
      <c r="K594">
        <v>0</v>
      </c>
      <c r="L594" s="2" t="s">
        <v>1212</v>
      </c>
      <c r="M594" s="2" t="s">
        <v>1213</v>
      </c>
      <c r="N594">
        <v>41.73</v>
      </c>
      <c r="O594" s="1">
        <v>45643</v>
      </c>
      <c r="P594" s="1">
        <v>45646</v>
      </c>
      <c r="Q594" s="2" t="s">
        <v>45</v>
      </c>
      <c r="R594" s="2">
        <v>462</v>
      </c>
    </row>
    <row r="595" spans="1:18" x14ac:dyDescent="0.25">
      <c r="A595" s="1">
        <v>45415</v>
      </c>
      <c r="B595" s="2" t="s">
        <v>26</v>
      </c>
      <c r="C595" s="2" t="s">
        <v>18</v>
      </c>
      <c r="D595">
        <v>6</v>
      </c>
      <c r="E595">
        <v>267</v>
      </c>
      <c r="F595" s="2" t="s">
        <v>19</v>
      </c>
      <c r="G595" s="2" t="s">
        <v>20</v>
      </c>
      <c r="H595">
        <v>0.05</v>
      </c>
      <c r="I595" s="2" t="s">
        <v>21</v>
      </c>
      <c r="J595" s="2" t="s">
        <v>56</v>
      </c>
      <c r="K595">
        <v>0</v>
      </c>
      <c r="L595" s="2" t="s">
        <v>1214</v>
      </c>
      <c r="M595" s="2" t="s">
        <v>1215</v>
      </c>
      <c r="N595">
        <v>48.49</v>
      </c>
      <c r="O595" s="1">
        <v>45415</v>
      </c>
      <c r="P595" s="1">
        <v>45423</v>
      </c>
      <c r="Q595" s="2" t="s">
        <v>34</v>
      </c>
      <c r="R595" s="2">
        <v>1522</v>
      </c>
    </row>
    <row r="596" spans="1:18" x14ac:dyDescent="0.25">
      <c r="A596" s="1">
        <v>45286</v>
      </c>
      <c r="B596" s="2" t="s">
        <v>26</v>
      </c>
      <c r="C596" s="2" t="s">
        <v>126</v>
      </c>
      <c r="D596">
        <v>3</v>
      </c>
      <c r="E596">
        <v>301</v>
      </c>
      <c r="F596" s="2" t="s">
        <v>19</v>
      </c>
      <c r="G596" s="2" t="s">
        <v>20</v>
      </c>
      <c r="H596">
        <v>0.1</v>
      </c>
      <c r="I596" s="2" t="s">
        <v>47</v>
      </c>
      <c r="J596" s="2" t="s">
        <v>59</v>
      </c>
      <c r="K596">
        <v>1</v>
      </c>
      <c r="L596" s="2" t="s">
        <v>1216</v>
      </c>
      <c r="M596" s="2" t="s">
        <v>1024</v>
      </c>
      <c r="N596">
        <v>15.98</v>
      </c>
      <c r="O596" s="1">
        <v>45286</v>
      </c>
      <c r="P596" s="1">
        <v>45292</v>
      </c>
      <c r="Q596" s="2" t="s">
        <v>34</v>
      </c>
      <c r="R596" s="2">
        <v>813</v>
      </c>
    </row>
    <row r="597" spans="1:18" x14ac:dyDescent="0.25">
      <c r="A597" s="1">
        <v>45425</v>
      </c>
      <c r="B597" s="2" t="s">
        <v>40</v>
      </c>
      <c r="C597" s="2" t="s">
        <v>126</v>
      </c>
      <c r="D597">
        <v>11</v>
      </c>
      <c r="E597">
        <v>80</v>
      </c>
      <c r="F597" s="2" t="s">
        <v>19</v>
      </c>
      <c r="G597" s="2" t="s">
        <v>20</v>
      </c>
      <c r="H597">
        <v>0.05</v>
      </c>
      <c r="I597" s="2" t="s">
        <v>42</v>
      </c>
      <c r="J597" s="2" t="s">
        <v>22</v>
      </c>
      <c r="K597">
        <v>0</v>
      </c>
      <c r="L597" s="2" t="s">
        <v>1217</v>
      </c>
      <c r="M597" s="2" t="s">
        <v>1218</v>
      </c>
      <c r="N597">
        <v>43.84</v>
      </c>
      <c r="O597" s="1">
        <v>45425</v>
      </c>
      <c r="P597" s="1">
        <v>45431</v>
      </c>
      <c r="Q597" s="2" t="s">
        <v>45</v>
      </c>
      <c r="R597" s="2">
        <v>836</v>
      </c>
    </row>
    <row r="598" spans="1:18" x14ac:dyDescent="0.25">
      <c r="A598" s="1">
        <v>45206</v>
      </c>
      <c r="B598" s="2" t="s">
        <v>26</v>
      </c>
      <c r="C598" s="2" t="s">
        <v>18</v>
      </c>
      <c r="D598">
        <v>6</v>
      </c>
      <c r="E598">
        <v>506</v>
      </c>
      <c r="F598" s="2" t="s">
        <v>46</v>
      </c>
      <c r="G598" s="2" t="s">
        <v>29</v>
      </c>
      <c r="H598">
        <v>0</v>
      </c>
      <c r="I598" s="2" t="s">
        <v>30</v>
      </c>
      <c r="J598" s="2" t="s">
        <v>59</v>
      </c>
      <c r="K598">
        <v>0</v>
      </c>
      <c r="L598" s="2" t="s">
        <v>1219</v>
      </c>
      <c r="M598" s="2" t="s">
        <v>1220</v>
      </c>
      <c r="N598">
        <v>40.380000000000003</v>
      </c>
      <c r="O598" s="1">
        <v>45206</v>
      </c>
      <c r="P598" s="1">
        <v>45215</v>
      </c>
      <c r="Q598" s="2" t="s">
        <v>34</v>
      </c>
      <c r="R598" s="2">
        <v>3036</v>
      </c>
    </row>
    <row r="599" spans="1:18" x14ac:dyDescent="0.25">
      <c r="A599" s="1">
        <v>45118</v>
      </c>
      <c r="B599" s="2" t="s">
        <v>65</v>
      </c>
      <c r="C599" s="2" t="s">
        <v>126</v>
      </c>
      <c r="D599">
        <v>5</v>
      </c>
      <c r="E599">
        <v>570</v>
      </c>
      <c r="F599" s="2" t="s">
        <v>46</v>
      </c>
      <c r="G599" s="2" t="s">
        <v>20</v>
      </c>
      <c r="H599">
        <v>0</v>
      </c>
      <c r="I599" s="2" t="s">
        <v>52</v>
      </c>
      <c r="J599" s="2" t="s">
        <v>56</v>
      </c>
      <c r="K599">
        <v>0</v>
      </c>
      <c r="L599" s="2" t="s">
        <v>1221</v>
      </c>
      <c r="M599" s="2" t="s">
        <v>1222</v>
      </c>
      <c r="N599">
        <v>48.8</v>
      </c>
      <c r="O599" s="1">
        <v>45118</v>
      </c>
      <c r="P599" s="1">
        <v>45120</v>
      </c>
      <c r="Q599" s="2" t="s">
        <v>68</v>
      </c>
      <c r="R599" s="2">
        <v>2850</v>
      </c>
    </row>
    <row r="600" spans="1:18" x14ac:dyDescent="0.25">
      <c r="A600" s="1">
        <v>45688</v>
      </c>
      <c r="B600" s="2" t="s">
        <v>26</v>
      </c>
      <c r="C600" s="2" t="s">
        <v>75</v>
      </c>
      <c r="D600">
        <v>19</v>
      </c>
      <c r="E600">
        <v>91</v>
      </c>
      <c r="F600" s="2" t="s">
        <v>46</v>
      </c>
      <c r="G600" s="2" t="s">
        <v>29</v>
      </c>
      <c r="H600">
        <v>0.05</v>
      </c>
      <c r="I600" s="2" t="s">
        <v>30</v>
      </c>
      <c r="J600" s="2" t="s">
        <v>53</v>
      </c>
      <c r="K600">
        <v>0</v>
      </c>
      <c r="L600" s="2" t="s">
        <v>1223</v>
      </c>
      <c r="M600" s="2" t="s">
        <v>1224</v>
      </c>
      <c r="N600">
        <v>22.28</v>
      </c>
      <c r="O600" s="1">
        <v>45688</v>
      </c>
      <c r="P600" s="1">
        <v>45694</v>
      </c>
      <c r="Q600" s="2" t="s">
        <v>34</v>
      </c>
      <c r="R600" s="2">
        <v>1643</v>
      </c>
    </row>
    <row r="601" spans="1:18" x14ac:dyDescent="0.25">
      <c r="A601" s="1">
        <v>44961</v>
      </c>
      <c r="B601" s="2" t="s">
        <v>26</v>
      </c>
      <c r="C601" s="2" t="s">
        <v>41</v>
      </c>
      <c r="D601">
        <v>2</v>
      </c>
      <c r="E601">
        <v>297</v>
      </c>
      <c r="F601" s="2" t="s">
        <v>28</v>
      </c>
      <c r="G601" s="2" t="s">
        <v>20</v>
      </c>
      <c r="H601">
        <v>0.05</v>
      </c>
      <c r="I601" s="2" t="s">
        <v>47</v>
      </c>
      <c r="J601" s="2" t="s">
        <v>56</v>
      </c>
      <c r="K601">
        <v>0</v>
      </c>
      <c r="L601" s="2" t="s">
        <v>1225</v>
      </c>
      <c r="M601" s="2" t="s">
        <v>1226</v>
      </c>
      <c r="N601">
        <v>44.35</v>
      </c>
      <c r="O601" s="1">
        <v>44961</v>
      </c>
      <c r="P601" s="1">
        <v>44964</v>
      </c>
      <c r="Q601" s="2" t="s">
        <v>34</v>
      </c>
      <c r="R601" s="2">
        <v>564</v>
      </c>
    </row>
    <row r="602" spans="1:18" x14ac:dyDescent="0.25">
      <c r="A602" s="1">
        <v>45171</v>
      </c>
      <c r="B602" s="2" t="s">
        <v>26</v>
      </c>
      <c r="C602" s="2" t="s">
        <v>126</v>
      </c>
      <c r="D602">
        <v>2</v>
      </c>
      <c r="E602">
        <v>6</v>
      </c>
      <c r="F602" s="2" t="s">
        <v>19</v>
      </c>
      <c r="G602" s="2" t="s">
        <v>29</v>
      </c>
      <c r="H602">
        <v>0.1</v>
      </c>
      <c r="I602" s="2" t="s">
        <v>42</v>
      </c>
      <c r="J602" s="2" t="s">
        <v>53</v>
      </c>
      <c r="K602">
        <v>1</v>
      </c>
      <c r="L602" s="2" t="s">
        <v>1227</v>
      </c>
      <c r="M602" s="2" t="s">
        <v>1228</v>
      </c>
      <c r="N602">
        <v>47.24</v>
      </c>
      <c r="O602" s="1">
        <v>45171</v>
      </c>
      <c r="P602" s="1">
        <v>45181</v>
      </c>
      <c r="Q602" s="2" t="s">
        <v>34</v>
      </c>
      <c r="R602" s="2">
        <v>11</v>
      </c>
    </row>
    <row r="603" spans="1:18" x14ac:dyDescent="0.25">
      <c r="A603" s="1">
        <v>45639</v>
      </c>
      <c r="B603" s="2" t="s">
        <v>40</v>
      </c>
      <c r="C603" s="2" t="s">
        <v>50</v>
      </c>
      <c r="D603">
        <v>18</v>
      </c>
      <c r="E603">
        <v>207</v>
      </c>
      <c r="F603" s="2" t="s">
        <v>51</v>
      </c>
      <c r="G603" s="2" t="s">
        <v>20</v>
      </c>
      <c r="H603">
        <v>0.15</v>
      </c>
      <c r="I603" s="2" t="s">
        <v>30</v>
      </c>
      <c r="J603" s="2" t="s">
        <v>56</v>
      </c>
      <c r="K603">
        <v>0</v>
      </c>
      <c r="L603" s="2" t="s">
        <v>1229</v>
      </c>
      <c r="M603" s="2" t="s">
        <v>1230</v>
      </c>
      <c r="N603">
        <v>11.17</v>
      </c>
      <c r="O603" s="1">
        <v>45639</v>
      </c>
      <c r="P603" s="1">
        <v>45641</v>
      </c>
      <c r="Q603" s="2" t="s">
        <v>45</v>
      </c>
      <c r="R603" s="2">
        <v>3167</v>
      </c>
    </row>
    <row r="604" spans="1:18" x14ac:dyDescent="0.25">
      <c r="A604" s="1">
        <v>45212</v>
      </c>
      <c r="B604" s="2" t="s">
        <v>40</v>
      </c>
      <c r="C604" s="2" t="s">
        <v>75</v>
      </c>
      <c r="D604">
        <v>5</v>
      </c>
      <c r="E604">
        <v>75</v>
      </c>
      <c r="F604" s="2" t="s">
        <v>28</v>
      </c>
      <c r="G604" s="2" t="s">
        <v>20</v>
      </c>
      <c r="H604">
        <v>0</v>
      </c>
      <c r="I604" s="2" t="s">
        <v>47</v>
      </c>
      <c r="J604" s="2" t="s">
        <v>59</v>
      </c>
      <c r="K604">
        <v>0</v>
      </c>
      <c r="L604" s="2" t="s">
        <v>1231</v>
      </c>
      <c r="M604" s="2" t="s">
        <v>1232</v>
      </c>
      <c r="N604">
        <v>31.61</v>
      </c>
      <c r="O604" s="1">
        <v>45212</v>
      </c>
      <c r="P604" s="1">
        <v>45221</v>
      </c>
      <c r="Q604" s="2" t="s">
        <v>45</v>
      </c>
      <c r="R604" s="2">
        <v>375</v>
      </c>
    </row>
    <row r="605" spans="1:18" x14ac:dyDescent="0.25">
      <c r="A605" s="1">
        <v>45568</v>
      </c>
      <c r="B605" s="2" t="s">
        <v>26</v>
      </c>
      <c r="C605" s="2" t="s">
        <v>50</v>
      </c>
      <c r="D605">
        <v>3</v>
      </c>
      <c r="E605">
        <v>136</v>
      </c>
      <c r="F605" s="2" t="s">
        <v>28</v>
      </c>
      <c r="G605" s="2" t="s">
        <v>29</v>
      </c>
      <c r="H605">
        <v>0.1</v>
      </c>
      <c r="I605" s="2" t="s">
        <v>52</v>
      </c>
      <c r="J605" s="2" t="s">
        <v>31</v>
      </c>
      <c r="K605">
        <v>0</v>
      </c>
      <c r="L605" s="2" t="s">
        <v>1233</v>
      </c>
      <c r="M605" s="2" t="s">
        <v>1234</v>
      </c>
      <c r="N605">
        <v>48.38</v>
      </c>
      <c r="O605" s="1">
        <v>45568</v>
      </c>
      <c r="P605" s="1">
        <v>45572</v>
      </c>
      <c r="Q605" s="2" t="s">
        <v>34</v>
      </c>
      <c r="R605" s="2">
        <v>367</v>
      </c>
    </row>
    <row r="606" spans="1:18" x14ac:dyDescent="0.25">
      <c r="A606" s="1">
        <v>45410</v>
      </c>
      <c r="B606" s="2" t="s">
        <v>40</v>
      </c>
      <c r="C606" s="2" t="s">
        <v>36</v>
      </c>
      <c r="D606">
        <v>5</v>
      </c>
      <c r="E606">
        <v>545</v>
      </c>
      <c r="F606" s="2" t="s">
        <v>19</v>
      </c>
      <c r="G606" s="2" t="s">
        <v>29</v>
      </c>
      <c r="H606">
        <v>0.1</v>
      </c>
      <c r="I606" s="2" t="s">
        <v>52</v>
      </c>
      <c r="J606" s="2" t="s">
        <v>22</v>
      </c>
      <c r="K606">
        <v>0</v>
      </c>
      <c r="L606" s="2" t="s">
        <v>1235</v>
      </c>
      <c r="M606" s="2" t="s">
        <v>1236</v>
      </c>
      <c r="N606">
        <v>8.39</v>
      </c>
      <c r="O606" s="1">
        <v>45410</v>
      </c>
      <c r="P606" s="1">
        <v>45416</v>
      </c>
      <c r="Q606" s="2" t="s">
        <v>45</v>
      </c>
      <c r="R606" s="2">
        <v>2452</v>
      </c>
    </row>
    <row r="607" spans="1:18" x14ac:dyDescent="0.25">
      <c r="A607" s="1">
        <v>45329</v>
      </c>
      <c r="B607" s="2" t="s">
        <v>40</v>
      </c>
      <c r="C607" s="2" t="s">
        <v>36</v>
      </c>
      <c r="D607">
        <v>8</v>
      </c>
      <c r="E607">
        <v>562</v>
      </c>
      <c r="F607" s="2" t="s">
        <v>28</v>
      </c>
      <c r="G607" s="2" t="s">
        <v>29</v>
      </c>
      <c r="H607">
        <v>0.15</v>
      </c>
      <c r="I607" s="2" t="s">
        <v>62</v>
      </c>
      <c r="J607" s="2" t="s">
        <v>22</v>
      </c>
      <c r="K607">
        <v>1</v>
      </c>
      <c r="L607" s="2" t="s">
        <v>1237</v>
      </c>
      <c r="M607" s="2" t="s">
        <v>1238</v>
      </c>
      <c r="N607">
        <v>15.97</v>
      </c>
      <c r="O607" s="1">
        <v>45329</v>
      </c>
      <c r="P607" s="1">
        <v>45336</v>
      </c>
      <c r="Q607" s="2" t="s">
        <v>45</v>
      </c>
      <c r="R607" s="2">
        <v>3822</v>
      </c>
    </row>
    <row r="608" spans="1:18" x14ac:dyDescent="0.25">
      <c r="A608" s="1">
        <v>44965</v>
      </c>
      <c r="B608" s="2" t="s">
        <v>26</v>
      </c>
      <c r="C608" s="2" t="s">
        <v>41</v>
      </c>
      <c r="D608">
        <v>20</v>
      </c>
      <c r="E608">
        <v>313</v>
      </c>
      <c r="F608" s="2" t="s">
        <v>46</v>
      </c>
      <c r="G608" s="2" t="s">
        <v>29</v>
      </c>
      <c r="H608">
        <v>0.15</v>
      </c>
      <c r="I608" s="2" t="s">
        <v>30</v>
      </c>
      <c r="J608" s="2" t="s">
        <v>22</v>
      </c>
      <c r="K608">
        <v>0</v>
      </c>
      <c r="L608" s="2" t="s">
        <v>1239</v>
      </c>
      <c r="M608" s="2" t="s">
        <v>1240</v>
      </c>
      <c r="N608">
        <v>18.170000000000002</v>
      </c>
      <c r="O608" s="1">
        <v>44965</v>
      </c>
      <c r="P608" s="1">
        <v>44968</v>
      </c>
      <c r="Q608" s="2" t="s">
        <v>34</v>
      </c>
      <c r="R608" s="2">
        <v>5321</v>
      </c>
    </row>
    <row r="609" spans="1:18" x14ac:dyDescent="0.25">
      <c r="A609" s="1">
        <v>45094</v>
      </c>
      <c r="B609" s="2" t="s">
        <v>26</v>
      </c>
      <c r="C609" s="2" t="s">
        <v>27</v>
      </c>
      <c r="D609">
        <v>1</v>
      </c>
      <c r="E609">
        <v>418</v>
      </c>
      <c r="F609" s="2" t="s">
        <v>46</v>
      </c>
      <c r="G609" s="2" t="s">
        <v>29</v>
      </c>
      <c r="H609">
        <v>0.15</v>
      </c>
      <c r="I609" s="2" t="s">
        <v>52</v>
      </c>
      <c r="J609" s="2" t="s">
        <v>59</v>
      </c>
      <c r="K609">
        <v>0</v>
      </c>
      <c r="L609" s="2" t="s">
        <v>1241</v>
      </c>
      <c r="M609" s="2" t="s">
        <v>1242</v>
      </c>
      <c r="N609">
        <v>35.58</v>
      </c>
      <c r="O609" s="1">
        <v>45094</v>
      </c>
      <c r="P609" s="1">
        <v>45096</v>
      </c>
      <c r="Q609" s="2" t="s">
        <v>34</v>
      </c>
      <c r="R609" s="2">
        <v>355</v>
      </c>
    </row>
    <row r="610" spans="1:18" x14ac:dyDescent="0.25">
      <c r="A610" s="1">
        <v>45502</v>
      </c>
      <c r="B610" s="2" t="s">
        <v>65</v>
      </c>
      <c r="C610" s="2" t="s">
        <v>50</v>
      </c>
      <c r="D610">
        <v>8</v>
      </c>
      <c r="E610">
        <v>421</v>
      </c>
      <c r="F610" s="2" t="s">
        <v>19</v>
      </c>
      <c r="G610" s="2" t="s">
        <v>20</v>
      </c>
      <c r="H610">
        <v>0.1</v>
      </c>
      <c r="I610" s="2" t="s">
        <v>62</v>
      </c>
      <c r="J610" s="2" t="s">
        <v>22</v>
      </c>
      <c r="K610">
        <v>1</v>
      </c>
      <c r="L610" s="2" t="s">
        <v>1243</v>
      </c>
      <c r="M610" s="2" t="s">
        <v>1244</v>
      </c>
      <c r="N610">
        <v>44.61</v>
      </c>
      <c r="O610" s="1">
        <v>45502</v>
      </c>
      <c r="P610" s="1">
        <v>45505</v>
      </c>
      <c r="Q610" s="2" t="s">
        <v>68</v>
      </c>
      <c r="R610" s="2">
        <v>3031</v>
      </c>
    </row>
    <row r="611" spans="1:18" x14ac:dyDescent="0.25">
      <c r="A611" s="1">
        <v>45320</v>
      </c>
      <c r="B611" s="2" t="s">
        <v>65</v>
      </c>
      <c r="C611" s="2" t="s">
        <v>126</v>
      </c>
      <c r="D611">
        <v>16</v>
      </c>
      <c r="E611">
        <v>514</v>
      </c>
      <c r="F611" s="2" t="s">
        <v>51</v>
      </c>
      <c r="G611" s="2" t="s">
        <v>20</v>
      </c>
      <c r="H611">
        <v>0</v>
      </c>
      <c r="I611" s="2" t="s">
        <v>30</v>
      </c>
      <c r="J611" s="2" t="s">
        <v>22</v>
      </c>
      <c r="K611">
        <v>0</v>
      </c>
      <c r="L611" s="2" t="s">
        <v>1245</v>
      </c>
      <c r="M611" s="2" t="s">
        <v>1246</v>
      </c>
      <c r="N611">
        <v>40.75</v>
      </c>
      <c r="O611" s="1">
        <v>45320</v>
      </c>
      <c r="P611" s="1">
        <v>45323</v>
      </c>
      <c r="Q611" s="2" t="s">
        <v>68</v>
      </c>
      <c r="R611" s="2">
        <v>8224</v>
      </c>
    </row>
    <row r="612" spans="1:18" x14ac:dyDescent="0.25">
      <c r="A612" s="1">
        <v>45309</v>
      </c>
      <c r="B612" s="2" t="s">
        <v>17</v>
      </c>
      <c r="C612" s="2" t="s">
        <v>27</v>
      </c>
      <c r="D612">
        <v>2</v>
      </c>
      <c r="E612">
        <v>297</v>
      </c>
      <c r="F612" s="2" t="s">
        <v>19</v>
      </c>
      <c r="G612" s="2" t="s">
        <v>29</v>
      </c>
      <c r="H612">
        <v>0.1</v>
      </c>
      <c r="I612" s="2" t="s">
        <v>42</v>
      </c>
      <c r="J612" s="2" t="s">
        <v>31</v>
      </c>
      <c r="K612">
        <v>0</v>
      </c>
      <c r="L612" s="2" t="s">
        <v>1247</v>
      </c>
      <c r="M612" s="2" t="s">
        <v>1248</v>
      </c>
      <c r="N612">
        <v>8.7100000000000009</v>
      </c>
      <c r="O612" s="1">
        <v>45309</v>
      </c>
      <c r="P612" s="1">
        <v>45314</v>
      </c>
      <c r="Q612" s="2" t="s">
        <v>25</v>
      </c>
      <c r="R612" s="2">
        <v>535</v>
      </c>
    </row>
    <row r="613" spans="1:18" x14ac:dyDescent="0.25">
      <c r="A613" s="1">
        <v>45516</v>
      </c>
      <c r="B613" s="2" t="s">
        <v>35</v>
      </c>
      <c r="C613" s="2" t="s">
        <v>41</v>
      </c>
      <c r="D613">
        <v>10</v>
      </c>
      <c r="E613">
        <v>278</v>
      </c>
      <c r="F613" s="2" t="s">
        <v>46</v>
      </c>
      <c r="G613" s="2" t="s">
        <v>29</v>
      </c>
      <c r="H613">
        <v>0</v>
      </c>
      <c r="I613" s="2" t="s">
        <v>62</v>
      </c>
      <c r="J613" s="2" t="s">
        <v>53</v>
      </c>
      <c r="K613">
        <v>0</v>
      </c>
      <c r="L613" s="2" t="s">
        <v>1249</v>
      </c>
      <c r="M613" s="2" t="s">
        <v>1250</v>
      </c>
      <c r="N613">
        <v>24.25</v>
      </c>
      <c r="O613" s="1">
        <v>45516</v>
      </c>
      <c r="P613" s="1">
        <v>45526</v>
      </c>
      <c r="Q613" s="2" t="s">
        <v>39</v>
      </c>
      <c r="R613" s="2">
        <v>2780</v>
      </c>
    </row>
    <row r="614" spans="1:18" x14ac:dyDescent="0.25">
      <c r="A614" s="1">
        <v>45763</v>
      </c>
      <c r="B614" s="2" t="s">
        <v>65</v>
      </c>
      <c r="C614" s="2" t="s">
        <v>50</v>
      </c>
      <c r="D614">
        <v>8</v>
      </c>
      <c r="E614">
        <v>583</v>
      </c>
      <c r="F614" s="2" t="s">
        <v>51</v>
      </c>
      <c r="G614" s="2" t="s">
        <v>20</v>
      </c>
      <c r="H614">
        <v>0.1</v>
      </c>
      <c r="I614" s="2" t="s">
        <v>42</v>
      </c>
      <c r="J614" s="2" t="s">
        <v>53</v>
      </c>
      <c r="K614">
        <v>0</v>
      </c>
      <c r="L614" s="2" t="s">
        <v>1251</v>
      </c>
      <c r="M614" s="2" t="s">
        <v>1252</v>
      </c>
      <c r="N614">
        <v>49.18</v>
      </c>
      <c r="O614" s="1">
        <v>45763</v>
      </c>
      <c r="P614" s="1">
        <v>45767</v>
      </c>
      <c r="Q614" s="2" t="s">
        <v>68</v>
      </c>
      <c r="R614" s="2">
        <v>4198</v>
      </c>
    </row>
    <row r="615" spans="1:18" x14ac:dyDescent="0.25">
      <c r="A615" s="1">
        <v>44983</v>
      </c>
      <c r="B615" s="2" t="s">
        <v>40</v>
      </c>
      <c r="C615" s="2" t="s">
        <v>36</v>
      </c>
      <c r="D615">
        <v>16</v>
      </c>
      <c r="E615">
        <v>76</v>
      </c>
      <c r="F615" s="2" t="s">
        <v>51</v>
      </c>
      <c r="G615" s="2" t="s">
        <v>29</v>
      </c>
      <c r="H615">
        <v>0.1</v>
      </c>
      <c r="I615" s="2" t="s">
        <v>52</v>
      </c>
      <c r="J615" s="2" t="s">
        <v>59</v>
      </c>
      <c r="K615">
        <v>0</v>
      </c>
      <c r="L615" s="2" t="s">
        <v>1253</v>
      </c>
      <c r="M615" s="2" t="s">
        <v>1254</v>
      </c>
      <c r="N615">
        <v>27.39</v>
      </c>
      <c r="O615" s="1">
        <v>44983</v>
      </c>
      <c r="P615" s="1">
        <v>44987</v>
      </c>
      <c r="Q615" s="2" t="s">
        <v>45</v>
      </c>
      <c r="R615" s="2">
        <v>1094</v>
      </c>
    </row>
    <row r="616" spans="1:18" x14ac:dyDescent="0.25">
      <c r="A616" s="1">
        <v>44933</v>
      </c>
      <c r="B616" s="2" t="s">
        <v>17</v>
      </c>
      <c r="C616" s="2" t="s">
        <v>36</v>
      </c>
      <c r="D616">
        <v>13</v>
      </c>
      <c r="E616">
        <v>562</v>
      </c>
      <c r="F616" s="2" t="s">
        <v>46</v>
      </c>
      <c r="G616" s="2" t="s">
        <v>20</v>
      </c>
      <c r="H616">
        <v>0.05</v>
      </c>
      <c r="I616" s="2" t="s">
        <v>42</v>
      </c>
      <c r="J616" s="2" t="s">
        <v>31</v>
      </c>
      <c r="K616">
        <v>0</v>
      </c>
      <c r="L616" s="2" t="s">
        <v>1255</v>
      </c>
      <c r="M616" s="2" t="s">
        <v>1256</v>
      </c>
      <c r="N616">
        <v>12.91</v>
      </c>
      <c r="O616" s="1">
        <v>44933</v>
      </c>
      <c r="P616" s="1">
        <v>44937</v>
      </c>
      <c r="Q616" s="2" t="s">
        <v>25</v>
      </c>
      <c r="R616" s="2">
        <v>6941</v>
      </c>
    </row>
    <row r="617" spans="1:18" x14ac:dyDescent="0.25">
      <c r="A617" s="1">
        <v>45223</v>
      </c>
      <c r="B617" s="2" t="s">
        <v>26</v>
      </c>
      <c r="C617" s="2" t="s">
        <v>36</v>
      </c>
      <c r="D617">
        <v>5</v>
      </c>
      <c r="E617">
        <v>360</v>
      </c>
      <c r="F617" s="2" t="s">
        <v>28</v>
      </c>
      <c r="G617" s="2" t="s">
        <v>29</v>
      </c>
      <c r="H617">
        <v>0</v>
      </c>
      <c r="I617" s="2" t="s">
        <v>62</v>
      </c>
      <c r="J617" s="2" t="s">
        <v>22</v>
      </c>
      <c r="K617">
        <v>0</v>
      </c>
      <c r="L617" s="2" t="s">
        <v>1257</v>
      </c>
      <c r="M617" s="2" t="s">
        <v>1258</v>
      </c>
      <c r="N617">
        <v>41.31</v>
      </c>
      <c r="O617" s="1">
        <v>45223</v>
      </c>
      <c r="P617" s="1">
        <v>45233</v>
      </c>
      <c r="Q617" s="2" t="s">
        <v>34</v>
      </c>
      <c r="R617" s="2">
        <v>1800</v>
      </c>
    </row>
    <row r="618" spans="1:18" x14ac:dyDescent="0.25">
      <c r="A618" s="1">
        <v>45293</v>
      </c>
      <c r="B618" s="2" t="s">
        <v>35</v>
      </c>
      <c r="C618" s="2" t="s">
        <v>75</v>
      </c>
      <c r="D618">
        <v>15</v>
      </c>
      <c r="E618">
        <v>115</v>
      </c>
      <c r="F618" s="2" t="s">
        <v>28</v>
      </c>
      <c r="G618" s="2" t="s">
        <v>29</v>
      </c>
      <c r="H618">
        <v>0.15</v>
      </c>
      <c r="I618" s="2" t="s">
        <v>42</v>
      </c>
      <c r="J618" s="2" t="s">
        <v>53</v>
      </c>
      <c r="K618">
        <v>0</v>
      </c>
      <c r="L618" s="2" t="s">
        <v>1259</v>
      </c>
      <c r="M618" s="2" t="s">
        <v>1260</v>
      </c>
      <c r="N618">
        <v>6.04</v>
      </c>
      <c r="O618" s="1">
        <v>45293</v>
      </c>
      <c r="P618" s="1">
        <v>45303</v>
      </c>
      <c r="Q618" s="2" t="s">
        <v>39</v>
      </c>
      <c r="R618" s="2">
        <v>1466</v>
      </c>
    </row>
    <row r="619" spans="1:18" x14ac:dyDescent="0.25">
      <c r="A619" s="1">
        <v>45552</v>
      </c>
      <c r="B619" s="2" t="s">
        <v>26</v>
      </c>
      <c r="C619" s="2" t="s">
        <v>18</v>
      </c>
      <c r="D619">
        <v>12</v>
      </c>
      <c r="E619">
        <v>596</v>
      </c>
      <c r="F619" s="2" t="s">
        <v>51</v>
      </c>
      <c r="G619" s="2" t="s">
        <v>20</v>
      </c>
      <c r="H619">
        <v>0.15</v>
      </c>
      <c r="I619" s="2" t="s">
        <v>21</v>
      </c>
      <c r="J619" s="2" t="s">
        <v>31</v>
      </c>
      <c r="K619">
        <v>0</v>
      </c>
      <c r="L619" s="2" t="s">
        <v>1261</v>
      </c>
      <c r="M619" s="2" t="s">
        <v>1262</v>
      </c>
      <c r="N619">
        <v>28.27</v>
      </c>
      <c r="O619" s="1">
        <v>45552</v>
      </c>
      <c r="P619" s="1">
        <v>45560</v>
      </c>
      <c r="Q619" s="2" t="s">
        <v>34</v>
      </c>
      <c r="R619" s="2">
        <v>6079</v>
      </c>
    </row>
    <row r="620" spans="1:18" x14ac:dyDescent="0.25">
      <c r="A620" s="1">
        <v>45417</v>
      </c>
      <c r="B620" s="2" t="s">
        <v>40</v>
      </c>
      <c r="C620" s="2" t="s">
        <v>75</v>
      </c>
      <c r="D620">
        <v>19</v>
      </c>
      <c r="E620">
        <v>402</v>
      </c>
      <c r="F620" s="2" t="s">
        <v>46</v>
      </c>
      <c r="G620" s="2" t="s">
        <v>20</v>
      </c>
      <c r="H620">
        <v>0.05</v>
      </c>
      <c r="I620" s="2" t="s">
        <v>30</v>
      </c>
      <c r="J620" s="2" t="s">
        <v>56</v>
      </c>
      <c r="K620">
        <v>1</v>
      </c>
      <c r="L620" s="2" t="s">
        <v>1263</v>
      </c>
      <c r="M620" s="2" t="s">
        <v>1264</v>
      </c>
      <c r="N620">
        <v>37.770000000000003</v>
      </c>
      <c r="O620" s="1">
        <v>45417</v>
      </c>
      <c r="P620" s="1">
        <v>45423</v>
      </c>
      <c r="Q620" s="2" t="s">
        <v>45</v>
      </c>
      <c r="R620" s="2">
        <v>7256</v>
      </c>
    </row>
    <row r="621" spans="1:18" x14ac:dyDescent="0.25">
      <c r="A621" s="1">
        <v>45835</v>
      </c>
      <c r="B621" s="2" t="s">
        <v>65</v>
      </c>
      <c r="C621" s="2" t="s">
        <v>36</v>
      </c>
      <c r="D621">
        <v>13</v>
      </c>
      <c r="E621">
        <v>113</v>
      </c>
      <c r="F621" s="2" t="s">
        <v>51</v>
      </c>
      <c r="G621" s="2" t="s">
        <v>29</v>
      </c>
      <c r="H621">
        <v>0</v>
      </c>
      <c r="I621" s="2" t="s">
        <v>42</v>
      </c>
      <c r="J621" s="2" t="s">
        <v>56</v>
      </c>
      <c r="K621">
        <v>0</v>
      </c>
      <c r="L621" s="2" t="s">
        <v>1265</v>
      </c>
      <c r="M621" s="2" t="s">
        <v>1266</v>
      </c>
      <c r="N621">
        <v>12.39</v>
      </c>
      <c r="O621" s="1">
        <v>45835</v>
      </c>
      <c r="P621" s="1">
        <v>45837</v>
      </c>
      <c r="Q621" s="2" t="s">
        <v>68</v>
      </c>
      <c r="R621" s="2">
        <v>1469</v>
      </c>
    </row>
    <row r="622" spans="1:18" x14ac:dyDescent="0.25">
      <c r="A622" s="1">
        <v>45426</v>
      </c>
      <c r="B622" s="2" t="s">
        <v>65</v>
      </c>
      <c r="C622" s="2" t="s">
        <v>27</v>
      </c>
      <c r="D622">
        <v>6</v>
      </c>
      <c r="E622">
        <v>370</v>
      </c>
      <c r="F622" s="2" t="s">
        <v>51</v>
      </c>
      <c r="G622" s="2" t="s">
        <v>29</v>
      </c>
      <c r="H622">
        <v>0.15</v>
      </c>
      <c r="I622" s="2" t="s">
        <v>30</v>
      </c>
      <c r="J622" s="2" t="s">
        <v>22</v>
      </c>
      <c r="K622">
        <v>0</v>
      </c>
      <c r="L622" s="2" t="s">
        <v>1267</v>
      </c>
      <c r="M622" s="2" t="s">
        <v>1268</v>
      </c>
      <c r="N622">
        <v>7.39</v>
      </c>
      <c r="O622" s="1">
        <v>45426</v>
      </c>
      <c r="P622" s="1">
        <v>45434</v>
      </c>
      <c r="Q622" s="2" t="s">
        <v>68</v>
      </c>
      <c r="R622" s="2">
        <v>1887</v>
      </c>
    </row>
    <row r="623" spans="1:18" x14ac:dyDescent="0.25">
      <c r="A623" s="1">
        <v>45351</v>
      </c>
      <c r="B623" s="2" t="s">
        <v>35</v>
      </c>
      <c r="C623" s="2" t="s">
        <v>41</v>
      </c>
      <c r="D623">
        <v>15</v>
      </c>
      <c r="E623">
        <v>120</v>
      </c>
      <c r="F623" s="2" t="s">
        <v>28</v>
      </c>
      <c r="G623" s="2" t="s">
        <v>20</v>
      </c>
      <c r="H623">
        <v>0.15</v>
      </c>
      <c r="I623" s="2" t="s">
        <v>62</v>
      </c>
      <c r="J623" s="2" t="s">
        <v>56</v>
      </c>
      <c r="K623">
        <v>1</v>
      </c>
      <c r="L623" s="2" t="s">
        <v>1269</v>
      </c>
      <c r="M623" s="2" t="s">
        <v>1270</v>
      </c>
      <c r="N623">
        <v>30.78</v>
      </c>
      <c r="O623" s="1">
        <v>45351</v>
      </c>
      <c r="P623" s="1">
        <v>45356</v>
      </c>
      <c r="Q623" s="2" t="s">
        <v>39</v>
      </c>
      <c r="R623" s="2">
        <v>1530</v>
      </c>
    </row>
    <row r="624" spans="1:18" x14ac:dyDescent="0.25">
      <c r="A624" s="1">
        <v>45796</v>
      </c>
      <c r="B624" s="2" t="s">
        <v>17</v>
      </c>
      <c r="C624" s="2" t="s">
        <v>27</v>
      </c>
      <c r="D624">
        <v>5</v>
      </c>
      <c r="E624">
        <v>271</v>
      </c>
      <c r="F624" s="2" t="s">
        <v>28</v>
      </c>
      <c r="G624" s="2" t="s">
        <v>20</v>
      </c>
      <c r="H624">
        <v>0.15</v>
      </c>
      <c r="I624" s="2" t="s">
        <v>52</v>
      </c>
      <c r="J624" s="2" t="s">
        <v>56</v>
      </c>
      <c r="K624">
        <v>0</v>
      </c>
      <c r="L624" s="2" t="s">
        <v>1271</v>
      </c>
      <c r="M624" s="2" t="s">
        <v>1272</v>
      </c>
      <c r="N624">
        <v>5.98</v>
      </c>
      <c r="O624" s="1">
        <v>45796</v>
      </c>
      <c r="P624" s="1">
        <v>45804</v>
      </c>
      <c r="Q624" s="2" t="s">
        <v>25</v>
      </c>
      <c r="R624" s="2">
        <v>1152</v>
      </c>
    </row>
    <row r="625" spans="1:18" x14ac:dyDescent="0.25">
      <c r="A625" s="1">
        <v>45628</v>
      </c>
      <c r="B625" s="2" t="s">
        <v>17</v>
      </c>
      <c r="C625" s="2" t="s">
        <v>36</v>
      </c>
      <c r="D625">
        <v>9</v>
      </c>
      <c r="E625">
        <v>363</v>
      </c>
      <c r="F625" s="2" t="s">
        <v>19</v>
      </c>
      <c r="G625" s="2" t="s">
        <v>20</v>
      </c>
      <c r="H625">
        <v>0.05</v>
      </c>
      <c r="I625" s="2" t="s">
        <v>52</v>
      </c>
      <c r="J625" s="2" t="s">
        <v>31</v>
      </c>
      <c r="K625">
        <v>0</v>
      </c>
      <c r="L625" s="2" t="s">
        <v>1273</v>
      </c>
      <c r="M625" s="2" t="s">
        <v>254</v>
      </c>
      <c r="N625">
        <v>41.64</v>
      </c>
      <c r="O625" s="1">
        <v>45628</v>
      </c>
      <c r="P625" s="1">
        <v>45630</v>
      </c>
      <c r="Q625" s="2" t="s">
        <v>25</v>
      </c>
      <c r="R625" s="2">
        <v>3104</v>
      </c>
    </row>
    <row r="626" spans="1:18" x14ac:dyDescent="0.25">
      <c r="A626" s="1">
        <v>45503</v>
      </c>
      <c r="B626" s="2" t="s">
        <v>65</v>
      </c>
      <c r="C626" s="2" t="s">
        <v>126</v>
      </c>
      <c r="D626">
        <v>12</v>
      </c>
      <c r="E626">
        <v>534</v>
      </c>
      <c r="F626" s="2" t="s">
        <v>51</v>
      </c>
      <c r="G626" s="2" t="s">
        <v>20</v>
      </c>
      <c r="H626">
        <v>0.15</v>
      </c>
      <c r="I626" s="2" t="s">
        <v>30</v>
      </c>
      <c r="J626" s="2" t="s">
        <v>59</v>
      </c>
      <c r="K626">
        <v>0</v>
      </c>
      <c r="L626" s="2" t="s">
        <v>1274</v>
      </c>
      <c r="M626" s="2" t="s">
        <v>1275</v>
      </c>
      <c r="N626">
        <v>48.71</v>
      </c>
      <c r="O626" s="1">
        <v>45503</v>
      </c>
      <c r="P626" s="1">
        <v>45508</v>
      </c>
      <c r="Q626" s="2" t="s">
        <v>68</v>
      </c>
      <c r="R626" s="2">
        <v>5447</v>
      </c>
    </row>
    <row r="627" spans="1:18" x14ac:dyDescent="0.25">
      <c r="A627" s="1">
        <v>45102</v>
      </c>
      <c r="B627" s="2" t="s">
        <v>26</v>
      </c>
      <c r="C627" s="2" t="s">
        <v>36</v>
      </c>
      <c r="D627">
        <v>12</v>
      </c>
      <c r="E627">
        <v>192</v>
      </c>
      <c r="F627" s="2" t="s">
        <v>19</v>
      </c>
      <c r="G627" s="2" t="s">
        <v>20</v>
      </c>
      <c r="H627">
        <v>0.1</v>
      </c>
      <c r="I627" s="2" t="s">
        <v>47</v>
      </c>
      <c r="J627" s="2" t="s">
        <v>53</v>
      </c>
      <c r="K627">
        <v>0</v>
      </c>
      <c r="L627" s="2" t="s">
        <v>1276</v>
      </c>
      <c r="M627" s="2" t="s">
        <v>1277</v>
      </c>
      <c r="N627">
        <v>41.08</v>
      </c>
      <c r="O627" s="1">
        <v>45102</v>
      </c>
      <c r="P627" s="1">
        <v>45110</v>
      </c>
      <c r="Q627" s="2" t="s">
        <v>34</v>
      </c>
      <c r="R627" s="2">
        <v>2074</v>
      </c>
    </row>
    <row r="628" spans="1:18" x14ac:dyDescent="0.25">
      <c r="A628" s="1">
        <v>45483</v>
      </c>
      <c r="B628" s="2" t="s">
        <v>26</v>
      </c>
      <c r="C628" s="2" t="s">
        <v>41</v>
      </c>
      <c r="D628">
        <v>20</v>
      </c>
      <c r="E628">
        <v>504</v>
      </c>
      <c r="F628" s="2" t="s">
        <v>51</v>
      </c>
      <c r="G628" s="2" t="s">
        <v>20</v>
      </c>
      <c r="H628">
        <v>0</v>
      </c>
      <c r="I628" s="2" t="s">
        <v>42</v>
      </c>
      <c r="J628" s="2" t="s">
        <v>22</v>
      </c>
      <c r="K628">
        <v>0</v>
      </c>
      <c r="L628" s="2" t="s">
        <v>1278</v>
      </c>
      <c r="M628" s="2" t="s">
        <v>1279</v>
      </c>
      <c r="N628">
        <v>14.61</v>
      </c>
      <c r="O628" s="1">
        <v>45483</v>
      </c>
      <c r="P628" s="1">
        <v>45492</v>
      </c>
      <c r="Q628" s="2" t="s">
        <v>34</v>
      </c>
      <c r="R628" s="2">
        <v>10080</v>
      </c>
    </row>
    <row r="629" spans="1:18" x14ac:dyDescent="0.25">
      <c r="A629" s="1">
        <v>44932</v>
      </c>
      <c r="B629" s="2" t="s">
        <v>17</v>
      </c>
      <c r="C629" s="2" t="s">
        <v>18</v>
      </c>
      <c r="D629">
        <v>7</v>
      </c>
      <c r="E629">
        <v>194</v>
      </c>
      <c r="F629" s="2" t="s">
        <v>28</v>
      </c>
      <c r="G629" s="2" t="s">
        <v>20</v>
      </c>
      <c r="H629">
        <v>0.1</v>
      </c>
      <c r="I629" s="2" t="s">
        <v>52</v>
      </c>
      <c r="J629" s="2" t="s">
        <v>53</v>
      </c>
      <c r="K629">
        <v>0</v>
      </c>
      <c r="L629" s="2" t="s">
        <v>1280</v>
      </c>
      <c r="M629" s="2" t="s">
        <v>1281</v>
      </c>
      <c r="N629">
        <v>39.01</v>
      </c>
      <c r="O629" s="1">
        <v>44932</v>
      </c>
      <c r="P629" s="1">
        <v>44941</v>
      </c>
      <c r="Q629" s="2" t="s">
        <v>25</v>
      </c>
      <c r="R629" s="2">
        <v>1222</v>
      </c>
    </row>
    <row r="630" spans="1:18" x14ac:dyDescent="0.25">
      <c r="A630" s="1">
        <v>45346</v>
      </c>
      <c r="B630" s="2" t="s">
        <v>26</v>
      </c>
      <c r="C630" s="2" t="s">
        <v>41</v>
      </c>
      <c r="D630">
        <v>3</v>
      </c>
      <c r="E630">
        <v>271</v>
      </c>
      <c r="F630" s="2" t="s">
        <v>19</v>
      </c>
      <c r="G630" s="2" t="s">
        <v>20</v>
      </c>
      <c r="H630">
        <v>0.1</v>
      </c>
      <c r="I630" s="2" t="s">
        <v>47</v>
      </c>
      <c r="J630" s="2" t="s">
        <v>22</v>
      </c>
      <c r="K630">
        <v>1</v>
      </c>
      <c r="L630" s="2" t="s">
        <v>1282</v>
      </c>
      <c r="M630" s="2" t="s">
        <v>1283</v>
      </c>
      <c r="N630">
        <v>17.2</v>
      </c>
      <c r="O630" s="1">
        <v>45346</v>
      </c>
      <c r="P630" s="1">
        <v>45351</v>
      </c>
      <c r="Q630" s="2" t="s">
        <v>34</v>
      </c>
      <c r="R630" s="2">
        <v>732</v>
      </c>
    </row>
    <row r="631" spans="1:18" x14ac:dyDescent="0.25">
      <c r="A631" s="1">
        <v>45271</v>
      </c>
      <c r="B631" s="2" t="s">
        <v>40</v>
      </c>
      <c r="C631" s="2" t="s">
        <v>75</v>
      </c>
      <c r="D631">
        <v>18</v>
      </c>
      <c r="E631">
        <v>62</v>
      </c>
      <c r="F631" s="2" t="s">
        <v>19</v>
      </c>
      <c r="G631" s="2" t="s">
        <v>29</v>
      </c>
      <c r="H631">
        <v>0</v>
      </c>
      <c r="I631" s="2" t="s">
        <v>52</v>
      </c>
      <c r="J631" s="2" t="s">
        <v>53</v>
      </c>
      <c r="K631">
        <v>1</v>
      </c>
      <c r="L631" s="2" t="s">
        <v>1284</v>
      </c>
      <c r="M631" s="2" t="s">
        <v>1285</v>
      </c>
      <c r="N631">
        <v>8.67</v>
      </c>
      <c r="O631" s="1">
        <v>45271</v>
      </c>
      <c r="P631" s="1">
        <v>45280</v>
      </c>
      <c r="Q631" s="2" t="s">
        <v>45</v>
      </c>
      <c r="R631" s="2">
        <v>1116</v>
      </c>
    </row>
    <row r="632" spans="1:18" x14ac:dyDescent="0.25">
      <c r="A632" s="1">
        <v>45707</v>
      </c>
      <c r="B632" s="2" t="s">
        <v>26</v>
      </c>
      <c r="C632" s="2" t="s">
        <v>126</v>
      </c>
      <c r="D632">
        <v>11</v>
      </c>
      <c r="E632">
        <v>506</v>
      </c>
      <c r="F632" s="2" t="s">
        <v>46</v>
      </c>
      <c r="G632" s="2" t="s">
        <v>20</v>
      </c>
      <c r="H632">
        <v>0.15</v>
      </c>
      <c r="I632" s="2" t="s">
        <v>21</v>
      </c>
      <c r="J632" s="2" t="s">
        <v>56</v>
      </c>
      <c r="K632">
        <v>1</v>
      </c>
      <c r="L632" s="2" t="s">
        <v>1286</v>
      </c>
      <c r="M632" s="2" t="s">
        <v>1287</v>
      </c>
      <c r="N632">
        <v>22.84</v>
      </c>
      <c r="O632" s="1">
        <v>45707</v>
      </c>
      <c r="P632" s="1">
        <v>45711</v>
      </c>
      <c r="Q632" s="2" t="s">
        <v>34</v>
      </c>
      <c r="R632" s="2">
        <v>4731</v>
      </c>
    </row>
    <row r="633" spans="1:18" x14ac:dyDescent="0.25">
      <c r="A633" s="1">
        <v>45734</v>
      </c>
      <c r="B633" s="2" t="s">
        <v>65</v>
      </c>
      <c r="C633" s="2" t="s">
        <v>75</v>
      </c>
      <c r="D633">
        <v>4</v>
      </c>
      <c r="E633">
        <v>62</v>
      </c>
      <c r="F633" s="2" t="s">
        <v>51</v>
      </c>
      <c r="G633" s="2" t="s">
        <v>20</v>
      </c>
      <c r="H633">
        <v>0.15</v>
      </c>
      <c r="I633" s="2" t="s">
        <v>30</v>
      </c>
      <c r="J633" s="2" t="s">
        <v>56</v>
      </c>
      <c r="K633">
        <v>0</v>
      </c>
      <c r="L633" s="2" t="s">
        <v>1288</v>
      </c>
      <c r="M633" s="2" t="s">
        <v>1289</v>
      </c>
      <c r="N633">
        <v>31.91</v>
      </c>
      <c r="O633" s="1">
        <v>45734</v>
      </c>
      <c r="P633" s="1">
        <v>45742</v>
      </c>
      <c r="Q633" s="2" t="s">
        <v>68</v>
      </c>
      <c r="R633" s="2">
        <v>211</v>
      </c>
    </row>
    <row r="634" spans="1:18" x14ac:dyDescent="0.25">
      <c r="A634" s="1">
        <v>45191</v>
      </c>
      <c r="B634" s="2" t="s">
        <v>26</v>
      </c>
      <c r="C634" s="2" t="s">
        <v>27</v>
      </c>
      <c r="D634">
        <v>7</v>
      </c>
      <c r="E634">
        <v>480</v>
      </c>
      <c r="F634" s="2" t="s">
        <v>19</v>
      </c>
      <c r="G634" s="2" t="s">
        <v>20</v>
      </c>
      <c r="H634">
        <v>0.1</v>
      </c>
      <c r="I634" s="2" t="s">
        <v>52</v>
      </c>
      <c r="J634" s="2" t="s">
        <v>22</v>
      </c>
      <c r="K634">
        <v>1</v>
      </c>
      <c r="L634" s="2" t="s">
        <v>1290</v>
      </c>
      <c r="M634" s="2" t="s">
        <v>1291</v>
      </c>
      <c r="N634">
        <v>44.37</v>
      </c>
      <c r="O634" s="1">
        <v>45191</v>
      </c>
      <c r="P634" s="1">
        <v>45196</v>
      </c>
      <c r="Q634" s="2" t="s">
        <v>34</v>
      </c>
      <c r="R634" s="2">
        <v>3024</v>
      </c>
    </row>
    <row r="635" spans="1:18" x14ac:dyDescent="0.25">
      <c r="A635" s="1">
        <v>45283</v>
      </c>
      <c r="B635" s="2" t="s">
        <v>65</v>
      </c>
      <c r="C635" s="2" t="s">
        <v>75</v>
      </c>
      <c r="D635">
        <v>18</v>
      </c>
      <c r="E635">
        <v>61</v>
      </c>
      <c r="F635" s="2" t="s">
        <v>28</v>
      </c>
      <c r="G635" s="2" t="s">
        <v>29</v>
      </c>
      <c r="H635">
        <v>0</v>
      </c>
      <c r="I635" s="2" t="s">
        <v>62</v>
      </c>
      <c r="J635" s="2" t="s">
        <v>22</v>
      </c>
      <c r="K635">
        <v>1</v>
      </c>
      <c r="L635" s="2" t="s">
        <v>1292</v>
      </c>
      <c r="M635" s="2" t="s">
        <v>1293</v>
      </c>
      <c r="N635">
        <v>10.08</v>
      </c>
      <c r="O635" s="1">
        <v>45283</v>
      </c>
      <c r="P635" s="1">
        <v>45288</v>
      </c>
      <c r="Q635" s="2" t="s">
        <v>68</v>
      </c>
      <c r="R635" s="2">
        <v>1098</v>
      </c>
    </row>
    <row r="636" spans="1:18" x14ac:dyDescent="0.25">
      <c r="A636" s="1">
        <v>45781</v>
      </c>
      <c r="B636" s="2" t="s">
        <v>35</v>
      </c>
      <c r="C636" s="2" t="s">
        <v>36</v>
      </c>
      <c r="D636">
        <v>6</v>
      </c>
      <c r="E636">
        <v>249</v>
      </c>
      <c r="F636" s="2" t="s">
        <v>19</v>
      </c>
      <c r="G636" s="2" t="s">
        <v>29</v>
      </c>
      <c r="H636">
        <v>0.05</v>
      </c>
      <c r="I636" s="2" t="s">
        <v>42</v>
      </c>
      <c r="J636" s="2" t="s">
        <v>59</v>
      </c>
      <c r="K636">
        <v>0</v>
      </c>
      <c r="L636" s="2" t="s">
        <v>1294</v>
      </c>
      <c r="M636" s="2" t="s">
        <v>1295</v>
      </c>
      <c r="N636">
        <v>20.38</v>
      </c>
      <c r="O636" s="1">
        <v>45781</v>
      </c>
      <c r="P636" s="1">
        <v>45787</v>
      </c>
      <c r="Q636" s="2" t="s">
        <v>39</v>
      </c>
      <c r="R636" s="2">
        <v>1419</v>
      </c>
    </row>
    <row r="637" spans="1:18" x14ac:dyDescent="0.25">
      <c r="A637" s="1">
        <v>45668</v>
      </c>
      <c r="B637" s="2" t="s">
        <v>17</v>
      </c>
      <c r="C637" s="2" t="s">
        <v>27</v>
      </c>
      <c r="D637">
        <v>20</v>
      </c>
      <c r="E637">
        <v>400</v>
      </c>
      <c r="F637" s="2" t="s">
        <v>51</v>
      </c>
      <c r="G637" s="2" t="s">
        <v>20</v>
      </c>
      <c r="H637">
        <v>0.1</v>
      </c>
      <c r="I637" s="2" t="s">
        <v>52</v>
      </c>
      <c r="J637" s="2" t="s">
        <v>56</v>
      </c>
      <c r="K637">
        <v>0</v>
      </c>
      <c r="L637" s="2" t="s">
        <v>1296</v>
      </c>
      <c r="M637" s="2" t="s">
        <v>1297</v>
      </c>
      <c r="N637">
        <v>24.41</v>
      </c>
      <c r="O637" s="1">
        <v>45668</v>
      </c>
      <c r="P637" s="1">
        <v>45670</v>
      </c>
      <c r="Q637" s="2" t="s">
        <v>25</v>
      </c>
      <c r="R637" s="2">
        <v>7200</v>
      </c>
    </row>
    <row r="638" spans="1:18" x14ac:dyDescent="0.25">
      <c r="A638" s="1">
        <v>45768</v>
      </c>
      <c r="B638" s="2" t="s">
        <v>26</v>
      </c>
      <c r="C638" s="2" t="s">
        <v>126</v>
      </c>
      <c r="D638">
        <v>1</v>
      </c>
      <c r="E638">
        <v>131</v>
      </c>
      <c r="F638" s="2" t="s">
        <v>19</v>
      </c>
      <c r="G638" s="2" t="s">
        <v>29</v>
      </c>
      <c r="H638">
        <v>0.05</v>
      </c>
      <c r="I638" s="2" t="s">
        <v>52</v>
      </c>
      <c r="J638" s="2" t="s">
        <v>22</v>
      </c>
      <c r="K638">
        <v>0</v>
      </c>
      <c r="L638" s="2" t="s">
        <v>1298</v>
      </c>
      <c r="M638" s="2" t="s">
        <v>1299</v>
      </c>
      <c r="N638">
        <v>43.21</v>
      </c>
      <c r="O638" s="1">
        <v>45768</v>
      </c>
      <c r="P638" s="1">
        <v>45771</v>
      </c>
      <c r="Q638" s="2" t="s">
        <v>34</v>
      </c>
      <c r="R638" s="2">
        <v>124</v>
      </c>
    </row>
    <row r="639" spans="1:18" x14ac:dyDescent="0.25">
      <c r="A639" s="1">
        <v>45273</v>
      </c>
      <c r="B639" s="2" t="s">
        <v>40</v>
      </c>
      <c r="C639" s="2" t="s">
        <v>75</v>
      </c>
      <c r="D639">
        <v>11</v>
      </c>
      <c r="E639">
        <v>133</v>
      </c>
      <c r="F639" s="2" t="s">
        <v>28</v>
      </c>
      <c r="G639" s="2" t="s">
        <v>20</v>
      </c>
      <c r="H639">
        <v>0.15</v>
      </c>
      <c r="I639" s="2" t="s">
        <v>42</v>
      </c>
      <c r="J639" s="2" t="s">
        <v>53</v>
      </c>
      <c r="K639">
        <v>0</v>
      </c>
      <c r="L639" s="2" t="s">
        <v>1300</v>
      </c>
      <c r="M639" s="2" t="s">
        <v>1301</v>
      </c>
      <c r="N639">
        <v>44.61</v>
      </c>
      <c r="O639" s="1">
        <v>45273</v>
      </c>
      <c r="P639" s="1">
        <v>45282</v>
      </c>
      <c r="Q639" s="2" t="s">
        <v>45</v>
      </c>
      <c r="R639" s="2">
        <v>1244</v>
      </c>
    </row>
    <row r="640" spans="1:18" x14ac:dyDescent="0.25">
      <c r="A640" s="1">
        <v>45329</v>
      </c>
      <c r="B640" s="2" t="s">
        <v>17</v>
      </c>
      <c r="C640" s="2" t="s">
        <v>41</v>
      </c>
      <c r="D640">
        <v>13</v>
      </c>
      <c r="E640">
        <v>449</v>
      </c>
      <c r="F640" s="2" t="s">
        <v>19</v>
      </c>
      <c r="G640" s="2" t="s">
        <v>20</v>
      </c>
      <c r="H640">
        <v>0.1</v>
      </c>
      <c r="I640" s="2" t="s">
        <v>52</v>
      </c>
      <c r="J640" s="2" t="s">
        <v>53</v>
      </c>
      <c r="K640">
        <v>1</v>
      </c>
      <c r="L640" s="2" t="s">
        <v>1302</v>
      </c>
      <c r="M640" s="2" t="s">
        <v>1303</v>
      </c>
      <c r="N640">
        <v>16.82</v>
      </c>
      <c r="O640" s="1">
        <v>45329</v>
      </c>
      <c r="P640" s="1">
        <v>45333</v>
      </c>
      <c r="Q640" s="2" t="s">
        <v>25</v>
      </c>
      <c r="R640" s="2">
        <v>5253</v>
      </c>
    </row>
    <row r="641" spans="1:18" x14ac:dyDescent="0.25">
      <c r="A641" s="1">
        <v>45406</v>
      </c>
      <c r="B641" s="2" t="s">
        <v>35</v>
      </c>
      <c r="C641" s="2" t="s">
        <v>75</v>
      </c>
      <c r="D641">
        <v>19</v>
      </c>
      <c r="E641">
        <v>36</v>
      </c>
      <c r="F641" s="2" t="s">
        <v>19</v>
      </c>
      <c r="G641" s="2" t="s">
        <v>20</v>
      </c>
      <c r="H641">
        <v>0</v>
      </c>
      <c r="I641" s="2" t="s">
        <v>52</v>
      </c>
      <c r="J641" s="2" t="s">
        <v>56</v>
      </c>
      <c r="K641">
        <v>0</v>
      </c>
      <c r="L641" s="2" t="s">
        <v>1304</v>
      </c>
      <c r="M641" s="2" t="s">
        <v>1305</v>
      </c>
      <c r="N641">
        <v>33.94</v>
      </c>
      <c r="O641" s="1">
        <v>45406</v>
      </c>
      <c r="P641" s="1">
        <v>45409</v>
      </c>
      <c r="Q641" s="2" t="s">
        <v>39</v>
      </c>
      <c r="R641" s="2">
        <v>684</v>
      </c>
    </row>
    <row r="642" spans="1:18" x14ac:dyDescent="0.25">
      <c r="A642" s="1">
        <v>45180</v>
      </c>
      <c r="B642" s="2" t="s">
        <v>65</v>
      </c>
      <c r="C642" s="2" t="s">
        <v>41</v>
      </c>
      <c r="D642">
        <v>14</v>
      </c>
      <c r="E642">
        <v>114</v>
      </c>
      <c r="F642" s="2" t="s">
        <v>46</v>
      </c>
      <c r="G642" s="2" t="s">
        <v>29</v>
      </c>
      <c r="H642">
        <v>0</v>
      </c>
      <c r="I642" s="2" t="s">
        <v>21</v>
      </c>
      <c r="J642" s="2" t="s">
        <v>59</v>
      </c>
      <c r="K642">
        <v>0</v>
      </c>
      <c r="L642" s="2" t="s">
        <v>1306</v>
      </c>
      <c r="M642" s="2" t="s">
        <v>720</v>
      </c>
      <c r="N642">
        <v>25.35</v>
      </c>
      <c r="O642" s="1">
        <v>45180</v>
      </c>
      <c r="P642" s="1">
        <v>45185</v>
      </c>
      <c r="Q642" s="2" t="s">
        <v>68</v>
      </c>
      <c r="R642" s="2">
        <v>1596</v>
      </c>
    </row>
    <row r="643" spans="1:18" x14ac:dyDescent="0.25">
      <c r="A643" s="1">
        <v>45817</v>
      </c>
      <c r="B643" s="2" t="s">
        <v>40</v>
      </c>
      <c r="C643" s="2" t="s">
        <v>126</v>
      </c>
      <c r="D643">
        <v>2</v>
      </c>
      <c r="E643">
        <v>90</v>
      </c>
      <c r="F643" s="2" t="s">
        <v>28</v>
      </c>
      <c r="G643" s="2" t="s">
        <v>29</v>
      </c>
      <c r="H643">
        <v>0</v>
      </c>
      <c r="I643" s="2" t="s">
        <v>52</v>
      </c>
      <c r="J643" s="2" t="s">
        <v>31</v>
      </c>
      <c r="K643">
        <v>0</v>
      </c>
      <c r="L643" s="2" t="s">
        <v>1307</v>
      </c>
      <c r="M643" s="2" t="s">
        <v>1308</v>
      </c>
      <c r="N643">
        <v>23.69</v>
      </c>
      <c r="O643" s="1">
        <v>45817</v>
      </c>
      <c r="P643" s="1">
        <v>45820</v>
      </c>
      <c r="Q643" s="2" t="s">
        <v>45</v>
      </c>
      <c r="R643" s="2">
        <v>180</v>
      </c>
    </row>
    <row r="644" spans="1:18" x14ac:dyDescent="0.25">
      <c r="A644" s="1">
        <v>45814</v>
      </c>
      <c r="B644" s="2" t="s">
        <v>17</v>
      </c>
      <c r="C644" s="2" t="s">
        <v>36</v>
      </c>
      <c r="D644">
        <v>3</v>
      </c>
      <c r="E644">
        <v>392</v>
      </c>
      <c r="F644" s="2" t="s">
        <v>28</v>
      </c>
      <c r="G644" s="2" t="s">
        <v>20</v>
      </c>
      <c r="H644">
        <v>0.15</v>
      </c>
      <c r="I644" s="2" t="s">
        <v>30</v>
      </c>
      <c r="J644" s="2" t="s">
        <v>56</v>
      </c>
      <c r="K644">
        <v>0</v>
      </c>
      <c r="L644" s="2" t="s">
        <v>1309</v>
      </c>
      <c r="M644" s="2" t="s">
        <v>1310</v>
      </c>
      <c r="N644">
        <v>9.86</v>
      </c>
      <c r="O644" s="1">
        <v>45814</v>
      </c>
      <c r="P644" s="1">
        <v>45824</v>
      </c>
      <c r="Q644" s="2" t="s">
        <v>25</v>
      </c>
      <c r="R644" s="2">
        <v>1000</v>
      </c>
    </row>
    <row r="645" spans="1:18" x14ac:dyDescent="0.25">
      <c r="A645" s="1">
        <v>45649</v>
      </c>
      <c r="B645" s="2" t="s">
        <v>26</v>
      </c>
      <c r="C645" s="2" t="s">
        <v>41</v>
      </c>
      <c r="D645">
        <v>10</v>
      </c>
      <c r="E645">
        <v>419</v>
      </c>
      <c r="F645" s="2" t="s">
        <v>46</v>
      </c>
      <c r="G645" s="2" t="s">
        <v>20</v>
      </c>
      <c r="H645">
        <v>0.1</v>
      </c>
      <c r="I645" s="2" t="s">
        <v>62</v>
      </c>
      <c r="J645" s="2" t="s">
        <v>53</v>
      </c>
      <c r="K645">
        <v>0</v>
      </c>
      <c r="L645" s="2" t="s">
        <v>1311</v>
      </c>
      <c r="M645" s="2" t="s">
        <v>1312</v>
      </c>
      <c r="N645">
        <v>45.63</v>
      </c>
      <c r="O645" s="1">
        <v>45649</v>
      </c>
      <c r="P645" s="1">
        <v>45654</v>
      </c>
      <c r="Q645" s="2" t="s">
        <v>34</v>
      </c>
      <c r="R645" s="2">
        <v>3771</v>
      </c>
    </row>
    <row r="646" spans="1:18" x14ac:dyDescent="0.25">
      <c r="A646" s="1">
        <v>45165</v>
      </c>
      <c r="B646" s="2" t="s">
        <v>17</v>
      </c>
      <c r="C646" s="2" t="s">
        <v>50</v>
      </c>
      <c r="D646">
        <v>12</v>
      </c>
      <c r="E646">
        <v>303</v>
      </c>
      <c r="F646" s="2" t="s">
        <v>19</v>
      </c>
      <c r="G646" s="2" t="s">
        <v>20</v>
      </c>
      <c r="H646">
        <v>0</v>
      </c>
      <c r="I646" s="2" t="s">
        <v>30</v>
      </c>
      <c r="J646" s="2" t="s">
        <v>31</v>
      </c>
      <c r="K646">
        <v>1</v>
      </c>
      <c r="L646" s="2" t="s">
        <v>1313</v>
      </c>
      <c r="M646" s="2" t="s">
        <v>1314</v>
      </c>
      <c r="N646">
        <v>5.48</v>
      </c>
      <c r="O646" s="1">
        <v>45165</v>
      </c>
      <c r="P646" s="1">
        <v>45172</v>
      </c>
      <c r="Q646" s="2" t="s">
        <v>25</v>
      </c>
      <c r="R646" s="2">
        <v>3636</v>
      </c>
    </row>
    <row r="647" spans="1:18" x14ac:dyDescent="0.25">
      <c r="A647" s="1">
        <v>44935</v>
      </c>
      <c r="B647" s="2" t="s">
        <v>17</v>
      </c>
      <c r="C647" s="2" t="s">
        <v>50</v>
      </c>
      <c r="D647">
        <v>10</v>
      </c>
      <c r="E647">
        <v>210</v>
      </c>
      <c r="F647" s="2" t="s">
        <v>28</v>
      </c>
      <c r="G647" s="2" t="s">
        <v>20</v>
      </c>
      <c r="H647">
        <v>0.1</v>
      </c>
      <c r="I647" s="2" t="s">
        <v>21</v>
      </c>
      <c r="J647" s="2" t="s">
        <v>59</v>
      </c>
      <c r="K647">
        <v>0</v>
      </c>
      <c r="L647" s="2" t="s">
        <v>1315</v>
      </c>
      <c r="M647" s="2" t="s">
        <v>1316</v>
      </c>
      <c r="N647">
        <v>10.99</v>
      </c>
      <c r="O647" s="1">
        <v>44935</v>
      </c>
      <c r="P647" s="1">
        <v>44939</v>
      </c>
      <c r="Q647" s="2" t="s">
        <v>25</v>
      </c>
      <c r="R647" s="2">
        <v>1890</v>
      </c>
    </row>
    <row r="648" spans="1:18" x14ac:dyDescent="0.25">
      <c r="A648" s="1">
        <v>45769</v>
      </c>
      <c r="B648" s="2" t="s">
        <v>17</v>
      </c>
      <c r="C648" s="2" t="s">
        <v>18</v>
      </c>
      <c r="D648">
        <v>8</v>
      </c>
      <c r="E648">
        <v>284</v>
      </c>
      <c r="F648" s="2" t="s">
        <v>46</v>
      </c>
      <c r="G648" s="2" t="s">
        <v>20</v>
      </c>
      <c r="H648">
        <v>0.1</v>
      </c>
      <c r="I648" s="2" t="s">
        <v>30</v>
      </c>
      <c r="J648" s="2" t="s">
        <v>59</v>
      </c>
      <c r="K648">
        <v>0</v>
      </c>
      <c r="L648" s="2" t="s">
        <v>1317</v>
      </c>
      <c r="M648" s="2" t="s">
        <v>1318</v>
      </c>
      <c r="N648">
        <v>49.91</v>
      </c>
      <c r="O648" s="1">
        <v>45769</v>
      </c>
      <c r="P648" s="1">
        <v>45772</v>
      </c>
      <c r="Q648" s="2" t="s">
        <v>25</v>
      </c>
      <c r="R648" s="2">
        <v>2045</v>
      </c>
    </row>
    <row r="649" spans="1:18" x14ac:dyDescent="0.25">
      <c r="A649" s="1">
        <v>45175</v>
      </c>
      <c r="B649" s="2" t="s">
        <v>26</v>
      </c>
      <c r="C649" s="2" t="s">
        <v>27</v>
      </c>
      <c r="D649">
        <v>7</v>
      </c>
      <c r="E649">
        <v>18</v>
      </c>
      <c r="F649" s="2" t="s">
        <v>51</v>
      </c>
      <c r="G649" s="2" t="s">
        <v>29</v>
      </c>
      <c r="H649">
        <v>0.1</v>
      </c>
      <c r="I649" s="2" t="s">
        <v>30</v>
      </c>
      <c r="J649" s="2" t="s">
        <v>22</v>
      </c>
      <c r="K649">
        <v>0</v>
      </c>
      <c r="L649" s="2" t="s">
        <v>1319</v>
      </c>
      <c r="M649" s="2" t="s">
        <v>1320</v>
      </c>
      <c r="N649">
        <v>48.92</v>
      </c>
      <c r="O649" s="1">
        <v>45175</v>
      </c>
      <c r="P649" s="1">
        <v>45180</v>
      </c>
      <c r="Q649" s="2" t="s">
        <v>34</v>
      </c>
      <c r="R649" s="2">
        <v>113</v>
      </c>
    </row>
    <row r="650" spans="1:18" x14ac:dyDescent="0.25">
      <c r="A650" s="1">
        <v>44947</v>
      </c>
      <c r="B650" s="2" t="s">
        <v>17</v>
      </c>
      <c r="C650" s="2" t="s">
        <v>50</v>
      </c>
      <c r="D650">
        <v>9</v>
      </c>
      <c r="E650">
        <v>475</v>
      </c>
      <c r="F650" s="2" t="s">
        <v>28</v>
      </c>
      <c r="G650" s="2" t="s">
        <v>20</v>
      </c>
      <c r="H650">
        <v>0.1</v>
      </c>
      <c r="I650" s="2" t="s">
        <v>47</v>
      </c>
      <c r="J650" s="2" t="s">
        <v>56</v>
      </c>
      <c r="K650">
        <v>0</v>
      </c>
      <c r="L650" s="2" t="s">
        <v>1321</v>
      </c>
      <c r="M650" s="2" t="s">
        <v>1322</v>
      </c>
      <c r="N650">
        <v>39.979999999999997</v>
      </c>
      <c r="O650" s="1">
        <v>44947</v>
      </c>
      <c r="P650" s="1">
        <v>44953</v>
      </c>
      <c r="Q650" s="2" t="s">
        <v>25</v>
      </c>
      <c r="R650" s="2">
        <v>3848</v>
      </c>
    </row>
    <row r="651" spans="1:18" x14ac:dyDescent="0.25">
      <c r="A651" s="1">
        <v>45408</v>
      </c>
      <c r="B651" s="2" t="s">
        <v>40</v>
      </c>
      <c r="C651" s="2" t="s">
        <v>41</v>
      </c>
      <c r="D651">
        <v>12</v>
      </c>
      <c r="E651">
        <v>592</v>
      </c>
      <c r="F651" s="2" t="s">
        <v>51</v>
      </c>
      <c r="G651" s="2" t="s">
        <v>29</v>
      </c>
      <c r="H651">
        <v>0</v>
      </c>
      <c r="I651" s="2" t="s">
        <v>21</v>
      </c>
      <c r="J651" s="2" t="s">
        <v>56</v>
      </c>
      <c r="K651">
        <v>0</v>
      </c>
      <c r="L651" s="2" t="s">
        <v>1323</v>
      </c>
      <c r="M651" s="2" t="s">
        <v>1324</v>
      </c>
      <c r="N651">
        <v>25.2</v>
      </c>
      <c r="O651" s="1">
        <v>45408</v>
      </c>
      <c r="P651" s="1">
        <v>45418</v>
      </c>
      <c r="Q651" s="2" t="s">
        <v>45</v>
      </c>
      <c r="R651" s="2">
        <v>7104</v>
      </c>
    </row>
    <row r="652" spans="1:18" x14ac:dyDescent="0.25">
      <c r="A652" s="1">
        <v>45104</v>
      </c>
      <c r="B652" s="2" t="s">
        <v>35</v>
      </c>
      <c r="C652" s="2" t="s">
        <v>27</v>
      </c>
      <c r="D652">
        <v>7</v>
      </c>
      <c r="E652">
        <v>93</v>
      </c>
      <c r="F652" s="2" t="s">
        <v>19</v>
      </c>
      <c r="G652" s="2" t="s">
        <v>29</v>
      </c>
      <c r="H652">
        <v>0.05</v>
      </c>
      <c r="I652" s="2" t="s">
        <v>30</v>
      </c>
      <c r="J652" s="2" t="s">
        <v>53</v>
      </c>
      <c r="K652">
        <v>1</v>
      </c>
      <c r="L652" s="2" t="s">
        <v>1325</v>
      </c>
      <c r="M652" s="2" t="s">
        <v>1326</v>
      </c>
      <c r="N652">
        <v>6.47</v>
      </c>
      <c r="O652" s="1">
        <v>45104</v>
      </c>
      <c r="P652" s="1">
        <v>45107</v>
      </c>
      <c r="Q652" s="2" t="s">
        <v>39</v>
      </c>
      <c r="R652" s="2">
        <v>618</v>
      </c>
    </row>
    <row r="653" spans="1:18" x14ac:dyDescent="0.25">
      <c r="A653" s="1">
        <v>44927</v>
      </c>
      <c r="B653" s="2" t="s">
        <v>17</v>
      </c>
      <c r="C653" s="2" t="s">
        <v>75</v>
      </c>
      <c r="D653">
        <v>15</v>
      </c>
      <c r="E653">
        <v>299</v>
      </c>
      <c r="F653" s="2" t="s">
        <v>46</v>
      </c>
      <c r="G653" s="2" t="s">
        <v>29</v>
      </c>
      <c r="H653">
        <v>0</v>
      </c>
      <c r="I653" s="2" t="s">
        <v>62</v>
      </c>
      <c r="J653" s="2" t="s">
        <v>56</v>
      </c>
      <c r="K653">
        <v>0</v>
      </c>
      <c r="L653" s="2" t="s">
        <v>1327</v>
      </c>
      <c r="M653" s="2" t="s">
        <v>1328</v>
      </c>
      <c r="N653">
        <v>11.38</v>
      </c>
      <c r="O653" s="1">
        <v>44927</v>
      </c>
      <c r="P653" s="1">
        <v>44934</v>
      </c>
      <c r="Q653" s="2" t="s">
        <v>25</v>
      </c>
      <c r="R653" s="2">
        <v>4485</v>
      </c>
    </row>
    <row r="654" spans="1:18" x14ac:dyDescent="0.25">
      <c r="A654" s="1">
        <v>45290</v>
      </c>
      <c r="B654" s="2" t="s">
        <v>65</v>
      </c>
      <c r="C654" s="2" t="s">
        <v>75</v>
      </c>
      <c r="D654">
        <v>15</v>
      </c>
      <c r="E654">
        <v>52</v>
      </c>
      <c r="F654" s="2" t="s">
        <v>28</v>
      </c>
      <c r="G654" s="2" t="s">
        <v>29</v>
      </c>
      <c r="H654">
        <v>0.15</v>
      </c>
      <c r="I654" s="2" t="s">
        <v>52</v>
      </c>
      <c r="J654" s="2" t="s">
        <v>22</v>
      </c>
      <c r="K654">
        <v>0</v>
      </c>
      <c r="L654" s="2" t="s">
        <v>1329</v>
      </c>
      <c r="M654" s="2" t="s">
        <v>1330</v>
      </c>
      <c r="N654">
        <v>8.93</v>
      </c>
      <c r="O654" s="1">
        <v>45290</v>
      </c>
      <c r="P654" s="1">
        <v>45293</v>
      </c>
      <c r="Q654" s="2" t="s">
        <v>68</v>
      </c>
      <c r="R654" s="2">
        <v>663</v>
      </c>
    </row>
    <row r="655" spans="1:18" x14ac:dyDescent="0.25">
      <c r="A655" s="1">
        <v>44948</v>
      </c>
      <c r="B655" s="2" t="s">
        <v>40</v>
      </c>
      <c r="C655" s="2" t="s">
        <v>27</v>
      </c>
      <c r="D655">
        <v>6</v>
      </c>
      <c r="E655">
        <v>104</v>
      </c>
      <c r="F655" s="2" t="s">
        <v>46</v>
      </c>
      <c r="G655" s="2" t="s">
        <v>29</v>
      </c>
      <c r="H655">
        <v>0.1</v>
      </c>
      <c r="I655" s="2" t="s">
        <v>52</v>
      </c>
      <c r="J655" s="2" t="s">
        <v>22</v>
      </c>
      <c r="K655">
        <v>0</v>
      </c>
      <c r="L655" s="2" t="s">
        <v>1331</v>
      </c>
      <c r="M655" s="2" t="s">
        <v>1332</v>
      </c>
      <c r="N655">
        <v>8.6199999999999992</v>
      </c>
      <c r="O655" s="1">
        <v>44948</v>
      </c>
      <c r="P655" s="1">
        <v>44950</v>
      </c>
      <c r="Q655" s="2" t="s">
        <v>45</v>
      </c>
      <c r="R655" s="2">
        <v>562</v>
      </c>
    </row>
    <row r="656" spans="1:18" x14ac:dyDescent="0.25">
      <c r="A656" s="1">
        <v>45500</v>
      </c>
      <c r="B656" s="2" t="s">
        <v>26</v>
      </c>
      <c r="C656" s="2" t="s">
        <v>18</v>
      </c>
      <c r="D656">
        <v>8</v>
      </c>
      <c r="E656">
        <v>493</v>
      </c>
      <c r="F656" s="2" t="s">
        <v>28</v>
      </c>
      <c r="G656" s="2" t="s">
        <v>29</v>
      </c>
      <c r="H656">
        <v>0.05</v>
      </c>
      <c r="I656" s="2" t="s">
        <v>52</v>
      </c>
      <c r="J656" s="2" t="s">
        <v>53</v>
      </c>
      <c r="K656">
        <v>0</v>
      </c>
      <c r="L656" s="2" t="s">
        <v>1333</v>
      </c>
      <c r="M656" s="2" t="s">
        <v>1334</v>
      </c>
      <c r="N656">
        <v>11.49</v>
      </c>
      <c r="O656" s="1">
        <v>45500</v>
      </c>
      <c r="P656" s="1">
        <v>45509</v>
      </c>
      <c r="Q656" s="2" t="s">
        <v>34</v>
      </c>
      <c r="R656" s="2">
        <v>3747</v>
      </c>
    </row>
    <row r="657" spans="1:18" x14ac:dyDescent="0.25">
      <c r="A657" s="1">
        <v>45306</v>
      </c>
      <c r="B657" s="2" t="s">
        <v>26</v>
      </c>
      <c r="C657" s="2" t="s">
        <v>41</v>
      </c>
      <c r="D657">
        <v>6</v>
      </c>
      <c r="E657">
        <v>292</v>
      </c>
      <c r="F657" s="2" t="s">
        <v>19</v>
      </c>
      <c r="G657" s="2" t="s">
        <v>20</v>
      </c>
      <c r="H657">
        <v>0</v>
      </c>
      <c r="I657" s="2" t="s">
        <v>42</v>
      </c>
      <c r="J657" s="2" t="s">
        <v>53</v>
      </c>
      <c r="K657">
        <v>0</v>
      </c>
      <c r="L657" s="2" t="s">
        <v>1335</v>
      </c>
      <c r="M657" s="2" t="s">
        <v>1336</v>
      </c>
      <c r="N657">
        <v>30.25</v>
      </c>
      <c r="O657" s="1">
        <v>45306</v>
      </c>
      <c r="P657" s="1">
        <v>45308</v>
      </c>
      <c r="Q657" s="2" t="s">
        <v>34</v>
      </c>
      <c r="R657" s="2">
        <v>1752</v>
      </c>
    </row>
    <row r="658" spans="1:18" x14ac:dyDescent="0.25">
      <c r="A658" s="1">
        <v>45295</v>
      </c>
      <c r="B658" s="2" t="s">
        <v>65</v>
      </c>
      <c r="C658" s="2" t="s">
        <v>75</v>
      </c>
      <c r="D658">
        <v>1</v>
      </c>
      <c r="E658">
        <v>103</v>
      </c>
      <c r="F658" s="2" t="s">
        <v>19</v>
      </c>
      <c r="G658" s="2" t="s">
        <v>20</v>
      </c>
      <c r="H658">
        <v>0</v>
      </c>
      <c r="I658" s="2" t="s">
        <v>62</v>
      </c>
      <c r="J658" s="2" t="s">
        <v>22</v>
      </c>
      <c r="K658">
        <v>0</v>
      </c>
      <c r="L658" s="2" t="s">
        <v>1337</v>
      </c>
      <c r="M658" s="2" t="s">
        <v>1338</v>
      </c>
      <c r="N658">
        <v>42.38</v>
      </c>
      <c r="O658" s="1">
        <v>45295</v>
      </c>
      <c r="P658" s="1">
        <v>45305</v>
      </c>
      <c r="Q658" s="2" t="s">
        <v>68</v>
      </c>
      <c r="R658" s="2">
        <v>103</v>
      </c>
    </row>
    <row r="659" spans="1:18" x14ac:dyDescent="0.25">
      <c r="A659" s="1">
        <v>44966</v>
      </c>
      <c r="B659" s="2" t="s">
        <v>17</v>
      </c>
      <c r="C659" s="2" t="s">
        <v>50</v>
      </c>
      <c r="D659">
        <v>1</v>
      </c>
      <c r="E659">
        <v>542</v>
      </c>
      <c r="F659" s="2" t="s">
        <v>28</v>
      </c>
      <c r="G659" s="2" t="s">
        <v>29</v>
      </c>
      <c r="H659">
        <v>0.05</v>
      </c>
      <c r="I659" s="2" t="s">
        <v>21</v>
      </c>
      <c r="J659" s="2" t="s">
        <v>59</v>
      </c>
      <c r="K659">
        <v>0</v>
      </c>
      <c r="L659" s="2" t="s">
        <v>1339</v>
      </c>
      <c r="M659" s="2" t="s">
        <v>766</v>
      </c>
      <c r="N659">
        <v>40.35</v>
      </c>
      <c r="O659" s="1">
        <v>44966</v>
      </c>
      <c r="P659" s="1">
        <v>44976</v>
      </c>
      <c r="Q659" s="2" t="s">
        <v>25</v>
      </c>
      <c r="R659" s="2">
        <v>515</v>
      </c>
    </row>
    <row r="660" spans="1:18" x14ac:dyDescent="0.25">
      <c r="A660" s="1">
        <v>45463</v>
      </c>
      <c r="B660" s="2" t="s">
        <v>35</v>
      </c>
      <c r="C660" s="2" t="s">
        <v>27</v>
      </c>
      <c r="D660">
        <v>11</v>
      </c>
      <c r="E660">
        <v>303</v>
      </c>
      <c r="F660" s="2" t="s">
        <v>51</v>
      </c>
      <c r="G660" s="2" t="s">
        <v>20</v>
      </c>
      <c r="H660">
        <v>0.1</v>
      </c>
      <c r="I660" s="2" t="s">
        <v>52</v>
      </c>
      <c r="J660" s="2" t="s">
        <v>22</v>
      </c>
      <c r="K660">
        <v>0</v>
      </c>
      <c r="L660" s="2" t="s">
        <v>1340</v>
      </c>
      <c r="M660" s="2" t="s">
        <v>1341</v>
      </c>
      <c r="N660">
        <v>21.88</v>
      </c>
      <c r="O660" s="1">
        <v>45463</v>
      </c>
      <c r="P660" s="1">
        <v>45467</v>
      </c>
      <c r="Q660" s="2" t="s">
        <v>39</v>
      </c>
      <c r="R660" s="2">
        <v>3000</v>
      </c>
    </row>
    <row r="661" spans="1:18" x14ac:dyDescent="0.25">
      <c r="A661" s="1">
        <v>44978</v>
      </c>
      <c r="B661" s="2" t="s">
        <v>40</v>
      </c>
      <c r="C661" s="2" t="s">
        <v>36</v>
      </c>
      <c r="D661">
        <v>11</v>
      </c>
      <c r="E661">
        <v>62</v>
      </c>
      <c r="F661" s="2" t="s">
        <v>46</v>
      </c>
      <c r="G661" s="2" t="s">
        <v>29</v>
      </c>
      <c r="H661">
        <v>0.05</v>
      </c>
      <c r="I661" s="2" t="s">
        <v>62</v>
      </c>
      <c r="J661" s="2" t="s">
        <v>31</v>
      </c>
      <c r="K661">
        <v>0</v>
      </c>
      <c r="L661" s="2" t="s">
        <v>1342</v>
      </c>
      <c r="M661" s="2" t="s">
        <v>1343</v>
      </c>
      <c r="N661">
        <v>47.95</v>
      </c>
      <c r="O661" s="1">
        <v>44978</v>
      </c>
      <c r="P661" s="1">
        <v>44988</v>
      </c>
      <c r="Q661" s="2" t="s">
        <v>45</v>
      </c>
      <c r="R661" s="2">
        <v>648</v>
      </c>
    </row>
    <row r="662" spans="1:18" x14ac:dyDescent="0.25">
      <c r="A662" s="1">
        <v>45154</v>
      </c>
      <c r="B662" s="2" t="s">
        <v>40</v>
      </c>
      <c r="C662" s="2" t="s">
        <v>36</v>
      </c>
      <c r="D662">
        <v>8</v>
      </c>
      <c r="E662">
        <v>355</v>
      </c>
      <c r="F662" s="2" t="s">
        <v>19</v>
      </c>
      <c r="G662" s="2" t="s">
        <v>29</v>
      </c>
      <c r="H662">
        <v>0.1</v>
      </c>
      <c r="I662" s="2" t="s">
        <v>47</v>
      </c>
      <c r="J662" s="2" t="s">
        <v>22</v>
      </c>
      <c r="K662">
        <v>1</v>
      </c>
      <c r="L662" s="2" t="s">
        <v>1344</v>
      </c>
      <c r="M662" s="2" t="s">
        <v>1345</v>
      </c>
      <c r="N662">
        <v>38.590000000000003</v>
      </c>
      <c r="O662" s="1">
        <v>45154</v>
      </c>
      <c r="P662" s="1">
        <v>45162</v>
      </c>
      <c r="Q662" s="2" t="s">
        <v>45</v>
      </c>
      <c r="R662" s="2">
        <v>2556</v>
      </c>
    </row>
    <row r="663" spans="1:18" x14ac:dyDescent="0.25">
      <c r="A663" s="1">
        <v>45233</v>
      </c>
      <c r="B663" s="2" t="s">
        <v>65</v>
      </c>
      <c r="C663" s="2" t="s">
        <v>50</v>
      </c>
      <c r="D663">
        <v>11</v>
      </c>
      <c r="E663">
        <v>120</v>
      </c>
      <c r="F663" s="2" t="s">
        <v>51</v>
      </c>
      <c r="G663" s="2" t="s">
        <v>20</v>
      </c>
      <c r="H663">
        <v>0.1</v>
      </c>
      <c r="I663" s="2" t="s">
        <v>21</v>
      </c>
      <c r="J663" s="2" t="s">
        <v>22</v>
      </c>
      <c r="K663">
        <v>0</v>
      </c>
      <c r="L663" s="2" t="s">
        <v>1346</v>
      </c>
      <c r="M663" s="2" t="s">
        <v>1347</v>
      </c>
      <c r="N663">
        <v>16.64</v>
      </c>
      <c r="O663" s="1">
        <v>45233</v>
      </c>
      <c r="P663" s="1">
        <v>45241</v>
      </c>
      <c r="Q663" s="2" t="s">
        <v>68</v>
      </c>
      <c r="R663" s="2">
        <v>1188</v>
      </c>
    </row>
    <row r="664" spans="1:18" x14ac:dyDescent="0.25">
      <c r="A664" s="1">
        <v>45408</v>
      </c>
      <c r="B664" s="2" t="s">
        <v>26</v>
      </c>
      <c r="C664" s="2" t="s">
        <v>18</v>
      </c>
      <c r="D664">
        <v>16</v>
      </c>
      <c r="E664">
        <v>318</v>
      </c>
      <c r="F664" s="2" t="s">
        <v>46</v>
      </c>
      <c r="G664" s="2" t="s">
        <v>20</v>
      </c>
      <c r="H664">
        <v>0.05</v>
      </c>
      <c r="I664" s="2" t="s">
        <v>52</v>
      </c>
      <c r="J664" s="2" t="s">
        <v>53</v>
      </c>
      <c r="K664">
        <v>0</v>
      </c>
      <c r="L664" s="2" t="s">
        <v>1348</v>
      </c>
      <c r="M664" s="2" t="s">
        <v>1349</v>
      </c>
      <c r="N664">
        <v>40.78</v>
      </c>
      <c r="O664" s="1">
        <v>45408</v>
      </c>
      <c r="P664" s="1">
        <v>45413</v>
      </c>
      <c r="Q664" s="2" t="s">
        <v>34</v>
      </c>
      <c r="R664" s="2">
        <v>4834</v>
      </c>
    </row>
    <row r="665" spans="1:18" x14ac:dyDescent="0.25">
      <c r="A665" s="1">
        <v>45573</v>
      </c>
      <c r="B665" s="2" t="s">
        <v>26</v>
      </c>
      <c r="C665" s="2" t="s">
        <v>36</v>
      </c>
      <c r="D665">
        <v>9</v>
      </c>
      <c r="E665">
        <v>446</v>
      </c>
      <c r="F665" s="2" t="s">
        <v>51</v>
      </c>
      <c r="G665" s="2" t="s">
        <v>20</v>
      </c>
      <c r="H665">
        <v>0.15</v>
      </c>
      <c r="I665" s="2" t="s">
        <v>47</v>
      </c>
      <c r="J665" s="2" t="s">
        <v>59</v>
      </c>
      <c r="K665">
        <v>0</v>
      </c>
      <c r="L665" s="2" t="s">
        <v>1350</v>
      </c>
      <c r="M665" s="2" t="s">
        <v>1351</v>
      </c>
      <c r="N665">
        <v>5.77</v>
      </c>
      <c r="O665" s="1">
        <v>45573</v>
      </c>
      <c r="P665" s="1">
        <v>45582</v>
      </c>
      <c r="Q665" s="2" t="s">
        <v>34</v>
      </c>
      <c r="R665" s="2">
        <v>3412</v>
      </c>
    </row>
    <row r="666" spans="1:18" x14ac:dyDescent="0.25">
      <c r="A666" s="1">
        <v>44935</v>
      </c>
      <c r="B666" s="2" t="s">
        <v>26</v>
      </c>
      <c r="C666" s="2" t="s">
        <v>36</v>
      </c>
      <c r="D666">
        <v>16</v>
      </c>
      <c r="E666">
        <v>259</v>
      </c>
      <c r="F666" s="2" t="s">
        <v>51</v>
      </c>
      <c r="G666" s="2" t="s">
        <v>29</v>
      </c>
      <c r="H666">
        <v>0.1</v>
      </c>
      <c r="I666" s="2" t="s">
        <v>52</v>
      </c>
      <c r="J666" s="2" t="s">
        <v>22</v>
      </c>
      <c r="K666">
        <v>0</v>
      </c>
      <c r="L666" s="2" t="s">
        <v>1352</v>
      </c>
      <c r="M666" s="2" t="s">
        <v>1353</v>
      </c>
      <c r="N666">
        <v>46.93</v>
      </c>
      <c r="O666" s="1">
        <v>44935</v>
      </c>
      <c r="P666" s="1">
        <v>44943</v>
      </c>
      <c r="Q666" s="2" t="s">
        <v>34</v>
      </c>
      <c r="R666" s="2">
        <v>3730</v>
      </c>
    </row>
    <row r="667" spans="1:18" x14ac:dyDescent="0.25">
      <c r="A667" s="1">
        <v>45285</v>
      </c>
      <c r="B667" s="2" t="s">
        <v>35</v>
      </c>
      <c r="C667" s="2" t="s">
        <v>126</v>
      </c>
      <c r="D667">
        <v>9</v>
      </c>
      <c r="E667">
        <v>273</v>
      </c>
      <c r="F667" s="2" t="s">
        <v>51</v>
      </c>
      <c r="G667" s="2" t="s">
        <v>20</v>
      </c>
      <c r="H667">
        <v>0.05</v>
      </c>
      <c r="I667" s="2" t="s">
        <v>21</v>
      </c>
      <c r="J667" s="2" t="s">
        <v>22</v>
      </c>
      <c r="K667">
        <v>0</v>
      </c>
      <c r="L667" s="2" t="s">
        <v>1354</v>
      </c>
      <c r="M667" s="2" t="s">
        <v>1355</v>
      </c>
      <c r="N667">
        <v>16.43</v>
      </c>
      <c r="O667" s="1">
        <v>45285</v>
      </c>
      <c r="P667" s="1">
        <v>45293</v>
      </c>
      <c r="Q667" s="2" t="s">
        <v>39</v>
      </c>
      <c r="R667" s="2">
        <v>2334</v>
      </c>
    </row>
    <row r="668" spans="1:18" x14ac:dyDescent="0.25">
      <c r="A668" s="1">
        <v>45423</v>
      </c>
      <c r="B668" s="2" t="s">
        <v>40</v>
      </c>
      <c r="C668" s="2" t="s">
        <v>50</v>
      </c>
      <c r="D668">
        <v>12</v>
      </c>
      <c r="E668">
        <v>439</v>
      </c>
      <c r="F668" s="2" t="s">
        <v>46</v>
      </c>
      <c r="G668" s="2" t="s">
        <v>29</v>
      </c>
      <c r="H668">
        <v>0</v>
      </c>
      <c r="I668" s="2" t="s">
        <v>21</v>
      </c>
      <c r="J668" s="2" t="s">
        <v>56</v>
      </c>
      <c r="K668">
        <v>0</v>
      </c>
      <c r="L668" s="2" t="s">
        <v>1356</v>
      </c>
      <c r="M668" s="2" t="s">
        <v>1357</v>
      </c>
      <c r="N668">
        <v>9.31</v>
      </c>
      <c r="O668" s="1">
        <v>45423</v>
      </c>
      <c r="P668" s="1">
        <v>45432</v>
      </c>
      <c r="Q668" s="2" t="s">
        <v>45</v>
      </c>
      <c r="R668" s="2">
        <v>5268</v>
      </c>
    </row>
    <row r="669" spans="1:18" x14ac:dyDescent="0.25">
      <c r="A669" s="1">
        <v>45253</v>
      </c>
      <c r="B669" s="2" t="s">
        <v>65</v>
      </c>
      <c r="C669" s="2" t="s">
        <v>75</v>
      </c>
      <c r="D669">
        <v>18</v>
      </c>
      <c r="E669">
        <v>268</v>
      </c>
      <c r="F669" s="2" t="s">
        <v>19</v>
      </c>
      <c r="G669" s="2" t="s">
        <v>29</v>
      </c>
      <c r="H669">
        <v>0</v>
      </c>
      <c r="I669" s="2" t="s">
        <v>47</v>
      </c>
      <c r="J669" s="2" t="s">
        <v>31</v>
      </c>
      <c r="K669">
        <v>0</v>
      </c>
      <c r="L669" s="2" t="s">
        <v>1358</v>
      </c>
      <c r="M669" s="2" t="s">
        <v>1359</v>
      </c>
      <c r="N669">
        <v>44.48</v>
      </c>
      <c r="O669" s="1">
        <v>45253</v>
      </c>
      <c r="P669" s="1">
        <v>45256</v>
      </c>
      <c r="Q669" s="2" t="s">
        <v>68</v>
      </c>
      <c r="R669" s="2">
        <v>4824</v>
      </c>
    </row>
    <row r="670" spans="1:18" x14ac:dyDescent="0.25">
      <c r="A670" s="1">
        <v>45270</v>
      </c>
      <c r="B670" s="2" t="s">
        <v>40</v>
      </c>
      <c r="C670" s="2" t="s">
        <v>126</v>
      </c>
      <c r="D670">
        <v>6</v>
      </c>
      <c r="E670">
        <v>116</v>
      </c>
      <c r="F670" s="2" t="s">
        <v>28</v>
      </c>
      <c r="G670" s="2" t="s">
        <v>20</v>
      </c>
      <c r="H670">
        <v>0.05</v>
      </c>
      <c r="I670" s="2" t="s">
        <v>47</v>
      </c>
      <c r="J670" s="2" t="s">
        <v>53</v>
      </c>
      <c r="K670">
        <v>0</v>
      </c>
      <c r="L670" s="2" t="s">
        <v>1360</v>
      </c>
      <c r="M670" s="2" t="s">
        <v>1361</v>
      </c>
      <c r="N670">
        <v>23.91</v>
      </c>
      <c r="O670" s="1">
        <v>45270</v>
      </c>
      <c r="P670" s="1">
        <v>45272</v>
      </c>
      <c r="Q670" s="2" t="s">
        <v>45</v>
      </c>
      <c r="R670" s="2">
        <v>661</v>
      </c>
    </row>
    <row r="671" spans="1:18" x14ac:dyDescent="0.25">
      <c r="A671" s="1">
        <v>45325</v>
      </c>
      <c r="B671" s="2" t="s">
        <v>35</v>
      </c>
      <c r="C671" s="2" t="s">
        <v>126</v>
      </c>
      <c r="D671">
        <v>19</v>
      </c>
      <c r="E671">
        <v>276</v>
      </c>
      <c r="F671" s="2" t="s">
        <v>46</v>
      </c>
      <c r="G671" s="2" t="s">
        <v>29</v>
      </c>
      <c r="H671">
        <v>0</v>
      </c>
      <c r="I671" s="2" t="s">
        <v>42</v>
      </c>
      <c r="J671" s="2" t="s">
        <v>59</v>
      </c>
      <c r="K671">
        <v>0</v>
      </c>
      <c r="L671" s="2" t="s">
        <v>1362</v>
      </c>
      <c r="M671" s="2" t="s">
        <v>1363</v>
      </c>
      <c r="N671">
        <v>47</v>
      </c>
      <c r="O671" s="1">
        <v>45325</v>
      </c>
      <c r="P671" s="1">
        <v>45327</v>
      </c>
      <c r="Q671" s="2" t="s">
        <v>39</v>
      </c>
      <c r="R671" s="2">
        <v>5244</v>
      </c>
    </row>
    <row r="672" spans="1:18" x14ac:dyDescent="0.25">
      <c r="A672" s="1">
        <v>45620</v>
      </c>
      <c r="B672" s="2" t="s">
        <v>40</v>
      </c>
      <c r="C672" s="2" t="s">
        <v>41</v>
      </c>
      <c r="D672">
        <v>12</v>
      </c>
      <c r="E672">
        <v>256</v>
      </c>
      <c r="F672" s="2" t="s">
        <v>19</v>
      </c>
      <c r="G672" s="2" t="s">
        <v>29</v>
      </c>
      <c r="H672">
        <v>0</v>
      </c>
      <c r="I672" s="2" t="s">
        <v>21</v>
      </c>
      <c r="J672" s="2" t="s">
        <v>59</v>
      </c>
      <c r="K672">
        <v>0</v>
      </c>
      <c r="L672" s="2" t="s">
        <v>1364</v>
      </c>
      <c r="M672" s="2" t="s">
        <v>1365</v>
      </c>
      <c r="N672">
        <v>23.74</v>
      </c>
      <c r="O672" s="1">
        <v>45620</v>
      </c>
      <c r="P672" s="1">
        <v>45630</v>
      </c>
      <c r="Q672" s="2" t="s">
        <v>45</v>
      </c>
      <c r="R672" s="2">
        <v>3072</v>
      </c>
    </row>
    <row r="673" spans="1:18" x14ac:dyDescent="0.25">
      <c r="A673" s="1">
        <v>45357</v>
      </c>
      <c r="B673" s="2" t="s">
        <v>65</v>
      </c>
      <c r="C673" s="2" t="s">
        <v>27</v>
      </c>
      <c r="D673">
        <v>1</v>
      </c>
      <c r="E673">
        <v>381</v>
      </c>
      <c r="F673" s="2" t="s">
        <v>51</v>
      </c>
      <c r="G673" s="2" t="s">
        <v>20</v>
      </c>
      <c r="H673">
        <v>0.15</v>
      </c>
      <c r="I673" s="2" t="s">
        <v>62</v>
      </c>
      <c r="J673" s="2" t="s">
        <v>22</v>
      </c>
      <c r="K673">
        <v>0</v>
      </c>
      <c r="L673" s="2" t="s">
        <v>1366</v>
      </c>
      <c r="M673" s="2" t="s">
        <v>1367</v>
      </c>
      <c r="N673">
        <v>9.9499999999999993</v>
      </c>
      <c r="O673" s="1">
        <v>45357</v>
      </c>
      <c r="P673" s="1">
        <v>45362</v>
      </c>
      <c r="Q673" s="2" t="s">
        <v>68</v>
      </c>
      <c r="R673" s="2">
        <v>324</v>
      </c>
    </row>
    <row r="674" spans="1:18" x14ac:dyDescent="0.25">
      <c r="A674" s="1">
        <v>45689</v>
      </c>
      <c r="B674" s="2" t="s">
        <v>26</v>
      </c>
      <c r="C674" s="2" t="s">
        <v>36</v>
      </c>
      <c r="D674">
        <v>5</v>
      </c>
      <c r="E674">
        <v>38</v>
      </c>
      <c r="F674" s="2" t="s">
        <v>46</v>
      </c>
      <c r="G674" s="2" t="s">
        <v>20</v>
      </c>
      <c r="H674">
        <v>0.15</v>
      </c>
      <c r="I674" s="2" t="s">
        <v>62</v>
      </c>
      <c r="J674" s="2" t="s">
        <v>56</v>
      </c>
      <c r="K674">
        <v>0</v>
      </c>
      <c r="L674" s="2" t="s">
        <v>1368</v>
      </c>
      <c r="M674" s="2" t="s">
        <v>1369</v>
      </c>
      <c r="N674">
        <v>21.06</v>
      </c>
      <c r="O674" s="1">
        <v>45689</v>
      </c>
      <c r="P674" s="1">
        <v>45699</v>
      </c>
      <c r="Q674" s="2" t="s">
        <v>34</v>
      </c>
      <c r="R674" s="2">
        <v>162</v>
      </c>
    </row>
    <row r="675" spans="1:18" x14ac:dyDescent="0.25">
      <c r="A675" s="1">
        <v>45447</v>
      </c>
      <c r="B675" s="2" t="s">
        <v>40</v>
      </c>
      <c r="C675" s="2" t="s">
        <v>18</v>
      </c>
      <c r="D675">
        <v>7</v>
      </c>
      <c r="E675">
        <v>226</v>
      </c>
      <c r="F675" s="2" t="s">
        <v>19</v>
      </c>
      <c r="G675" s="2" t="s">
        <v>20</v>
      </c>
      <c r="H675">
        <v>0</v>
      </c>
      <c r="I675" s="2" t="s">
        <v>47</v>
      </c>
      <c r="J675" s="2" t="s">
        <v>56</v>
      </c>
      <c r="K675">
        <v>0</v>
      </c>
      <c r="L675" s="2" t="s">
        <v>1370</v>
      </c>
      <c r="M675" s="2" t="s">
        <v>1371</v>
      </c>
      <c r="N675">
        <v>24.48</v>
      </c>
      <c r="O675" s="1">
        <v>45447</v>
      </c>
      <c r="P675" s="1">
        <v>45452</v>
      </c>
      <c r="Q675" s="2" t="s">
        <v>45</v>
      </c>
      <c r="R675" s="2">
        <v>1582</v>
      </c>
    </row>
    <row r="676" spans="1:18" x14ac:dyDescent="0.25">
      <c r="A676" s="1">
        <v>45144</v>
      </c>
      <c r="B676" s="2" t="s">
        <v>40</v>
      </c>
      <c r="C676" s="2" t="s">
        <v>36</v>
      </c>
      <c r="D676">
        <v>8</v>
      </c>
      <c r="E676">
        <v>548</v>
      </c>
      <c r="F676" s="2" t="s">
        <v>51</v>
      </c>
      <c r="G676" s="2" t="s">
        <v>29</v>
      </c>
      <c r="H676">
        <v>0.05</v>
      </c>
      <c r="I676" s="2" t="s">
        <v>21</v>
      </c>
      <c r="J676" s="2" t="s">
        <v>22</v>
      </c>
      <c r="K676">
        <v>0</v>
      </c>
      <c r="L676" s="2" t="s">
        <v>1372</v>
      </c>
      <c r="M676" s="2" t="s">
        <v>1373</v>
      </c>
      <c r="N676">
        <v>33.4</v>
      </c>
      <c r="O676" s="1">
        <v>45144</v>
      </c>
      <c r="P676" s="1">
        <v>45151</v>
      </c>
      <c r="Q676" s="2" t="s">
        <v>45</v>
      </c>
      <c r="R676" s="2">
        <v>4165</v>
      </c>
    </row>
    <row r="677" spans="1:18" x14ac:dyDescent="0.25">
      <c r="A677" s="1">
        <v>45107</v>
      </c>
      <c r="B677" s="2" t="s">
        <v>65</v>
      </c>
      <c r="C677" s="2" t="s">
        <v>126</v>
      </c>
      <c r="D677">
        <v>18</v>
      </c>
      <c r="E677">
        <v>485</v>
      </c>
      <c r="F677" s="2" t="s">
        <v>51</v>
      </c>
      <c r="G677" s="2" t="s">
        <v>20</v>
      </c>
      <c r="H677">
        <v>0.05</v>
      </c>
      <c r="I677" s="2" t="s">
        <v>62</v>
      </c>
      <c r="J677" s="2" t="s">
        <v>56</v>
      </c>
      <c r="K677">
        <v>1</v>
      </c>
      <c r="L677" s="2" t="s">
        <v>1374</v>
      </c>
      <c r="M677" s="2" t="s">
        <v>1375</v>
      </c>
      <c r="N677">
        <v>47.77</v>
      </c>
      <c r="O677" s="1">
        <v>45107</v>
      </c>
      <c r="P677" s="1">
        <v>45112</v>
      </c>
      <c r="Q677" s="2" t="s">
        <v>68</v>
      </c>
      <c r="R677" s="2">
        <v>8294</v>
      </c>
    </row>
    <row r="678" spans="1:18" x14ac:dyDescent="0.25">
      <c r="A678" s="1">
        <v>44972</v>
      </c>
      <c r="B678" s="2" t="s">
        <v>65</v>
      </c>
      <c r="C678" s="2" t="s">
        <v>126</v>
      </c>
      <c r="D678">
        <v>19</v>
      </c>
      <c r="E678">
        <v>414</v>
      </c>
      <c r="F678" s="2" t="s">
        <v>28</v>
      </c>
      <c r="G678" s="2" t="s">
        <v>29</v>
      </c>
      <c r="H678">
        <v>0.1</v>
      </c>
      <c r="I678" s="2" t="s">
        <v>21</v>
      </c>
      <c r="J678" s="2" t="s">
        <v>53</v>
      </c>
      <c r="K678">
        <v>0</v>
      </c>
      <c r="L678" s="2" t="s">
        <v>1376</v>
      </c>
      <c r="M678" s="2" t="s">
        <v>1377</v>
      </c>
      <c r="N678">
        <v>17.43</v>
      </c>
      <c r="O678" s="1">
        <v>44972</v>
      </c>
      <c r="P678" s="1">
        <v>44976</v>
      </c>
      <c r="Q678" s="2" t="s">
        <v>68</v>
      </c>
      <c r="R678" s="2">
        <v>7079</v>
      </c>
    </row>
    <row r="679" spans="1:18" x14ac:dyDescent="0.25">
      <c r="A679" s="1">
        <v>45314</v>
      </c>
      <c r="B679" s="2" t="s">
        <v>35</v>
      </c>
      <c r="C679" s="2" t="s">
        <v>126</v>
      </c>
      <c r="D679">
        <v>8</v>
      </c>
      <c r="E679">
        <v>51</v>
      </c>
      <c r="F679" s="2" t="s">
        <v>28</v>
      </c>
      <c r="G679" s="2" t="s">
        <v>20</v>
      </c>
      <c r="H679">
        <v>0.05</v>
      </c>
      <c r="I679" s="2" t="s">
        <v>47</v>
      </c>
      <c r="J679" s="2" t="s">
        <v>56</v>
      </c>
      <c r="K679">
        <v>0</v>
      </c>
      <c r="L679" s="2" t="s">
        <v>1378</v>
      </c>
      <c r="M679" s="2" t="s">
        <v>1379</v>
      </c>
      <c r="N679">
        <v>12.35</v>
      </c>
      <c r="O679" s="1">
        <v>45314</v>
      </c>
      <c r="P679" s="1">
        <v>45321</v>
      </c>
      <c r="Q679" s="2" t="s">
        <v>39</v>
      </c>
      <c r="R679" s="2">
        <v>388</v>
      </c>
    </row>
    <row r="680" spans="1:18" x14ac:dyDescent="0.25">
      <c r="A680" s="1">
        <v>45596</v>
      </c>
      <c r="B680" s="2" t="s">
        <v>35</v>
      </c>
      <c r="C680" s="2" t="s">
        <v>75</v>
      </c>
      <c r="D680">
        <v>17</v>
      </c>
      <c r="E680">
        <v>83</v>
      </c>
      <c r="F680" s="2" t="s">
        <v>28</v>
      </c>
      <c r="G680" s="2" t="s">
        <v>20</v>
      </c>
      <c r="H680">
        <v>0.15</v>
      </c>
      <c r="I680" s="2" t="s">
        <v>21</v>
      </c>
      <c r="J680" s="2" t="s">
        <v>59</v>
      </c>
      <c r="K680">
        <v>0</v>
      </c>
      <c r="L680" s="2" t="s">
        <v>1380</v>
      </c>
      <c r="M680" s="2" t="s">
        <v>1381</v>
      </c>
      <c r="N680">
        <v>42.68</v>
      </c>
      <c r="O680" s="1">
        <v>45596</v>
      </c>
      <c r="P680" s="1">
        <v>45602</v>
      </c>
      <c r="Q680" s="2" t="s">
        <v>39</v>
      </c>
      <c r="R680" s="2">
        <v>1199</v>
      </c>
    </row>
    <row r="681" spans="1:18" x14ac:dyDescent="0.25">
      <c r="A681" s="1">
        <v>45279</v>
      </c>
      <c r="B681" s="2" t="s">
        <v>40</v>
      </c>
      <c r="C681" s="2" t="s">
        <v>36</v>
      </c>
      <c r="D681">
        <v>20</v>
      </c>
      <c r="E681">
        <v>52</v>
      </c>
      <c r="F681" s="2" t="s">
        <v>46</v>
      </c>
      <c r="G681" s="2" t="s">
        <v>20</v>
      </c>
      <c r="H681">
        <v>0.15</v>
      </c>
      <c r="I681" s="2" t="s">
        <v>47</v>
      </c>
      <c r="J681" s="2" t="s">
        <v>59</v>
      </c>
      <c r="K681">
        <v>0</v>
      </c>
      <c r="L681" s="2" t="s">
        <v>1382</v>
      </c>
      <c r="M681" s="2" t="s">
        <v>1383</v>
      </c>
      <c r="N681">
        <v>33.159999999999997</v>
      </c>
      <c r="O681" s="1">
        <v>45279</v>
      </c>
      <c r="P681" s="1">
        <v>45281</v>
      </c>
      <c r="Q681" s="2" t="s">
        <v>45</v>
      </c>
      <c r="R681" s="2">
        <v>884</v>
      </c>
    </row>
    <row r="682" spans="1:18" x14ac:dyDescent="0.25">
      <c r="A682" s="1">
        <v>45111</v>
      </c>
      <c r="B682" s="2" t="s">
        <v>26</v>
      </c>
      <c r="C682" s="2" t="s">
        <v>75</v>
      </c>
      <c r="D682">
        <v>12</v>
      </c>
      <c r="E682">
        <v>123</v>
      </c>
      <c r="F682" s="2" t="s">
        <v>19</v>
      </c>
      <c r="G682" s="2" t="s">
        <v>20</v>
      </c>
      <c r="H682">
        <v>0.05</v>
      </c>
      <c r="I682" s="2" t="s">
        <v>52</v>
      </c>
      <c r="J682" s="2" t="s">
        <v>31</v>
      </c>
      <c r="K682">
        <v>0</v>
      </c>
      <c r="L682" s="2" t="s">
        <v>1384</v>
      </c>
      <c r="M682" s="2" t="s">
        <v>620</v>
      </c>
      <c r="N682">
        <v>43.47</v>
      </c>
      <c r="O682" s="1">
        <v>45111</v>
      </c>
      <c r="P682" s="1">
        <v>45113</v>
      </c>
      <c r="Q682" s="2" t="s">
        <v>34</v>
      </c>
      <c r="R682" s="2">
        <v>1402</v>
      </c>
    </row>
    <row r="683" spans="1:18" x14ac:dyDescent="0.25">
      <c r="A683" s="1">
        <v>45428</v>
      </c>
      <c r="B683" s="2" t="s">
        <v>17</v>
      </c>
      <c r="C683" s="2" t="s">
        <v>18</v>
      </c>
      <c r="D683">
        <v>11</v>
      </c>
      <c r="E683">
        <v>222</v>
      </c>
      <c r="F683" s="2" t="s">
        <v>51</v>
      </c>
      <c r="G683" s="2" t="s">
        <v>20</v>
      </c>
      <c r="H683">
        <v>0.15</v>
      </c>
      <c r="I683" s="2" t="s">
        <v>21</v>
      </c>
      <c r="J683" s="2" t="s">
        <v>59</v>
      </c>
      <c r="K683">
        <v>1</v>
      </c>
      <c r="L683" s="2" t="s">
        <v>1385</v>
      </c>
      <c r="M683" s="2" t="s">
        <v>1386</v>
      </c>
      <c r="N683">
        <v>9.8800000000000008</v>
      </c>
      <c r="O683" s="1">
        <v>45428</v>
      </c>
      <c r="P683" s="1">
        <v>45430</v>
      </c>
      <c r="Q683" s="2" t="s">
        <v>25</v>
      </c>
      <c r="R683" s="2">
        <v>2076</v>
      </c>
    </row>
    <row r="684" spans="1:18" x14ac:dyDescent="0.25">
      <c r="A684" s="1">
        <v>45185</v>
      </c>
      <c r="B684" s="2" t="s">
        <v>35</v>
      </c>
      <c r="C684" s="2" t="s">
        <v>50</v>
      </c>
      <c r="D684">
        <v>8</v>
      </c>
      <c r="E684">
        <v>205</v>
      </c>
      <c r="F684" s="2" t="s">
        <v>46</v>
      </c>
      <c r="G684" s="2" t="s">
        <v>29</v>
      </c>
      <c r="H684">
        <v>0</v>
      </c>
      <c r="I684" s="2" t="s">
        <v>62</v>
      </c>
      <c r="J684" s="2" t="s">
        <v>59</v>
      </c>
      <c r="K684">
        <v>0</v>
      </c>
      <c r="L684" s="2" t="s">
        <v>1387</v>
      </c>
      <c r="M684" s="2" t="s">
        <v>1388</v>
      </c>
      <c r="N684">
        <v>43.4</v>
      </c>
      <c r="O684" s="1">
        <v>45185</v>
      </c>
      <c r="P684" s="1">
        <v>45190</v>
      </c>
      <c r="Q684" s="2" t="s">
        <v>39</v>
      </c>
      <c r="R684" s="2">
        <v>1640</v>
      </c>
    </row>
    <row r="685" spans="1:18" x14ac:dyDescent="0.25">
      <c r="A685" s="1">
        <v>45618</v>
      </c>
      <c r="B685" s="2" t="s">
        <v>17</v>
      </c>
      <c r="C685" s="2" t="s">
        <v>41</v>
      </c>
      <c r="D685">
        <v>3</v>
      </c>
      <c r="E685">
        <v>537</v>
      </c>
      <c r="F685" s="2" t="s">
        <v>46</v>
      </c>
      <c r="G685" s="2" t="s">
        <v>20</v>
      </c>
      <c r="H685">
        <v>0</v>
      </c>
      <c r="I685" s="2" t="s">
        <v>47</v>
      </c>
      <c r="J685" s="2" t="s">
        <v>56</v>
      </c>
      <c r="K685">
        <v>0</v>
      </c>
      <c r="L685" s="2" t="s">
        <v>1389</v>
      </c>
      <c r="M685" s="2" t="s">
        <v>1390</v>
      </c>
      <c r="N685">
        <v>13.86</v>
      </c>
      <c r="O685" s="1">
        <v>45618</v>
      </c>
      <c r="P685" s="1">
        <v>45627</v>
      </c>
      <c r="Q685" s="2" t="s">
        <v>25</v>
      </c>
      <c r="R685" s="2">
        <v>1611</v>
      </c>
    </row>
    <row r="686" spans="1:18" x14ac:dyDescent="0.25">
      <c r="A686" s="1">
        <v>45395</v>
      </c>
      <c r="B686" s="2" t="s">
        <v>65</v>
      </c>
      <c r="C686" s="2" t="s">
        <v>41</v>
      </c>
      <c r="D686">
        <v>15</v>
      </c>
      <c r="E686">
        <v>553</v>
      </c>
      <c r="F686" s="2" t="s">
        <v>28</v>
      </c>
      <c r="G686" s="2" t="s">
        <v>29</v>
      </c>
      <c r="H686">
        <v>0.1</v>
      </c>
      <c r="I686" s="2" t="s">
        <v>47</v>
      </c>
      <c r="J686" s="2" t="s">
        <v>53</v>
      </c>
      <c r="K686">
        <v>1</v>
      </c>
      <c r="L686" s="2" t="s">
        <v>1391</v>
      </c>
      <c r="M686" s="2" t="s">
        <v>1392</v>
      </c>
      <c r="N686">
        <v>23.3</v>
      </c>
      <c r="O686" s="1">
        <v>45395</v>
      </c>
      <c r="P686" s="1">
        <v>45403</v>
      </c>
      <c r="Q686" s="2" t="s">
        <v>68</v>
      </c>
      <c r="R686" s="2">
        <v>7466</v>
      </c>
    </row>
    <row r="687" spans="1:18" x14ac:dyDescent="0.25">
      <c r="A687" s="1">
        <v>45473</v>
      </c>
      <c r="B687" s="2" t="s">
        <v>26</v>
      </c>
      <c r="C687" s="2" t="s">
        <v>41</v>
      </c>
      <c r="D687">
        <v>20</v>
      </c>
      <c r="E687">
        <v>285</v>
      </c>
      <c r="F687" s="2" t="s">
        <v>51</v>
      </c>
      <c r="G687" s="2" t="s">
        <v>29</v>
      </c>
      <c r="H687">
        <v>0.1</v>
      </c>
      <c r="I687" s="2" t="s">
        <v>30</v>
      </c>
      <c r="J687" s="2" t="s">
        <v>53</v>
      </c>
      <c r="K687">
        <v>1</v>
      </c>
      <c r="L687" s="2" t="s">
        <v>1393</v>
      </c>
      <c r="M687" s="2" t="s">
        <v>1394</v>
      </c>
      <c r="N687">
        <v>27</v>
      </c>
      <c r="O687" s="1">
        <v>45473</v>
      </c>
      <c r="P687" s="1">
        <v>45479</v>
      </c>
      <c r="Q687" s="2" t="s">
        <v>34</v>
      </c>
      <c r="R687" s="2">
        <v>5130</v>
      </c>
    </row>
    <row r="688" spans="1:18" x14ac:dyDescent="0.25">
      <c r="A688" s="1">
        <v>45533</v>
      </c>
      <c r="B688" s="2" t="s">
        <v>35</v>
      </c>
      <c r="C688" s="2" t="s">
        <v>36</v>
      </c>
      <c r="D688">
        <v>18</v>
      </c>
      <c r="E688">
        <v>524</v>
      </c>
      <c r="F688" s="2" t="s">
        <v>46</v>
      </c>
      <c r="G688" s="2" t="s">
        <v>29</v>
      </c>
      <c r="H688">
        <v>0.15</v>
      </c>
      <c r="I688" s="2" t="s">
        <v>52</v>
      </c>
      <c r="J688" s="2" t="s">
        <v>31</v>
      </c>
      <c r="K688">
        <v>0</v>
      </c>
      <c r="L688" s="2" t="s">
        <v>1395</v>
      </c>
      <c r="M688" s="2" t="s">
        <v>1396</v>
      </c>
      <c r="N688">
        <v>42.63</v>
      </c>
      <c r="O688" s="1">
        <v>45533</v>
      </c>
      <c r="P688" s="1">
        <v>45537</v>
      </c>
      <c r="Q688" s="2" t="s">
        <v>39</v>
      </c>
      <c r="R688" s="2">
        <v>8017</v>
      </c>
    </row>
    <row r="689" spans="1:18" x14ac:dyDescent="0.25">
      <c r="A689" s="1">
        <v>45286</v>
      </c>
      <c r="B689" s="2" t="s">
        <v>40</v>
      </c>
      <c r="C689" s="2" t="s">
        <v>36</v>
      </c>
      <c r="D689">
        <v>3</v>
      </c>
      <c r="E689">
        <v>232</v>
      </c>
      <c r="F689" s="2" t="s">
        <v>19</v>
      </c>
      <c r="G689" s="2" t="s">
        <v>29</v>
      </c>
      <c r="H689">
        <v>0.1</v>
      </c>
      <c r="I689" s="2" t="s">
        <v>52</v>
      </c>
      <c r="J689" s="2" t="s">
        <v>59</v>
      </c>
      <c r="K689">
        <v>1</v>
      </c>
      <c r="L689" s="2" t="s">
        <v>1397</v>
      </c>
      <c r="M689" s="2" t="s">
        <v>1398</v>
      </c>
      <c r="N689">
        <v>46.65</v>
      </c>
      <c r="O689" s="1">
        <v>45286</v>
      </c>
      <c r="P689" s="1">
        <v>45291</v>
      </c>
      <c r="Q689" s="2" t="s">
        <v>45</v>
      </c>
      <c r="R689" s="2">
        <v>626</v>
      </c>
    </row>
    <row r="690" spans="1:18" x14ac:dyDescent="0.25">
      <c r="A690" s="1">
        <v>45687</v>
      </c>
      <c r="B690" s="2" t="s">
        <v>35</v>
      </c>
      <c r="C690" s="2" t="s">
        <v>27</v>
      </c>
      <c r="D690">
        <v>17</v>
      </c>
      <c r="E690">
        <v>179</v>
      </c>
      <c r="F690" s="2" t="s">
        <v>28</v>
      </c>
      <c r="G690" s="2" t="s">
        <v>29</v>
      </c>
      <c r="H690">
        <v>0.1</v>
      </c>
      <c r="I690" s="2" t="s">
        <v>62</v>
      </c>
      <c r="J690" s="2" t="s">
        <v>56</v>
      </c>
      <c r="K690">
        <v>1</v>
      </c>
      <c r="L690" s="2" t="s">
        <v>1399</v>
      </c>
      <c r="M690" s="2" t="s">
        <v>1400</v>
      </c>
      <c r="N690">
        <v>26.74</v>
      </c>
      <c r="O690" s="1">
        <v>45687</v>
      </c>
      <c r="P690" s="1">
        <v>45694</v>
      </c>
      <c r="Q690" s="2" t="s">
        <v>39</v>
      </c>
      <c r="R690" s="2">
        <v>2739</v>
      </c>
    </row>
    <row r="691" spans="1:18" x14ac:dyDescent="0.25">
      <c r="A691" s="1">
        <v>45063</v>
      </c>
      <c r="B691" s="2" t="s">
        <v>26</v>
      </c>
      <c r="C691" s="2" t="s">
        <v>41</v>
      </c>
      <c r="D691">
        <v>1</v>
      </c>
      <c r="E691">
        <v>396</v>
      </c>
      <c r="F691" s="2" t="s">
        <v>19</v>
      </c>
      <c r="G691" s="2" t="s">
        <v>29</v>
      </c>
      <c r="H691">
        <v>0.15</v>
      </c>
      <c r="I691" s="2" t="s">
        <v>42</v>
      </c>
      <c r="J691" s="2" t="s">
        <v>56</v>
      </c>
      <c r="K691">
        <v>1</v>
      </c>
      <c r="L691" s="2" t="s">
        <v>1401</v>
      </c>
      <c r="M691" s="2" t="s">
        <v>1402</v>
      </c>
      <c r="N691">
        <v>19.89</v>
      </c>
      <c r="O691" s="1">
        <v>45063</v>
      </c>
      <c r="P691" s="1">
        <v>45071</v>
      </c>
      <c r="Q691" s="2" t="s">
        <v>34</v>
      </c>
      <c r="R691" s="2">
        <v>337</v>
      </c>
    </row>
    <row r="692" spans="1:18" x14ac:dyDescent="0.25">
      <c r="A692" s="1">
        <v>45318</v>
      </c>
      <c r="B692" s="2" t="s">
        <v>40</v>
      </c>
      <c r="C692" s="2" t="s">
        <v>36</v>
      </c>
      <c r="D692">
        <v>17</v>
      </c>
      <c r="E692">
        <v>108</v>
      </c>
      <c r="F692" s="2" t="s">
        <v>28</v>
      </c>
      <c r="G692" s="2" t="s">
        <v>20</v>
      </c>
      <c r="H692">
        <v>0.1</v>
      </c>
      <c r="I692" s="2" t="s">
        <v>47</v>
      </c>
      <c r="J692" s="2" t="s">
        <v>22</v>
      </c>
      <c r="K692">
        <v>1</v>
      </c>
      <c r="L692" s="2" t="s">
        <v>1403</v>
      </c>
      <c r="M692" s="2" t="s">
        <v>1404</v>
      </c>
      <c r="N692">
        <v>48.9</v>
      </c>
      <c r="O692" s="1">
        <v>45318</v>
      </c>
      <c r="P692" s="1">
        <v>45327</v>
      </c>
      <c r="Q692" s="2" t="s">
        <v>45</v>
      </c>
      <c r="R692" s="2">
        <v>1652</v>
      </c>
    </row>
    <row r="693" spans="1:18" x14ac:dyDescent="0.25">
      <c r="A693" s="1">
        <v>45803</v>
      </c>
      <c r="B693" s="2" t="s">
        <v>17</v>
      </c>
      <c r="C693" s="2" t="s">
        <v>126</v>
      </c>
      <c r="D693">
        <v>10</v>
      </c>
      <c r="E693">
        <v>150</v>
      </c>
      <c r="F693" s="2" t="s">
        <v>51</v>
      </c>
      <c r="G693" s="2" t="s">
        <v>29</v>
      </c>
      <c r="H693">
        <v>0.1</v>
      </c>
      <c r="I693" s="2" t="s">
        <v>47</v>
      </c>
      <c r="J693" s="2" t="s">
        <v>59</v>
      </c>
      <c r="K693">
        <v>1</v>
      </c>
      <c r="L693" s="2" t="s">
        <v>1405</v>
      </c>
      <c r="M693" s="2" t="s">
        <v>1406</v>
      </c>
      <c r="N693">
        <v>49.67</v>
      </c>
      <c r="O693" s="1">
        <v>45803</v>
      </c>
      <c r="P693" s="1">
        <v>45810</v>
      </c>
      <c r="Q693" s="2" t="s">
        <v>25</v>
      </c>
      <c r="R693" s="2">
        <v>1350</v>
      </c>
    </row>
    <row r="694" spans="1:18" x14ac:dyDescent="0.25">
      <c r="A694" s="1">
        <v>45725</v>
      </c>
      <c r="B694" s="2" t="s">
        <v>35</v>
      </c>
      <c r="C694" s="2" t="s">
        <v>27</v>
      </c>
      <c r="D694">
        <v>1</v>
      </c>
      <c r="E694">
        <v>506</v>
      </c>
      <c r="F694" s="2" t="s">
        <v>51</v>
      </c>
      <c r="G694" s="2" t="s">
        <v>20</v>
      </c>
      <c r="H694">
        <v>0</v>
      </c>
      <c r="I694" s="2" t="s">
        <v>62</v>
      </c>
      <c r="J694" s="2" t="s">
        <v>59</v>
      </c>
      <c r="K694">
        <v>0</v>
      </c>
      <c r="L694" s="2" t="s">
        <v>1407</v>
      </c>
      <c r="M694" s="2" t="s">
        <v>1408</v>
      </c>
      <c r="N694">
        <v>17.899999999999999</v>
      </c>
      <c r="O694" s="1">
        <v>45725</v>
      </c>
      <c r="P694" s="1">
        <v>45733</v>
      </c>
      <c r="Q694" s="2" t="s">
        <v>39</v>
      </c>
      <c r="R694" s="2">
        <v>506</v>
      </c>
    </row>
    <row r="695" spans="1:18" x14ac:dyDescent="0.25">
      <c r="A695" s="1">
        <v>45344</v>
      </c>
      <c r="B695" s="2" t="s">
        <v>65</v>
      </c>
      <c r="C695" s="2" t="s">
        <v>75</v>
      </c>
      <c r="D695">
        <v>6</v>
      </c>
      <c r="E695">
        <v>346</v>
      </c>
      <c r="F695" s="2" t="s">
        <v>19</v>
      </c>
      <c r="G695" s="2" t="s">
        <v>29</v>
      </c>
      <c r="H695">
        <v>0.15</v>
      </c>
      <c r="I695" s="2" t="s">
        <v>42</v>
      </c>
      <c r="J695" s="2" t="s">
        <v>53</v>
      </c>
      <c r="K695">
        <v>0</v>
      </c>
      <c r="L695" s="2" t="s">
        <v>1409</v>
      </c>
      <c r="M695" s="2" t="s">
        <v>1410</v>
      </c>
      <c r="N695">
        <v>30.58</v>
      </c>
      <c r="O695" s="1">
        <v>45344</v>
      </c>
      <c r="P695" s="1">
        <v>45354</v>
      </c>
      <c r="Q695" s="2" t="s">
        <v>68</v>
      </c>
      <c r="R695" s="2">
        <v>1765</v>
      </c>
    </row>
    <row r="696" spans="1:18" x14ac:dyDescent="0.25">
      <c r="A696" s="1">
        <v>45691</v>
      </c>
      <c r="B696" s="2" t="s">
        <v>17</v>
      </c>
      <c r="C696" s="2" t="s">
        <v>75</v>
      </c>
      <c r="D696">
        <v>15</v>
      </c>
      <c r="E696">
        <v>342</v>
      </c>
      <c r="F696" s="2" t="s">
        <v>46</v>
      </c>
      <c r="G696" s="2" t="s">
        <v>29</v>
      </c>
      <c r="H696">
        <v>0.15</v>
      </c>
      <c r="I696" s="2" t="s">
        <v>52</v>
      </c>
      <c r="J696" s="2" t="s">
        <v>31</v>
      </c>
      <c r="K696">
        <v>0</v>
      </c>
      <c r="L696" s="2" t="s">
        <v>1411</v>
      </c>
      <c r="M696" s="2" t="s">
        <v>1412</v>
      </c>
      <c r="N696">
        <v>44.91</v>
      </c>
      <c r="O696" s="1">
        <v>45691</v>
      </c>
      <c r="P696" s="1">
        <v>45696</v>
      </c>
      <c r="Q696" s="2" t="s">
        <v>25</v>
      </c>
      <c r="R696" s="2">
        <v>4360</v>
      </c>
    </row>
    <row r="697" spans="1:18" x14ac:dyDescent="0.25">
      <c r="A697" s="1">
        <v>45300</v>
      </c>
      <c r="B697" s="2" t="s">
        <v>40</v>
      </c>
      <c r="C697" s="2" t="s">
        <v>126</v>
      </c>
      <c r="D697">
        <v>11</v>
      </c>
      <c r="E697">
        <v>405</v>
      </c>
      <c r="F697" s="2" t="s">
        <v>28</v>
      </c>
      <c r="G697" s="2" t="s">
        <v>20</v>
      </c>
      <c r="H697">
        <v>0.05</v>
      </c>
      <c r="I697" s="2" t="s">
        <v>30</v>
      </c>
      <c r="J697" s="2" t="s">
        <v>31</v>
      </c>
      <c r="K697">
        <v>0</v>
      </c>
      <c r="L697" s="2" t="s">
        <v>1413</v>
      </c>
      <c r="M697" s="2" t="s">
        <v>1414</v>
      </c>
      <c r="N697">
        <v>18.920000000000002</v>
      </c>
      <c r="O697" s="1">
        <v>45300</v>
      </c>
      <c r="P697" s="1">
        <v>45307</v>
      </c>
      <c r="Q697" s="2" t="s">
        <v>45</v>
      </c>
      <c r="R697" s="2">
        <v>4232</v>
      </c>
    </row>
    <row r="698" spans="1:18" x14ac:dyDescent="0.25">
      <c r="A698" s="1">
        <v>45782</v>
      </c>
      <c r="B698" s="2" t="s">
        <v>35</v>
      </c>
      <c r="C698" s="2" t="s">
        <v>36</v>
      </c>
      <c r="D698">
        <v>9</v>
      </c>
      <c r="E698">
        <v>292</v>
      </c>
      <c r="F698" s="2" t="s">
        <v>28</v>
      </c>
      <c r="G698" s="2" t="s">
        <v>20</v>
      </c>
      <c r="H698">
        <v>0.05</v>
      </c>
      <c r="I698" s="2" t="s">
        <v>47</v>
      </c>
      <c r="J698" s="2" t="s">
        <v>53</v>
      </c>
      <c r="K698">
        <v>0</v>
      </c>
      <c r="L698" s="2" t="s">
        <v>1415</v>
      </c>
      <c r="M698" s="2" t="s">
        <v>1416</v>
      </c>
      <c r="N698">
        <v>34.26</v>
      </c>
      <c r="O698" s="1">
        <v>45782</v>
      </c>
      <c r="P698" s="1">
        <v>45791</v>
      </c>
      <c r="Q698" s="2" t="s">
        <v>39</v>
      </c>
      <c r="R698" s="2">
        <v>2497</v>
      </c>
    </row>
    <row r="699" spans="1:18" x14ac:dyDescent="0.25">
      <c r="A699" s="1">
        <v>45033</v>
      </c>
      <c r="B699" s="2" t="s">
        <v>40</v>
      </c>
      <c r="C699" s="2" t="s">
        <v>36</v>
      </c>
      <c r="D699">
        <v>5</v>
      </c>
      <c r="E699">
        <v>548</v>
      </c>
      <c r="F699" s="2" t="s">
        <v>28</v>
      </c>
      <c r="G699" s="2" t="s">
        <v>29</v>
      </c>
      <c r="H699">
        <v>0.1</v>
      </c>
      <c r="I699" s="2" t="s">
        <v>21</v>
      </c>
      <c r="J699" s="2" t="s">
        <v>56</v>
      </c>
      <c r="K699">
        <v>0</v>
      </c>
      <c r="L699" s="2" t="s">
        <v>1417</v>
      </c>
      <c r="M699" s="2" t="s">
        <v>1418</v>
      </c>
      <c r="N699">
        <v>24.68</v>
      </c>
      <c r="O699" s="1">
        <v>45033</v>
      </c>
      <c r="P699" s="1">
        <v>45037</v>
      </c>
      <c r="Q699" s="2" t="s">
        <v>45</v>
      </c>
      <c r="R699" s="2">
        <v>2466</v>
      </c>
    </row>
    <row r="700" spans="1:18" x14ac:dyDescent="0.25">
      <c r="A700" s="1">
        <v>45459</v>
      </c>
      <c r="B700" s="2" t="s">
        <v>26</v>
      </c>
      <c r="C700" s="2" t="s">
        <v>36</v>
      </c>
      <c r="D700">
        <v>12</v>
      </c>
      <c r="E700">
        <v>349</v>
      </c>
      <c r="F700" s="2" t="s">
        <v>46</v>
      </c>
      <c r="G700" s="2" t="s">
        <v>20</v>
      </c>
      <c r="H700">
        <v>0</v>
      </c>
      <c r="I700" s="2" t="s">
        <v>30</v>
      </c>
      <c r="J700" s="2" t="s">
        <v>53</v>
      </c>
      <c r="K700">
        <v>0</v>
      </c>
      <c r="L700" s="2" t="s">
        <v>1419</v>
      </c>
      <c r="M700" s="2" t="s">
        <v>1420</v>
      </c>
      <c r="N700">
        <v>31.28</v>
      </c>
      <c r="O700" s="1">
        <v>45459</v>
      </c>
      <c r="P700" s="1">
        <v>45464</v>
      </c>
      <c r="Q700" s="2" t="s">
        <v>34</v>
      </c>
      <c r="R700" s="2">
        <v>4188</v>
      </c>
    </row>
    <row r="701" spans="1:18" x14ac:dyDescent="0.25">
      <c r="A701" s="1">
        <v>45597</v>
      </c>
      <c r="B701" s="2" t="s">
        <v>26</v>
      </c>
      <c r="C701" s="2" t="s">
        <v>27</v>
      </c>
      <c r="D701">
        <v>15</v>
      </c>
      <c r="E701">
        <v>486</v>
      </c>
      <c r="F701" s="2" t="s">
        <v>46</v>
      </c>
      <c r="G701" s="2" t="s">
        <v>20</v>
      </c>
      <c r="H701">
        <v>0</v>
      </c>
      <c r="I701" s="2" t="s">
        <v>30</v>
      </c>
      <c r="J701" s="2" t="s">
        <v>56</v>
      </c>
      <c r="K701">
        <v>0</v>
      </c>
      <c r="L701" s="2" t="s">
        <v>1421</v>
      </c>
      <c r="M701" s="2" t="s">
        <v>1422</v>
      </c>
      <c r="N701">
        <v>14.9</v>
      </c>
      <c r="O701" s="1">
        <v>45597</v>
      </c>
      <c r="P701" s="1">
        <v>45600</v>
      </c>
      <c r="Q701" s="2" t="s">
        <v>34</v>
      </c>
      <c r="R701" s="2">
        <v>7290</v>
      </c>
    </row>
    <row r="702" spans="1:18" x14ac:dyDescent="0.25">
      <c r="A702" s="1">
        <v>45695</v>
      </c>
      <c r="B702" s="2" t="s">
        <v>17</v>
      </c>
      <c r="C702" s="2" t="s">
        <v>75</v>
      </c>
      <c r="D702">
        <v>14</v>
      </c>
      <c r="E702">
        <v>159</v>
      </c>
      <c r="F702" s="2" t="s">
        <v>46</v>
      </c>
      <c r="G702" s="2" t="s">
        <v>29</v>
      </c>
      <c r="H702">
        <v>0.15</v>
      </c>
      <c r="I702" s="2" t="s">
        <v>62</v>
      </c>
      <c r="J702" s="2" t="s">
        <v>56</v>
      </c>
      <c r="K702">
        <v>0</v>
      </c>
      <c r="L702" s="2" t="s">
        <v>1423</v>
      </c>
      <c r="M702" s="2" t="s">
        <v>1424</v>
      </c>
      <c r="N702">
        <v>27.05</v>
      </c>
      <c r="O702" s="1">
        <v>45695</v>
      </c>
      <c r="P702" s="1">
        <v>45698</v>
      </c>
      <c r="Q702" s="2" t="s">
        <v>25</v>
      </c>
      <c r="R702" s="2">
        <v>1892</v>
      </c>
    </row>
    <row r="703" spans="1:18" x14ac:dyDescent="0.25">
      <c r="A703" s="1">
        <v>45620</v>
      </c>
      <c r="B703" s="2" t="s">
        <v>26</v>
      </c>
      <c r="C703" s="2" t="s">
        <v>50</v>
      </c>
      <c r="D703">
        <v>12</v>
      </c>
      <c r="E703">
        <v>174</v>
      </c>
      <c r="F703" s="2" t="s">
        <v>51</v>
      </c>
      <c r="G703" s="2" t="s">
        <v>29</v>
      </c>
      <c r="H703">
        <v>0.15</v>
      </c>
      <c r="I703" s="2" t="s">
        <v>21</v>
      </c>
      <c r="J703" s="2" t="s">
        <v>53</v>
      </c>
      <c r="K703">
        <v>0</v>
      </c>
      <c r="L703" s="2" t="s">
        <v>1425</v>
      </c>
      <c r="M703" s="2" t="s">
        <v>1426</v>
      </c>
      <c r="N703">
        <v>21.23</v>
      </c>
      <c r="O703" s="1">
        <v>45620</v>
      </c>
      <c r="P703" s="1">
        <v>45630</v>
      </c>
      <c r="Q703" s="2" t="s">
        <v>34</v>
      </c>
      <c r="R703" s="2">
        <v>1775</v>
      </c>
    </row>
    <row r="704" spans="1:18" x14ac:dyDescent="0.25">
      <c r="A704" s="1">
        <v>45405</v>
      </c>
      <c r="B704" s="2" t="s">
        <v>40</v>
      </c>
      <c r="C704" s="2" t="s">
        <v>50</v>
      </c>
      <c r="D704">
        <v>13</v>
      </c>
      <c r="E704">
        <v>440</v>
      </c>
      <c r="F704" s="2" t="s">
        <v>28</v>
      </c>
      <c r="G704" s="2" t="s">
        <v>20</v>
      </c>
      <c r="H704">
        <v>0</v>
      </c>
      <c r="I704" s="2" t="s">
        <v>42</v>
      </c>
      <c r="J704" s="2" t="s">
        <v>22</v>
      </c>
      <c r="K704">
        <v>1</v>
      </c>
      <c r="L704" s="2" t="s">
        <v>1427</v>
      </c>
      <c r="M704" s="2" t="s">
        <v>652</v>
      </c>
      <c r="N704">
        <v>12.23</v>
      </c>
      <c r="O704" s="1">
        <v>45405</v>
      </c>
      <c r="P704" s="1">
        <v>45414</v>
      </c>
      <c r="Q704" s="2" t="s">
        <v>45</v>
      </c>
      <c r="R704" s="2">
        <v>5720</v>
      </c>
    </row>
    <row r="705" spans="1:18" x14ac:dyDescent="0.25">
      <c r="A705" s="1">
        <v>45467</v>
      </c>
      <c r="B705" s="2" t="s">
        <v>17</v>
      </c>
      <c r="C705" s="2" t="s">
        <v>18</v>
      </c>
      <c r="D705">
        <v>9</v>
      </c>
      <c r="E705">
        <v>265</v>
      </c>
      <c r="F705" s="2" t="s">
        <v>51</v>
      </c>
      <c r="G705" s="2" t="s">
        <v>20</v>
      </c>
      <c r="H705">
        <v>0.05</v>
      </c>
      <c r="I705" s="2" t="s">
        <v>21</v>
      </c>
      <c r="J705" s="2" t="s">
        <v>53</v>
      </c>
      <c r="K705">
        <v>0</v>
      </c>
      <c r="L705" s="2" t="s">
        <v>1428</v>
      </c>
      <c r="M705" s="2" t="s">
        <v>1429</v>
      </c>
      <c r="N705">
        <v>40.18</v>
      </c>
      <c r="O705" s="1">
        <v>45467</v>
      </c>
      <c r="P705" s="1">
        <v>45470</v>
      </c>
      <c r="Q705" s="2" t="s">
        <v>25</v>
      </c>
      <c r="R705" s="2">
        <v>2266</v>
      </c>
    </row>
    <row r="706" spans="1:18" x14ac:dyDescent="0.25">
      <c r="A706" s="1">
        <v>45809</v>
      </c>
      <c r="B706" s="2" t="s">
        <v>65</v>
      </c>
      <c r="C706" s="2" t="s">
        <v>50</v>
      </c>
      <c r="D706">
        <v>12</v>
      </c>
      <c r="E706">
        <v>290</v>
      </c>
      <c r="F706" s="2" t="s">
        <v>19</v>
      </c>
      <c r="G706" s="2" t="s">
        <v>29</v>
      </c>
      <c r="H706">
        <v>0.1</v>
      </c>
      <c r="I706" s="2" t="s">
        <v>47</v>
      </c>
      <c r="J706" s="2" t="s">
        <v>59</v>
      </c>
      <c r="K706">
        <v>1</v>
      </c>
      <c r="L706" s="2" t="s">
        <v>1430</v>
      </c>
      <c r="M706" s="2" t="s">
        <v>1431</v>
      </c>
      <c r="N706">
        <v>5.55</v>
      </c>
      <c r="O706" s="1">
        <v>45809</v>
      </c>
      <c r="P706" s="1">
        <v>45815</v>
      </c>
      <c r="Q706" s="2" t="s">
        <v>68</v>
      </c>
      <c r="R706" s="2">
        <v>3132</v>
      </c>
    </row>
    <row r="707" spans="1:18" x14ac:dyDescent="0.25">
      <c r="A707" s="1">
        <v>44997</v>
      </c>
      <c r="B707" s="2" t="s">
        <v>65</v>
      </c>
      <c r="C707" s="2" t="s">
        <v>75</v>
      </c>
      <c r="D707">
        <v>6</v>
      </c>
      <c r="E707">
        <v>89</v>
      </c>
      <c r="F707" s="2" t="s">
        <v>19</v>
      </c>
      <c r="G707" s="2" t="s">
        <v>20</v>
      </c>
      <c r="H707">
        <v>0</v>
      </c>
      <c r="I707" s="2" t="s">
        <v>47</v>
      </c>
      <c r="J707" s="2" t="s">
        <v>31</v>
      </c>
      <c r="K707">
        <v>0</v>
      </c>
      <c r="L707" s="2" t="s">
        <v>1432</v>
      </c>
      <c r="M707" s="2" t="s">
        <v>1433</v>
      </c>
      <c r="N707">
        <v>16.98</v>
      </c>
      <c r="O707" s="1">
        <v>44997</v>
      </c>
      <c r="P707" s="1">
        <v>44999</v>
      </c>
      <c r="Q707" s="2" t="s">
        <v>68</v>
      </c>
      <c r="R707" s="2">
        <v>534</v>
      </c>
    </row>
    <row r="708" spans="1:18" x14ac:dyDescent="0.25">
      <c r="A708" s="1">
        <v>45607</v>
      </c>
      <c r="B708" s="2" t="s">
        <v>40</v>
      </c>
      <c r="C708" s="2" t="s">
        <v>36</v>
      </c>
      <c r="D708">
        <v>2</v>
      </c>
      <c r="E708">
        <v>240</v>
      </c>
      <c r="F708" s="2" t="s">
        <v>46</v>
      </c>
      <c r="G708" s="2" t="s">
        <v>29</v>
      </c>
      <c r="H708">
        <v>0</v>
      </c>
      <c r="I708" s="2" t="s">
        <v>52</v>
      </c>
      <c r="J708" s="2" t="s">
        <v>53</v>
      </c>
      <c r="K708">
        <v>0</v>
      </c>
      <c r="L708" s="2" t="s">
        <v>1434</v>
      </c>
      <c r="M708" s="2" t="s">
        <v>1435</v>
      </c>
      <c r="N708">
        <v>28.96</v>
      </c>
      <c r="O708" s="1">
        <v>45607</v>
      </c>
      <c r="P708" s="1">
        <v>45615</v>
      </c>
      <c r="Q708" s="2" t="s">
        <v>45</v>
      </c>
      <c r="R708" s="2">
        <v>480</v>
      </c>
    </row>
    <row r="709" spans="1:18" x14ac:dyDescent="0.25">
      <c r="A709" s="1">
        <v>45582</v>
      </c>
      <c r="B709" s="2" t="s">
        <v>40</v>
      </c>
      <c r="C709" s="2" t="s">
        <v>75</v>
      </c>
      <c r="D709">
        <v>8</v>
      </c>
      <c r="E709">
        <v>40</v>
      </c>
      <c r="F709" s="2" t="s">
        <v>46</v>
      </c>
      <c r="G709" s="2" t="s">
        <v>29</v>
      </c>
      <c r="H709">
        <v>0.1</v>
      </c>
      <c r="I709" s="2" t="s">
        <v>62</v>
      </c>
      <c r="J709" s="2" t="s">
        <v>53</v>
      </c>
      <c r="K709">
        <v>0</v>
      </c>
      <c r="L709" s="2" t="s">
        <v>1436</v>
      </c>
      <c r="M709" s="2" t="s">
        <v>1437</v>
      </c>
      <c r="N709">
        <v>46.16</v>
      </c>
      <c r="O709" s="1">
        <v>45582</v>
      </c>
      <c r="P709" s="1">
        <v>45591</v>
      </c>
      <c r="Q709" s="2" t="s">
        <v>45</v>
      </c>
      <c r="R709" s="2">
        <v>288</v>
      </c>
    </row>
    <row r="710" spans="1:18" x14ac:dyDescent="0.25">
      <c r="A710" s="1">
        <v>45056</v>
      </c>
      <c r="B710" s="2" t="s">
        <v>17</v>
      </c>
      <c r="C710" s="2" t="s">
        <v>126</v>
      </c>
      <c r="D710">
        <v>18</v>
      </c>
      <c r="E710">
        <v>207</v>
      </c>
      <c r="F710" s="2" t="s">
        <v>28</v>
      </c>
      <c r="G710" s="2" t="s">
        <v>29</v>
      </c>
      <c r="H710">
        <v>0.05</v>
      </c>
      <c r="I710" s="2" t="s">
        <v>42</v>
      </c>
      <c r="J710" s="2" t="s">
        <v>56</v>
      </c>
      <c r="K710">
        <v>1</v>
      </c>
      <c r="L710" s="2" t="s">
        <v>1438</v>
      </c>
      <c r="M710" s="2" t="s">
        <v>1439</v>
      </c>
      <c r="N710">
        <v>39.25</v>
      </c>
      <c r="O710" s="1">
        <v>45056</v>
      </c>
      <c r="P710" s="1">
        <v>45059</v>
      </c>
      <c r="Q710" s="2" t="s">
        <v>25</v>
      </c>
      <c r="R710" s="2">
        <v>3540</v>
      </c>
    </row>
    <row r="711" spans="1:18" x14ac:dyDescent="0.25">
      <c r="A711" s="1">
        <v>45136</v>
      </c>
      <c r="B711" s="2" t="s">
        <v>17</v>
      </c>
      <c r="C711" s="2" t="s">
        <v>18</v>
      </c>
      <c r="D711">
        <v>18</v>
      </c>
      <c r="E711">
        <v>176</v>
      </c>
      <c r="F711" s="2" t="s">
        <v>46</v>
      </c>
      <c r="G711" s="2" t="s">
        <v>29</v>
      </c>
      <c r="H711">
        <v>0</v>
      </c>
      <c r="I711" s="2" t="s">
        <v>21</v>
      </c>
      <c r="J711" s="2" t="s">
        <v>31</v>
      </c>
      <c r="K711">
        <v>1</v>
      </c>
      <c r="L711" s="2" t="s">
        <v>1440</v>
      </c>
      <c r="M711" s="2" t="s">
        <v>1441</v>
      </c>
      <c r="N711">
        <v>26.97</v>
      </c>
      <c r="O711" s="1">
        <v>45136</v>
      </c>
      <c r="P711" s="1">
        <v>45145</v>
      </c>
      <c r="Q711" s="2" t="s">
        <v>25</v>
      </c>
      <c r="R711" s="2">
        <v>3168</v>
      </c>
    </row>
    <row r="712" spans="1:18" x14ac:dyDescent="0.25">
      <c r="A712" s="1">
        <v>45164</v>
      </c>
      <c r="B712" s="2" t="s">
        <v>40</v>
      </c>
      <c r="C712" s="2" t="s">
        <v>27</v>
      </c>
      <c r="D712">
        <v>14</v>
      </c>
      <c r="E712">
        <v>547</v>
      </c>
      <c r="F712" s="2" t="s">
        <v>46</v>
      </c>
      <c r="G712" s="2" t="s">
        <v>29</v>
      </c>
      <c r="H712">
        <v>0.15</v>
      </c>
      <c r="I712" s="2" t="s">
        <v>52</v>
      </c>
      <c r="J712" s="2" t="s">
        <v>22</v>
      </c>
      <c r="K712">
        <v>0</v>
      </c>
      <c r="L712" s="2" t="s">
        <v>1442</v>
      </c>
      <c r="M712" s="2" t="s">
        <v>1443</v>
      </c>
      <c r="N712">
        <v>25.24</v>
      </c>
      <c r="O712" s="1">
        <v>45164</v>
      </c>
      <c r="P712" s="1">
        <v>45167</v>
      </c>
      <c r="Q712" s="2" t="s">
        <v>45</v>
      </c>
      <c r="R712" s="2">
        <v>6509</v>
      </c>
    </row>
    <row r="713" spans="1:18" x14ac:dyDescent="0.25">
      <c r="A713" s="1">
        <v>45288</v>
      </c>
      <c r="B713" s="2" t="s">
        <v>17</v>
      </c>
      <c r="C713" s="2" t="s">
        <v>18</v>
      </c>
      <c r="D713">
        <v>19</v>
      </c>
      <c r="E713">
        <v>375</v>
      </c>
      <c r="F713" s="2" t="s">
        <v>28</v>
      </c>
      <c r="G713" s="2" t="s">
        <v>29</v>
      </c>
      <c r="H713">
        <v>0.05</v>
      </c>
      <c r="I713" s="2" t="s">
        <v>47</v>
      </c>
      <c r="J713" s="2" t="s">
        <v>22</v>
      </c>
      <c r="K713">
        <v>0</v>
      </c>
      <c r="L713" s="2" t="s">
        <v>1444</v>
      </c>
      <c r="M713" s="2" t="s">
        <v>1445</v>
      </c>
      <c r="N713">
        <v>41.67</v>
      </c>
      <c r="O713" s="1">
        <v>45288</v>
      </c>
      <c r="P713" s="1">
        <v>45294</v>
      </c>
      <c r="Q713" s="2" t="s">
        <v>25</v>
      </c>
      <c r="R713" s="2">
        <v>6769</v>
      </c>
    </row>
    <row r="714" spans="1:18" x14ac:dyDescent="0.25">
      <c r="A714" s="1">
        <v>45726</v>
      </c>
      <c r="B714" s="2" t="s">
        <v>35</v>
      </c>
      <c r="C714" s="2" t="s">
        <v>75</v>
      </c>
      <c r="D714">
        <v>9</v>
      </c>
      <c r="E714">
        <v>508</v>
      </c>
      <c r="F714" s="2" t="s">
        <v>51</v>
      </c>
      <c r="G714" s="2" t="s">
        <v>29</v>
      </c>
      <c r="H714">
        <v>0.15</v>
      </c>
      <c r="I714" s="2" t="s">
        <v>62</v>
      </c>
      <c r="J714" s="2" t="s">
        <v>59</v>
      </c>
      <c r="K714">
        <v>1</v>
      </c>
      <c r="L714" s="2" t="s">
        <v>1446</v>
      </c>
      <c r="M714" s="2" t="s">
        <v>1447</v>
      </c>
      <c r="N714">
        <v>22.08</v>
      </c>
      <c r="O714" s="1">
        <v>45726</v>
      </c>
      <c r="P714" s="1">
        <v>45733</v>
      </c>
      <c r="Q714" s="2" t="s">
        <v>39</v>
      </c>
      <c r="R714" s="2">
        <v>3886</v>
      </c>
    </row>
    <row r="715" spans="1:18" x14ac:dyDescent="0.25">
      <c r="A715" s="1">
        <v>45178</v>
      </c>
      <c r="B715" s="2" t="s">
        <v>40</v>
      </c>
      <c r="C715" s="2" t="s">
        <v>36</v>
      </c>
      <c r="D715">
        <v>1</v>
      </c>
      <c r="E715">
        <v>224</v>
      </c>
      <c r="F715" s="2" t="s">
        <v>19</v>
      </c>
      <c r="G715" s="2" t="s">
        <v>20</v>
      </c>
      <c r="H715">
        <v>0.15</v>
      </c>
      <c r="I715" s="2" t="s">
        <v>62</v>
      </c>
      <c r="J715" s="2" t="s">
        <v>53</v>
      </c>
      <c r="K715">
        <v>0</v>
      </c>
      <c r="L715" s="2" t="s">
        <v>1448</v>
      </c>
      <c r="M715" s="2" t="s">
        <v>1449</v>
      </c>
      <c r="N715">
        <v>37.840000000000003</v>
      </c>
      <c r="O715" s="1">
        <v>45178</v>
      </c>
      <c r="P715" s="1">
        <v>45183</v>
      </c>
      <c r="Q715" s="2" t="s">
        <v>45</v>
      </c>
      <c r="R715" s="2">
        <v>190</v>
      </c>
    </row>
    <row r="716" spans="1:18" x14ac:dyDescent="0.25">
      <c r="A716" s="1">
        <v>45074</v>
      </c>
      <c r="B716" s="2" t="s">
        <v>35</v>
      </c>
      <c r="C716" s="2" t="s">
        <v>75</v>
      </c>
      <c r="D716">
        <v>2</v>
      </c>
      <c r="E716">
        <v>294</v>
      </c>
      <c r="F716" s="2" t="s">
        <v>46</v>
      </c>
      <c r="G716" s="2" t="s">
        <v>29</v>
      </c>
      <c r="H716">
        <v>0.1</v>
      </c>
      <c r="I716" s="2" t="s">
        <v>52</v>
      </c>
      <c r="J716" s="2" t="s">
        <v>31</v>
      </c>
      <c r="K716">
        <v>0</v>
      </c>
      <c r="L716" s="2" t="s">
        <v>1450</v>
      </c>
      <c r="M716" s="2" t="s">
        <v>1451</v>
      </c>
      <c r="N716">
        <v>9.0500000000000007</v>
      </c>
      <c r="O716" s="1">
        <v>45074</v>
      </c>
      <c r="P716" s="1">
        <v>45078</v>
      </c>
      <c r="Q716" s="2" t="s">
        <v>39</v>
      </c>
      <c r="R716" s="2">
        <v>529</v>
      </c>
    </row>
    <row r="717" spans="1:18" x14ac:dyDescent="0.25">
      <c r="A717" s="1">
        <v>45798</v>
      </c>
      <c r="B717" s="2" t="s">
        <v>65</v>
      </c>
      <c r="C717" s="2" t="s">
        <v>50</v>
      </c>
      <c r="D717">
        <v>1</v>
      </c>
      <c r="E717">
        <v>319</v>
      </c>
      <c r="F717" s="2" t="s">
        <v>46</v>
      </c>
      <c r="G717" s="2" t="s">
        <v>20</v>
      </c>
      <c r="H717">
        <v>0.15</v>
      </c>
      <c r="I717" s="2" t="s">
        <v>52</v>
      </c>
      <c r="J717" s="2" t="s">
        <v>22</v>
      </c>
      <c r="K717">
        <v>1</v>
      </c>
      <c r="L717" s="2" t="s">
        <v>1452</v>
      </c>
      <c r="M717" s="2" t="s">
        <v>1453</v>
      </c>
      <c r="N717">
        <v>18.100000000000001</v>
      </c>
      <c r="O717" s="1">
        <v>45798</v>
      </c>
      <c r="P717" s="1">
        <v>45808</v>
      </c>
      <c r="Q717" s="2" t="s">
        <v>68</v>
      </c>
      <c r="R717" s="2">
        <v>271</v>
      </c>
    </row>
    <row r="718" spans="1:18" x14ac:dyDescent="0.25">
      <c r="A718" s="1">
        <v>45199</v>
      </c>
      <c r="B718" s="2" t="s">
        <v>17</v>
      </c>
      <c r="C718" s="2" t="s">
        <v>18</v>
      </c>
      <c r="D718">
        <v>14</v>
      </c>
      <c r="E718">
        <v>244</v>
      </c>
      <c r="F718" s="2" t="s">
        <v>51</v>
      </c>
      <c r="G718" s="2" t="s">
        <v>20</v>
      </c>
      <c r="H718">
        <v>0.05</v>
      </c>
      <c r="I718" s="2" t="s">
        <v>52</v>
      </c>
      <c r="J718" s="2" t="s">
        <v>22</v>
      </c>
      <c r="K718">
        <v>1</v>
      </c>
      <c r="L718" s="2" t="s">
        <v>1454</v>
      </c>
      <c r="M718" s="2" t="s">
        <v>1455</v>
      </c>
      <c r="N718">
        <v>13.24</v>
      </c>
      <c r="O718" s="1">
        <v>45199</v>
      </c>
      <c r="P718" s="1">
        <v>45203</v>
      </c>
      <c r="Q718" s="2" t="s">
        <v>25</v>
      </c>
      <c r="R718" s="2">
        <v>3245</v>
      </c>
    </row>
    <row r="719" spans="1:18" x14ac:dyDescent="0.25">
      <c r="A719" s="1">
        <v>45573</v>
      </c>
      <c r="B719" s="2" t="s">
        <v>26</v>
      </c>
      <c r="C719" s="2" t="s">
        <v>18</v>
      </c>
      <c r="D719">
        <v>6</v>
      </c>
      <c r="E719">
        <v>48</v>
      </c>
      <c r="F719" s="2" t="s">
        <v>51</v>
      </c>
      <c r="G719" s="2" t="s">
        <v>29</v>
      </c>
      <c r="H719">
        <v>0.1</v>
      </c>
      <c r="I719" s="2" t="s">
        <v>52</v>
      </c>
      <c r="J719" s="2" t="s">
        <v>22</v>
      </c>
      <c r="K719">
        <v>0</v>
      </c>
      <c r="L719" s="2" t="s">
        <v>1456</v>
      </c>
      <c r="M719" s="2" t="s">
        <v>1457</v>
      </c>
      <c r="N719">
        <v>6.11</v>
      </c>
      <c r="O719" s="1">
        <v>45573</v>
      </c>
      <c r="P719" s="1">
        <v>45578</v>
      </c>
      <c r="Q719" s="2" t="s">
        <v>34</v>
      </c>
      <c r="R719" s="2">
        <v>259</v>
      </c>
    </row>
    <row r="720" spans="1:18" x14ac:dyDescent="0.25">
      <c r="A720" s="1">
        <v>45030</v>
      </c>
      <c r="B720" s="2" t="s">
        <v>17</v>
      </c>
      <c r="C720" s="2" t="s">
        <v>18</v>
      </c>
      <c r="D720">
        <v>20</v>
      </c>
      <c r="E720">
        <v>87</v>
      </c>
      <c r="F720" s="2" t="s">
        <v>19</v>
      </c>
      <c r="G720" s="2" t="s">
        <v>29</v>
      </c>
      <c r="H720">
        <v>0</v>
      </c>
      <c r="I720" s="2" t="s">
        <v>47</v>
      </c>
      <c r="J720" s="2" t="s">
        <v>22</v>
      </c>
      <c r="K720">
        <v>0</v>
      </c>
      <c r="L720" s="2" t="s">
        <v>1458</v>
      </c>
      <c r="M720" s="2" t="s">
        <v>1459</v>
      </c>
      <c r="N720">
        <v>48.48</v>
      </c>
      <c r="O720" s="1">
        <v>45030</v>
      </c>
      <c r="P720" s="1">
        <v>45039</v>
      </c>
      <c r="Q720" s="2" t="s">
        <v>25</v>
      </c>
      <c r="R720" s="2">
        <v>1740</v>
      </c>
    </row>
    <row r="721" spans="1:18" x14ac:dyDescent="0.25">
      <c r="A721" s="1">
        <v>44990</v>
      </c>
      <c r="B721" s="2" t="s">
        <v>26</v>
      </c>
      <c r="C721" s="2" t="s">
        <v>50</v>
      </c>
      <c r="D721">
        <v>17</v>
      </c>
      <c r="E721">
        <v>466</v>
      </c>
      <c r="F721" s="2" t="s">
        <v>46</v>
      </c>
      <c r="G721" s="2" t="s">
        <v>29</v>
      </c>
      <c r="H721">
        <v>0.1</v>
      </c>
      <c r="I721" s="2" t="s">
        <v>62</v>
      </c>
      <c r="J721" s="2" t="s">
        <v>56</v>
      </c>
      <c r="K721">
        <v>0</v>
      </c>
      <c r="L721" s="2" t="s">
        <v>1460</v>
      </c>
      <c r="M721" s="2" t="s">
        <v>1461</v>
      </c>
      <c r="N721">
        <v>7.76</v>
      </c>
      <c r="O721" s="1">
        <v>44990</v>
      </c>
      <c r="P721" s="1">
        <v>44995</v>
      </c>
      <c r="Q721" s="2" t="s">
        <v>34</v>
      </c>
      <c r="R721" s="2">
        <v>7130</v>
      </c>
    </row>
    <row r="722" spans="1:18" x14ac:dyDescent="0.25">
      <c r="A722" s="1">
        <v>45490</v>
      </c>
      <c r="B722" s="2" t="s">
        <v>35</v>
      </c>
      <c r="C722" s="2" t="s">
        <v>36</v>
      </c>
      <c r="D722">
        <v>17</v>
      </c>
      <c r="E722">
        <v>279</v>
      </c>
      <c r="F722" s="2" t="s">
        <v>19</v>
      </c>
      <c r="G722" s="2" t="s">
        <v>20</v>
      </c>
      <c r="H722">
        <v>0.05</v>
      </c>
      <c r="I722" s="2" t="s">
        <v>42</v>
      </c>
      <c r="J722" s="2" t="s">
        <v>53</v>
      </c>
      <c r="K722">
        <v>0</v>
      </c>
      <c r="L722" s="2" t="s">
        <v>1462</v>
      </c>
      <c r="M722" s="2" t="s">
        <v>1463</v>
      </c>
      <c r="N722">
        <v>30.3</v>
      </c>
      <c r="O722" s="1">
        <v>45490</v>
      </c>
      <c r="P722" s="1">
        <v>45493</v>
      </c>
      <c r="Q722" s="2" t="s">
        <v>39</v>
      </c>
      <c r="R722" s="2">
        <v>4506</v>
      </c>
    </row>
    <row r="723" spans="1:18" x14ac:dyDescent="0.25">
      <c r="A723" s="1">
        <v>45432</v>
      </c>
      <c r="B723" s="2" t="s">
        <v>35</v>
      </c>
      <c r="C723" s="2" t="s">
        <v>75</v>
      </c>
      <c r="D723">
        <v>16</v>
      </c>
      <c r="E723">
        <v>428</v>
      </c>
      <c r="F723" s="2" t="s">
        <v>28</v>
      </c>
      <c r="G723" s="2" t="s">
        <v>29</v>
      </c>
      <c r="H723">
        <v>0.1</v>
      </c>
      <c r="I723" s="2" t="s">
        <v>47</v>
      </c>
      <c r="J723" s="2" t="s">
        <v>56</v>
      </c>
      <c r="K723">
        <v>0</v>
      </c>
      <c r="L723" s="2" t="s">
        <v>1464</v>
      </c>
      <c r="M723" s="2" t="s">
        <v>1465</v>
      </c>
      <c r="N723">
        <v>18.72</v>
      </c>
      <c r="O723" s="1">
        <v>45432</v>
      </c>
      <c r="P723" s="1">
        <v>45441</v>
      </c>
      <c r="Q723" s="2" t="s">
        <v>39</v>
      </c>
      <c r="R723" s="2">
        <v>6163</v>
      </c>
    </row>
    <row r="724" spans="1:18" x14ac:dyDescent="0.25">
      <c r="A724" s="1">
        <v>45783</v>
      </c>
      <c r="B724" s="2" t="s">
        <v>35</v>
      </c>
      <c r="C724" s="2" t="s">
        <v>18</v>
      </c>
      <c r="D724">
        <v>15</v>
      </c>
      <c r="E724">
        <v>282</v>
      </c>
      <c r="F724" s="2" t="s">
        <v>19</v>
      </c>
      <c r="G724" s="2" t="s">
        <v>20</v>
      </c>
      <c r="H724">
        <v>0.1</v>
      </c>
      <c r="I724" s="2" t="s">
        <v>62</v>
      </c>
      <c r="J724" s="2" t="s">
        <v>53</v>
      </c>
      <c r="K724">
        <v>0</v>
      </c>
      <c r="L724" s="2" t="s">
        <v>1466</v>
      </c>
      <c r="M724" s="2" t="s">
        <v>1467</v>
      </c>
      <c r="N724">
        <v>36.869999999999997</v>
      </c>
      <c r="O724" s="1">
        <v>45783</v>
      </c>
      <c r="P724" s="1">
        <v>45787</v>
      </c>
      <c r="Q724" s="2" t="s">
        <v>39</v>
      </c>
      <c r="R724" s="2">
        <v>3807</v>
      </c>
    </row>
    <row r="725" spans="1:18" x14ac:dyDescent="0.25">
      <c r="A725" s="1">
        <v>44941</v>
      </c>
      <c r="B725" s="2" t="s">
        <v>35</v>
      </c>
      <c r="C725" s="2" t="s">
        <v>36</v>
      </c>
      <c r="D725">
        <v>15</v>
      </c>
      <c r="E725">
        <v>185</v>
      </c>
      <c r="F725" s="2" t="s">
        <v>19</v>
      </c>
      <c r="G725" s="2" t="s">
        <v>20</v>
      </c>
      <c r="H725">
        <v>0</v>
      </c>
      <c r="I725" s="2" t="s">
        <v>30</v>
      </c>
      <c r="J725" s="2" t="s">
        <v>59</v>
      </c>
      <c r="K725">
        <v>0</v>
      </c>
      <c r="L725" s="2" t="s">
        <v>1468</v>
      </c>
      <c r="M725" s="2" t="s">
        <v>1469</v>
      </c>
      <c r="N725">
        <v>29.31</v>
      </c>
      <c r="O725" s="1">
        <v>44941</v>
      </c>
      <c r="P725" s="1">
        <v>44943</v>
      </c>
      <c r="Q725" s="2" t="s">
        <v>39</v>
      </c>
      <c r="R725" s="2">
        <v>2775</v>
      </c>
    </row>
    <row r="726" spans="1:18" x14ac:dyDescent="0.25">
      <c r="A726" s="1">
        <v>45300</v>
      </c>
      <c r="B726" s="2" t="s">
        <v>40</v>
      </c>
      <c r="C726" s="2" t="s">
        <v>50</v>
      </c>
      <c r="D726">
        <v>19</v>
      </c>
      <c r="E726">
        <v>381</v>
      </c>
      <c r="F726" s="2" t="s">
        <v>51</v>
      </c>
      <c r="G726" s="2" t="s">
        <v>20</v>
      </c>
      <c r="H726">
        <v>0.1</v>
      </c>
      <c r="I726" s="2" t="s">
        <v>52</v>
      </c>
      <c r="J726" s="2" t="s">
        <v>53</v>
      </c>
      <c r="K726">
        <v>0</v>
      </c>
      <c r="L726" s="2" t="s">
        <v>1470</v>
      </c>
      <c r="M726" s="2" t="s">
        <v>1471</v>
      </c>
      <c r="N726">
        <v>48.73</v>
      </c>
      <c r="O726" s="1">
        <v>45300</v>
      </c>
      <c r="P726" s="1">
        <v>45303</v>
      </c>
      <c r="Q726" s="2" t="s">
        <v>45</v>
      </c>
      <c r="R726" s="2">
        <v>6515</v>
      </c>
    </row>
    <row r="727" spans="1:18" x14ac:dyDescent="0.25">
      <c r="A727" s="1">
        <v>45119</v>
      </c>
      <c r="B727" s="2" t="s">
        <v>26</v>
      </c>
      <c r="C727" s="2" t="s">
        <v>41</v>
      </c>
      <c r="D727">
        <v>4</v>
      </c>
      <c r="E727">
        <v>445</v>
      </c>
      <c r="F727" s="2" t="s">
        <v>19</v>
      </c>
      <c r="G727" s="2" t="s">
        <v>29</v>
      </c>
      <c r="H727">
        <v>0.15</v>
      </c>
      <c r="I727" s="2" t="s">
        <v>47</v>
      </c>
      <c r="J727" s="2" t="s">
        <v>22</v>
      </c>
      <c r="K727">
        <v>0</v>
      </c>
      <c r="L727" s="2" t="s">
        <v>1472</v>
      </c>
      <c r="M727" s="2" t="s">
        <v>1473</v>
      </c>
      <c r="N727">
        <v>47.14</v>
      </c>
      <c r="O727" s="1">
        <v>45119</v>
      </c>
      <c r="P727" s="1">
        <v>45128</v>
      </c>
      <c r="Q727" s="2" t="s">
        <v>34</v>
      </c>
      <c r="R727" s="2">
        <v>1513</v>
      </c>
    </row>
    <row r="728" spans="1:18" x14ac:dyDescent="0.25">
      <c r="A728" s="1">
        <v>45829</v>
      </c>
      <c r="B728" s="2" t="s">
        <v>17</v>
      </c>
      <c r="C728" s="2" t="s">
        <v>41</v>
      </c>
      <c r="D728">
        <v>7</v>
      </c>
      <c r="E728">
        <v>591</v>
      </c>
      <c r="F728" s="2" t="s">
        <v>19</v>
      </c>
      <c r="G728" s="2" t="s">
        <v>29</v>
      </c>
      <c r="H728">
        <v>0.05</v>
      </c>
      <c r="I728" s="2" t="s">
        <v>21</v>
      </c>
      <c r="J728" s="2" t="s">
        <v>59</v>
      </c>
      <c r="K728">
        <v>1</v>
      </c>
      <c r="L728" s="2" t="s">
        <v>1474</v>
      </c>
      <c r="M728" s="2" t="s">
        <v>1475</v>
      </c>
      <c r="N728">
        <v>41.39</v>
      </c>
      <c r="O728" s="1">
        <v>45829</v>
      </c>
      <c r="P728" s="1">
        <v>45834</v>
      </c>
      <c r="Q728" s="2" t="s">
        <v>25</v>
      </c>
      <c r="R728" s="2">
        <v>3930</v>
      </c>
    </row>
    <row r="729" spans="1:18" x14ac:dyDescent="0.25">
      <c r="A729" s="1">
        <v>45655</v>
      </c>
      <c r="B729" s="2" t="s">
        <v>35</v>
      </c>
      <c r="C729" s="2" t="s">
        <v>126</v>
      </c>
      <c r="D729">
        <v>5</v>
      </c>
      <c r="E729">
        <v>35</v>
      </c>
      <c r="F729" s="2" t="s">
        <v>28</v>
      </c>
      <c r="G729" s="2" t="s">
        <v>29</v>
      </c>
      <c r="H729">
        <v>0.1</v>
      </c>
      <c r="I729" s="2" t="s">
        <v>42</v>
      </c>
      <c r="J729" s="2" t="s">
        <v>31</v>
      </c>
      <c r="K729">
        <v>0</v>
      </c>
      <c r="L729" s="2" t="s">
        <v>1476</v>
      </c>
      <c r="M729" s="2" t="s">
        <v>1477</v>
      </c>
      <c r="N729">
        <v>27.1</v>
      </c>
      <c r="O729" s="1">
        <v>45655</v>
      </c>
      <c r="P729" s="1">
        <v>45659</v>
      </c>
      <c r="Q729" s="2" t="s">
        <v>39</v>
      </c>
      <c r="R729" s="2">
        <v>158</v>
      </c>
    </row>
    <row r="730" spans="1:18" x14ac:dyDescent="0.25">
      <c r="A730" s="1">
        <v>45069</v>
      </c>
      <c r="B730" s="2" t="s">
        <v>65</v>
      </c>
      <c r="C730" s="2" t="s">
        <v>75</v>
      </c>
      <c r="D730">
        <v>9</v>
      </c>
      <c r="E730">
        <v>438</v>
      </c>
      <c r="F730" s="2" t="s">
        <v>51</v>
      </c>
      <c r="G730" s="2" t="s">
        <v>29</v>
      </c>
      <c r="H730">
        <v>0.05</v>
      </c>
      <c r="I730" s="2" t="s">
        <v>62</v>
      </c>
      <c r="J730" s="2" t="s">
        <v>59</v>
      </c>
      <c r="K730">
        <v>0</v>
      </c>
      <c r="L730" s="2" t="s">
        <v>1478</v>
      </c>
      <c r="M730" s="2" t="s">
        <v>1479</v>
      </c>
      <c r="N730">
        <v>22.73</v>
      </c>
      <c r="O730" s="1">
        <v>45069</v>
      </c>
      <c r="P730" s="1">
        <v>45075</v>
      </c>
      <c r="Q730" s="2" t="s">
        <v>68</v>
      </c>
      <c r="R730" s="2">
        <v>3745</v>
      </c>
    </row>
    <row r="731" spans="1:18" x14ac:dyDescent="0.25">
      <c r="A731" s="1">
        <v>45385</v>
      </c>
      <c r="B731" s="2" t="s">
        <v>40</v>
      </c>
      <c r="C731" s="2" t="s">
        <v>36</v>
      </c>
      <c r="D731">
        <v>5</v>
      </c>
      <c r="E731">
        <v>85</v>
      </c>
      <c r="F731" s="2" t="s">
        <v>28</v>
      </c>
      <c r="G731" s="2" t="s">
        <v>29</v>
      </c>
      <c r="H731">
        <v>0.1</v>
      </c>
      <c r="I731" s="2" t="s">
        <v>47</v>
      </c>
      <c r="J731" s="2" t="s">
        <v>59</v>
      </c>
      <c r="K731">
        <v>1</v>
      </c>
      <c r="L731" s="2" t="s">
        <v>1480</v>
      </c>
      <c r="M731" s="2" t="s">
        <v>1481</v>
      </c>
      <c r="N731">
        <v>29.06</v>
      </c>
      <c r="O731" s="1">
        <v>45385</v>
      </c>
      <c r="P731" s="1">
        <v>45391</v>
      </c>
      <c r="Q731" s="2" t="s">
        <v>45</v>
      </c>
      <c r="R731" s="2">
        <v>382</v>
      </c>
    </row>
    <row r="732" spans="1:18" x14ac:dyDescent="0.25">
      <c r="A732" s="1">
        <v>45308</v>
      </c>
      <c r="B732" s="2" t="s">
        <v>17</v>
      </c>
      <c r="C732" s="2" t="s">
        <v>18</v>
      </c>
      <c r="D732">
        <v>7</v>
      </c>
      <c r="E732">
        <v>322</v>
      </c>
      <c r="F732" s="2" t="s">
        <v>46</v>
      </c>
      <c r="G732" s="2" t="s">
        <v>20</v>
      </c>
      <c r="H732">
        <v>0.1</v>
      </c>
      <c r="I732" s="2" t="s">
        <v>52</v>
      </c>
      <c r="J732" s="2" t="s">
        <v>56</v>
      </c>
      <c r="K732">
        <v>0</v>
      </c>
      <c r="L732" s="2" t="s">
        <v>1482</v>
      </c>
      <c r="M732" s="2" t="s">
        <v>1483</v>
      </c>
      <c r="N732">
        <v>19.91</v>
      </c>
      <c r="O732" s="1">
        <v>45308</v>
      </c>
      <c r="P732" s="1">
        <v>45318</v>
      </c>
      <c r="Q732" s="2" t="s">
        <v>25</v>
      </c>
      <c r="R732" s="2">
        <v>2029</v>
      </c>
    </row>
    <row r="733" spans="1:18" x14ac:dyDescent="0.25">
      <c r="A733" s="1">
        <v>45752</v>
      </c>
      <c r="B733" s="2" t="s">
        <v>40</v>
      </c>
      <c r="C733" s="2" t="s">
        <v>50</v>
      </c>
      <c r="D733">
        <v>2</v>
      </c>
      <c r="E733">
        <v>232</v>
      </c>
      <c r="F733" s="2" t="s">
        <v>19</v>
      </c>
      <c r="G733" s="2" t="s">
        <v>29</v>
      </c>
      <c r="H733">
        <v>0.1</v>
      </c>
      <c r="I733" s="2" t="s">
        <v>30</v>
      </c>
      <c r="J733" s="2" t="s">
        <v>56</v>
      </c>
      <c r="K733">
        <v>1</v>
      </c>
      <c r="L733" s="2" t="s">
        <v>1484</v>
      </c>
      <c r="M733" s="2" t="s">
        <v>1485</v>
      </c>
      <c r="N733">
        <v>32.659999999999997</v>
      </c>
      <c r="O733" s="1">
        <v>45752</v>
      </c>
      <c r="P733" s="1">
        <v>45761</v>
      </c>
      <c r="Q733" s="2" t="s">
        <v>45</v>
      </c>
      <c r="R733" s="2">
        <v>418</v>
      </c>
    </row>
    <row r="734" spans="1:18" x14ac:dyDescent="0.25">
      <c r="A734" s="1">
        <v>45764</v>
      </c>
      <c r="B734" s="2" t="s">
        <v>40</v>
      </c>
      <c r="C734" s="2" t="s">
        <v>41</v>
      </c>
      <c r="D734">
        <v>15</v>
      </c>
      <c r="E734">
        <v>242</v>
      </c>
      <c r="F734" s="2" t="s">
        <v>28</v>
      </c>
      <c r="G734" s="2" t="s">
        <v>20</v>
      </c>
      <c r="H734">
        <v>0.15</v>
      </c>
      <c r="I734" s="2" t="s">
        <v>62</v>
      </c>
      <c r="J734" s="2" t="s">
        <v>53</v>
      </c>
      <c r="K734">
        <v>0</v>
      </c>
      <c r="L734" s="2" t="s">
        <v>1486</v>
      </c>
      <c r="M734" s="2" t="s">
        <v>1487</v>
      </c>
      <c r="N734">
        <v>19.18</v>
      </c>
      <c r="O734" s="1">
        <v>45764</v>
      </c>
      <c r="P734" s="1">
        <v>45770</v>
      </c>
      <c r="Q734" s="2" t="s">
        <v>45</v>
      </c>
      <c r="R734" s="2">
        <v>3086</v>
      </c>
    </row>
    <row r="735" spans="1:18" x14ac:dyDescent="0.25">
      <c r="A735" s="1">
        <v>45577</v>
      </c>
      <c r="B735" s="2" t="s">
        <v>40</v>
      </c>
      <c r="C735" s="2" t="s">
        <v>18</v>
      </c>
      <c r="D735">
        <v>2</v>
      </c>
      <c r="E735">
        <v>48</v>
      </c>
      <c r="F735" s="2" t="s">
        <v>46</v>
      </c>
      <c r="G735" s="2" t="s">
        <v>29</v>
      </c>
      <c r="H735">
        <v>0.05</v>
      </c>
      <c r="I735" s="2" t="s">
        <v>47</v>
      </c>
      <c r="J735" s="2" t="s">
        <v>56</v>
      </c>
      <c r="K735">
        <v>1</v>
      </c>
      <c r="L735" s="2" t="s">
        <v>1488</v>
      </c>
      <c r="M735" s="2" t="s">
        <v>1489</v>
      </c>
      <c r="N735">
        <v>25.81</v>
      </c>
      <c r="O735" s="1">
        <v>45577</v>
      </c>
      <c r="P735" s="1">
        <v>45580</v>
      </c>
      <c r="Q735" s="2" t="s">
        <v>45</v>
      </c>
      <c r="R735" s="2">
        <v>91</v>
      </c>
    </row>
    <row r="736" spans="1:18" x14ac:dyDescent="0.25">
      <c r="A736" s="1">
        <v>45500</v>
      </c>
      <c r="B736" s="2" t="s">
        <v>40</v>
      </c>
      <c r="C736" s="2" t="s">
        <v>41</v>
      </c>
      <c r="D736">
        <v>1</v>
      </c>
      <c r="E736">
        <v>534</v>
      </c>
      <c r="F736" s="2" t="s">
        <v>51</v>
      </c>
      <c r="G736" s="2" t="s">
        <v>20</v>
      </c>
      <c r="H736">
        <v>0.1</v>
      </c>
      <c r="I736" s="2" t="s">
        <v>21</v>
      </c>
      <c r="J736" s="2" t="s">
        <v>22</v>
      </c>
      <c r="K736">
        <v>0</v>
      </c>
      <c r="L736" s="2" t="s">
        <v>1490</v>
      </c>
      <c r="M736" s="2" t="s">
        <v>1491</v>
      </c>
      <c r="N736">
        <v>31.3</v>
      </c>
      <c r="O736" s="1">
        <v>45500</v>
      </c>
      <c r="P736" s="1">
        <v>45505</v>
      </c>
      <c r="Q736" s="2" t="s">
        <v>45</v>
      </c>
      <c r="R736" s="2">
        <v>481</v>
      </c>
    </row>
    <row r="737" spans="1:18" x14ac:dyDescent="0.25">
      <c r="A737" s="1">
        <v>45667</v>
      </c>
      <c r="B737" s="2" t="s">
        <v>65</v>
      </c>
      <c r="C737" s="2" t="s">
        <v>75</v>
      </c>
      <c r="D737">
        <v>3</v>
      </c>
      <c r="E737">
        <v>98</v>
      </c>
      <c r="F737" s="2" t="s">
        <v>51</v>
      </c>
      <c r="G737" s="2" t="s">
        <v>20</v>
      </c>
      <c r="H737">
        <v>0.15</v>
      </c>
      <c r="I737" s="2" t="s">
        <v>52</v>
      </c>
      <c r="J737" s="2" t="s">
        <v>56</v>
      </c>
      <c r="K737">
        <v>0</v>
      </c>
      <c r="L737" s="2" t="s">
        <v>1492</v>
      </c>
      <c r="M737" s="2" t="s">
        <v>1493</v>
      </c>
      <c r="N737">
        <v>46.37</v>
      </c>
      <c r="O737" s="1">
        <v>45667</v>
      </c>
      <c r="P737" s="1">
        <v>45675</v>
      </c>
      <c r="Q737" s="2" t="s">
        <v>68</v>
      </c>
      <c r="R737" s="2">
        <v>250</v>
      </c>
    </row>
    <row r="738" spans="1:18" x14ac:dyDescent="0.25">
      <c r="A738" s="1">
        <v>45498</v>
      </c>
      <c r="B738" s="2" t="s">
        <v>26</v>
      </c>
      <c r="C738" s="2" t="s">
        <v>41</v>
      </c>
      <c r="D738">
        <v>12</v>
      </c>
      <c r="E738">
        <v>62</v>
      </c>
      <c r="F738" s="2" t="s">
        <v>51</v>
      </c>
      <c r="G738" s="2" t="s">
        <v>20</v>
      </c>
      <c r="H738">
        <v>0.05</v>
      </c>
      <c r="I738" s="2" t="s">
        <v>30</v>
      </c>
      <c r="J738" s="2" t="s">
        <v>53</v>
      </c>
      <c r="K738">
        <v>1</v>
      </c>
      <c r="L738" s="2" t="s">
        <v>1494</v>
      </c>
      <c r="M738" s="2" t="s">
        <v>1495</v>
      </c>
      <c r="N738">
        <v>24.34</v>
      </c>
      <c r="O738" s="1">
        <v>45498</v>
      </c>
      <c r="P738" s="1">
        <v>45504</v>
      </c>
      <c r="Q738" s="2" t="s">
        <v>34</v>
      </c>
      <c r="R738" s="2">
        <v>707</v>
      </c>
    </row>
    <row r="739" spans="1:18" x14ac:dyDescent="0.25">
      <c r="A739" s="1">
        <v>45434</v>
      </c>
      <c r="B739" s="2" t="s">
        <v>65</v>
      </c>
      <c r="C739" s="2" t="s">
        <v>75</v>
      </c>
      <c r="D739">
        <v>6</v>
      </c>
      <c r="E739">
        <v>268</v>
      </c>
      <c r="F739" s="2" t="s">
        <v>28</v>
      </c>
      <c r="G739" s="2" t="s">
        <v>20</v>
      </c>
      <c r="H739">
        <v>0.1</v>
      </c>
      <c r="I739" s="2" t="s">
        <v>52</v>
      </c>
      <c r="J739" s="2" t="s">
        <v>56</v>
      </c>
      <c r="K739">
        <v>1</v>
      </c>
      <c r="L739" s="2" t="s">
        <v>1496</v>
      </c>
      <c r="M739" s="2" t="s">
        <v>1497</v>
      </c>
      <c r="N739">
        <v>35.69</v>
      </c>
      <c r="O739" s="1">
        <v>45434</v>
      </c>
      <c r="P739" s="1">
        <v>45437</v>
      </c>
      <c r="Q739" s="2" t="s">
        <v>68</v>
      </c>
      <c r="R739" s="2">
        <v>1447</v>
      </c>
    </row>
    <row r="740" spans="1:18" x14ac:dyDescent="0.25">
      <c r="A740" s="1">
        <v>45514</v>
      </c>
      <c r="B740" s="2" t="s">
        <v>40</v>
      </c>
      <c r="C740" s="2" t="s">
        <v>36</v>
      </c>
      <c r="D740">
        <v>4</v>
      </c>
      <c r="E740">
        <v>529</v>
      </c>
      <c r="F740" s="2" t="s">
        <v>19</v>
      </c>
      <c r="G740" s="2" t="s">
        <v>20</v>
      </c>
      <c r="H740">
        <v>0.05</v>
      </c>
      <c r="I740" s="2" t="s">
        <v>47</v>
      </c>
      <c r="J740" s="2" t="s">
        <v>22</v>
      </c>
      <c r="K740">
        <v>0</v>
      </c>
      <c r="L740" s="2" t="s">
        <v>1498</v>
      </c>
      <c r="M740" s="2" t="s">
        <v>1499</v>
      </c>
      <c r="N740">
        <v>25.96</v>
      </c>
      <c r="O740" s="1">
        <v>45514</v>
      </c>
      <c r="P740" s="1">
        <v>45524</v>
      </c>
      <c r="Q740" s="2" t="s">
        <v>45</v>
      </c>
      <c r="R740" s="2">
        <v>2010</v>
      </c>
    </row>
    <row r="741" spans="1:18" x14ac:dyDescent="0.25">
      <c r="A741" s="1">
        <v>45043</v>
      </c>
      <c r="B741" s="2" t="s">
        <v>65</v>
      </c>
      <c r="C741" s="2" t="s">
        <v>75</v>
      </c>
      <c r="D741">
        <v>2</v>
      </c>
      <c r="E741">
        <v>107</v>
      </c>
      <c r="F741" s="2" t="s">
        <v>19</v>
      </c>
      <c r="G741" s="2" t="s">
        <v>29</v>
      </c>
      <c r="H741">
        <v>0.05</v>
      </c>
      <c r="I741" s="2" t="s">
        <v>30</v>
      </c>
      <c r="J741" s="2" t="s">
        <v>53</v>
      </c>
      <c r="K741">
        <v>0</v>
      </c>
      <c r="L741" s="2" t="s">
        <v>1500</v>
      </c>
      <c r="M741" s="2" t="s">
        <v>1501</v>
      </c>
      <c r="N741">
        <v>47.33</v>
      </c>
      <c r="O741" s="1">
        <v>45043</v>
      </c>
      <c r="P741" s="1">
        <v>45045</v>
      </c>
      <c r="Q741" s="2" t="s">
        <v>68</v>
      </c>
      <c r="R741" s="2">
        <v>203</v>
      </c>
    </row>
    <row r="742" spans="1:18" x14ac:dyDescent="0.25">
      <c r="A742" s="1">
        <v>45098</v>
      </c>
      <c r="B742" s="2" t="s">
        <v>26</v>
      </c>
      <c r="C742" s="2" t="s">
        <v>75</v>
      </c>
      <c r="D742">
        <v>1</v>
      </c>
      <c r="E742">
        <v>501</v>
      </c>
      <c r="F742" s="2" t="s">
        <v>46</v>
      </c>
      <c r="G742" s="2" t="s">
        <v>20</v>
      </c>
      <c r="H742">
        <v>0.05</v>
      </c>
      <c r="I742" s="2" t="s">
        <v>42</v>
      </c>
      <c r="J742" s="2" t="s">
        <v>22</v>
      </c>
      <c r="K742">
        <v>0</v>
      </c>
      <c r="L742" s="2" t="s">
        <v>1502</v>
      </c>
      <c r="M742" s="2" t="s">
        <v>739</v>
      </c>
      <c r="N742">
        <v>42.1</v>
      </c>
      <c r="O742" s="1">
        <v>45098</v>
      </c>
      <c r="P742" s="1">
        <v>45102</v>
      </c>
      <c r="Q742" s="2" t="s">
        <v>34</v>
      </c>
      <c r="R742" s="2">
        <v>476</v>
      </c>
    </row>
    <row r="743" spans="1:18" x14ac:dyDescent="0.25">
      <c r="A743" s="1">
        <v>45576</v>
      </c>
      <c r="B743" s="2" t="s">
        <v>65</v>
      </c>
      <c r="C743" s="2" t="s">
        <v>126</v>
      </c>
      <c r="D743">
        <v>17</v>
      </c>
      <c r="E743">
        <v>550</v>
      </c>
      <c r="F743" s="2" t="s">
        <v>19</v>
      </c>
      <c r="G743" s="2" t="s">
        <v>20</v>
      </c>
      <c r="H743">
        <v>0.05</v>
      </c>
      <c r="I743" s="2" t="s">
        <v>30</v>
      </c>
      <c r="J743" s="2" t="s">
        <v>53</v>
      </c>
      <c r="K743">
        <v>1</v>
      </c>
      <c r="L743" s="2" t="s">
        <v>1503</v>
      </c>
      <c r="M743" s="2" t="s">
        <v>1504</v>
      </c>
      <c r="N743">
        <v>44.42</v>
      </c>
      <c r="O743" s="1">
        <v>45576</v>
      </c>
      <c r="P743" s="1">
        <v>45579</v>
      </c>
      <c r="Q743" s="2" t="s">
        <v>68</v>
      </c>
      <c r="R743" s="2">
        <v>8882</v>
      </c>
    </row>
    <row r="744" spans="1:18" x14ac:dyDescent="0.25">
      <c r="A744" s="1">
        <v>45683</v>
      </c>
      <c r="B744" s="2" t="s">
        <v>35</v>
      </c>
      <c r="C744" s="2" t="s">
        <v>18</v>
      </c>
      <c r="D744">
        <v>3</v>
      </c>
      <c r="E744">
        <v>59</v>
      </c>
      <c r="F744" s="2" t="s">
        <v>28</v>
      </c>
      <c r="G744" s="2" t="s">
        <v>29</v>
      </c>
      <c r="H744">
        <v>0.05</v>
      </c>
      <c r="I744" s="2" t="s">
        <v>47</v>
      </c>
      <c r="J744" s="2" t="s">
        <v>59</v>
      </c>
      <c r="K744">
        <v>0</v>
      </c>
      <c r="L744" s="2" t="s">
        <v>1505</v>
      </c>
      <c r="M744" s="2" t="s">
        <v>1506</v>
      </c>
      <c r="N744">
        <v>23.57</v>
      </c>
      <c r="O744" s="1">
        <v>45683</v>
      </c>
      <c r="P744" s="1">
        <v>45687</v>
      </c>
      <c r="Q744" s="2" t="s">
        <v>39</v>
      </c>
      <c r="R744" s="2">
        <v>168</v>
      </c>
    </row>
    <row r="745" spans="1:18" x14ac:dyDescent="0.25">
      <c r="A745" s="1">
        <v>45461</v>
      </c>
      <c r="B745" s="2" t="s">
        <v>26</v>
      </c>
      <c r="C745" s="2" t="s">
        <v>41</v>
      </c>
      <c r="D745">
        <v>17</v>
      </c>
      <c r="E745">
        <v>504</v>
      </c>
      <c r="F745" s="2" t="s">
        <v>28</v>
      </c>
      <c r="G745" s="2" t="s">
        <v>20</v>
      </c>
      <c r="H745">
        <v>0.1</v>
      </c>
      <c r="I745" s="2" t="s">
        <v>52</v>
      </c>
      <c r="J745" s="2" t="s">
        <v>22</v>
      </c>
      <c r="K745">
        <v>0</v>
      </c>
      <c r="L745" s="2" t="s">
        <v>1507</v>
      </c>
      <c r="M745" s="2" t="s">
        <v>1508</v>
      </c>
      <c r="N745">
        <v>26.47</v>
      </c>
      <c r="O745" s="1">
        <v>45461</v>
      </c>
      <c r="P745" s="1">
        <v>45469</v>
      </c>
      <c r="Q745" s="2" t="s">
        <v>34</v>
      </c>
      <c r="R745" s="2">
        <v>7711</v>
      </c>
    </row>
    <row r="746" spans="1:18" x14ac:dyDescent="0.25">
      <c r="A746" s="1">
        <v>45826</v>
      </c>
      <c r="B746" s="2" t="s">
        <v>17</v>
      </c>
      <c r="C746" s="2" t="s">
        <v>50</v>
      </c>
      <c r="D746">
        <v>17</v>
      </c>
      <c r="E746">
        <v>420</v>
      </c>
      <c r="F746" s="2" t="s">
        <v>51</v>
      </c>
      <c r="G746" s="2" t="s">
        <v>20</v>
      </c>
      <c r="H746">
        <v>0</v>
      </c>
      <c r="I746" s="2" t="s">
        <v>30</v>
      </c>
      <c r="J746" s="2" t="s">
        <v>59</v>
      </c>
      <c r="K746">
        <v>0</v>
      </c>
      <c r="L746" s="2" t="s">
        <v>1509</v>
      </c>
      <c r="M746" s="2" t="s">
        <v>1510</v>
      </c>
      <c r="N746">
        <v>17.399999999999999</v>
      </c>
      <c r="O746" s="1">
        <v>45826</v>
      </c>
      <c r="P746" s="1">
        <v>45832</v>
      </c>
      <c r="Q746" s="2" t="s">
        <v>25</v>
      </c>
      <c r="R746" s="2">
        <v>7140</v>
      </c>
    </row>
    <row r="747" spans="1:18" x14ac:dyDescent="0.25">
      <c r="A747" s="1">
        <v>45594</v>
      </c>
      <c r="B747" s="2" t="s">
        <v>26</v>
      </c>
      <c r="C747" s="2" t="s">
        <v>18</v>
      </c>
      <c r="D747">
        <v>2</v>
      </c>
      <c r="E747">
        <v>267</v>
      </c>
      <c r="F747" s="2" t="s">
        <v>19</v>
      </c>
      <c r="G747" s="2" t="s">
        <v>20</v>
      </c>
      <c r="H747">
        <v>0.05</v>
      </c>
      <c r="I747" s="2" t="s">
        <v>42</v>
      </c>
      <c r="J747" s="2" t="s">
        <v>22</v>
      </c>
      <c r="K747">
        <v>0</v>
      </c>
      <c r="L747" s="2" t="s">
        <v>1511</v>
      </c>
      <c r="M747" s="2" t="s">
        <v>1512</v>
      </c>
      <c r="N747">
        <v>21.36</v>
      </c>
      <c r="O747" s="1">
        <v>45594</v>
      </c>
      <c r="P747" s="1">
        <v>45603</v>
      </c>
      <c r="Q747" s="2" t="s">
        <v>34</v>
      </c>
      <c r="R747" s="2">
        <v>507</v>
      </c>
    </row>
    <row r="748" spans="1:18" x14ac:dyDescent="0.25">
      <c r="A748" s="1">
        <v>45755</v>
      </c>
      <c r="B748" s="2" t="s">
        <v>40</v>
      </c>
      <c r="C748" s="2" t="s">
        <v>27</v>
      </c>
      <c r="D748">
        <v>2</v>
      </c>
      <c r="E748">
        <v>298</v>
      </c>
      <c r="F748" s="2" t="s">
        <v>19</v>
      </c>
      <c r="G748" s="2" t="s">
        <v>20</v>
      </c>
      <c r="H748">
        <v>0</v>
      </c>
      <c r="I748" s="2" t="s">
        <v>30</v>
      </c>
      <c r="J748" s="2" t="s">
        <v>56</v>
      </c>
      <c r="K748">
        <v>1</v>
      </c>
      <c r="L748" s="2" t="s">
        <v>1513</v>
      </c>
      <c r="M748" s="2" t="s">
        <v>1514</v>
      </c>
      <c r="N748">
        <v>35.369999999999997</v>
      </c>
      <c r="O748" s="1">
        <v>45755</v>
      </c>
      <c r="P748" s="1">
        <v>45761</v>
      </c>
      <c r="Q748" s="2" t="s">
        <v>45</v>
      </c>
      <c r="R748" s="2">
        <v>596</v>
      </c>
    </row>
    <row r="749" spans="1:18" x14ac:dyDescent="0.25">
      <c r="A749" s="1">
        <v>44957</v>
      </c>
      <c r="B749" s="2" t="s">
        <v>40</v>
      </c>
      <c r="C749" s="2" t="s">
        <v>75</v>
      </c>
      <c r="D749">
        <v>13</v>
      </c>
      <c r="E749">
        <v>133</v>
      </c>
      <c r="F749" s="2" t="s">
        <v>19</v>
      </c>
      <c r="G749" s="2" t="s">
        <v>20</v>
      </c>
      <c r="H749">
        <v>0.05</v>
      </c>
      <c r="I749" s="2" t="s">
        <v>42</v>
      </c>
      <c r="J749" s="2" t="s">
        <v>56</v>
      </c>
      <c r="K749">
        <v>0</v>
      </c>
      <c r="L749" s="2" t="s">
        <v>1515</v>
      </c>
      <c r="M749" s="2" t="s">
        <v>1516</v>
      </c>
      <c r="N749">
        <v>42.87</v>
      </c>
      <c r="O749" s="1">
        <v>44957</v>
      </c>
      <c r="P749" s="1">
        <v>44962</v>
      </c>
      <c r="Q749" s="2" t="s">
        <v>45</v>
      </c>
      <c r="R749" s="2">
        <v>1643</v>
      </c>
    </row>
    <row r="750" spans="1:18" x14ac:dyDescent="0.25">
      <c r="A750" s="1">
        <v>45366</v>
      </c>
      <c r="B750" s="2" t="s">
        <v>65</v>
      </c>
      <c r="C750" s="2" t="s">
        <v>41</v>
      </c>
      <c r="D750">
        <v>14</v>
      </c>
      <c r="E750">
        <v>476</v>
      </c>
      <c r="F750" s="2" t="s">
        <v>28</v>
      </c>
      <c r="G750" s="2" t="s">
        <v>20</v>
      </c>
      <c r="H750">
        <v>0.1</v>
      </c>
      <c r="I750" s="2" t="s">
        <v>21</v>
      </c>
      <c r="J750" s="2" t="s">
        <v>53</v>
      </c>
      <c r="K750">
        <v>0</v>
      </c>
      <c r="L750" s="2" t="s">
        <v>1517</v>
      </c>
      <c r="M750" s="2" t="s">
        <v>1518</v>
      </c>
      <c r="N750">
        <v>22.11</v>
      </c>
      <c r="O750" s="1">
        <v>45366</v>
      </c>
      <c r="P750" s="1">
        <v>45371</v>
      </c>
      <c r="Q750" s="2" t="s">
        <v>68</v>
      </c>
      <c r="R750" s="2">
        <v>5998</v>
      </c>
    </row>
    <row r="751" spans="1:18" x14ac:dyDescent="0.25">
      <c r="A751" s="1">
        <v>45100</v>
      </c>
      <c r="B751" s="2" t="s">
        <v>35</v>
      </c>
      <c r="C751" s="2" t="s">
        <v>75</v>
      </c>
      <c r="D751">
        <v>16</v>
      </c>
      <c r="E751">
        <v>295</v>
      </c>
      <c r="F751" s="2" t="s">
        <v>19</v>
      </c>
      <c r="G751" s="2" t="s">
        <v>29</v>
      </c>
      <c r="H751">
        <v>0.05</v>
      </c>
      <c r="I751" s="2" t="s">
        <v>42</v>
      </c>
      <c r="J751" s="2" t="s">
        <v>59</v>
      </c>
      <c r="K751">
        <v>1</v>
      </c>
      <c r="L751" s="2" t="s">
        <v>1519</v>
      </c>
      <c r="M751" s="2" t="s">
        <v>1150</v>
      </c>
      <c r="N751">
        <v>17.190000000000001</v>
      </c>
      <c r="O751" s="1">
        <v>45100</v>
      </c>
      <c r="P751" s="1">
        <v>45104</v>
      </c>
      <c r="Q751" s="2" t="s">
        <v>39</v>
      </c>
      <c r="R751" s="2">
        <v>4484</v>
      </c>
    </row>
    <row r="752" spans="1:18" x14ac:dyDescent="0.25">
      <c r="A752" s="1">
        <v>45457</v>
      </c>
      <c r="B752" s="2" t="s">
        <v>35</v>
      </c>
      <c r="C752" s="2" t="s">
        <v>50</v>
      </c>
      <c r="D752">
        <v>19</v>
      </c>
      <c r="E752">
        <v>596</v>
      </c>
      <c r="F752" s="2" t="s">
        <v>46</v>
      </c>
      <c r="G752" s="2" t="s">
        <v>29</v>
      </c>
      <c r="H752">
        <v>0.15</v>
      </c>
      <c r="I752" s="2" t="s">
        <v>21</v>
      </c>
      <c r="J752" s="2" t="s">
        <v>56</v>
      </c>
      <c r="K752">
        <v>0</v>
      </c>
      <c r="L752" s="2" t="s">
        <v>1520</v>
      </c>
      <c r="M752" s="2" t="s">
        <v>1521</v>
      </c>
      <c r="N752">
        <v>31.95</v>
      </c>
      <c r="O752" s="1">
        <v>45457</v>
      </c>
      <c r="P752" s="1">
        <v>45466</v>
      </c>
      <c r="Q752" s="2" t="s">
        <v>39</v>
      </c>
      <c r="R752" s="2">
        <v>9625</v>
      </c>
    </row>
    <row r="753" spans="1:18" x14ac:dyDescent="0.25">
      <c r="A753" s="1">
        <v>45260</v>
      </c>
      <c r="B753" s="2" t="s">
        <v>65</v>
      </c>
      <c r="C753" s="2" t="s">
        <v>36</v>
      </c>
      <c r="D753">
        <v>6</v>
      </c>
      <c r="E753">
        <v>182</v>
      </c>
      <c r="F753" s="2" t="s">
        <v>19</v>
      </c>
      <c r="G753" s="2" t="s">
        <v>20</v>
      </c>
      <c r="H753">
        <v>0</v>
      </c>
      <c r="I753" s="2" t="s">
        <v>30</v>
      </c>
      <c r="J753" s="2" t="s">
        <v>22</v>
      </c>
      <c r="K753">
        <v>1</v>
      </c>
      <c r="L753" s="2" t="s">
        <v>1522</v>
      </c>
      <c r="M753" s="2" t="s">
        <v>1523</v>
      </c>
      <c r="N753">
        <v>49.49</v>
      </c>
      <c r="O753" s="1">
        <v>45260</v>
      </c>
      <c r="P753" s="1">
        <v>45269</v>
      </c>
      <c r="Q753" s="2" t="s">
        <v>68</v>
      </c>
      <c r="R753" s="2">
        <v>1092</v>
      </c>
    </row>
    <row r="754" spans="1:18" x14ac:dyDescent="0.25">
      <c r="A754" s="1">
        <v>45403</v>
      </c>
      <c r="B754" s="2" t="s">
        <v>35</v>
      </c>
      <c r="C754" s="2" t="s">
        <v>18</v>
      </c>
      <c r="D754">
        <v>10</v>
      </c>
      <c r="E754">
        <v>401</v>
      </c>
      <c r="F754" s="2" t="s">
        <v>46</v>
      </c>
      <c r="G754" s="2" t="s">
        <v>29</v>
      </c>
      <c r="H754">
        <v>0.05</v>
      </c>
      <c r="I754" s="2" t="s">
        <v>47</v>
      </c>
      <c r="J754" s="2" t="s">
        <v>22</v>
      </c>
      <c r="K754">
        <v>0</v>
      </c>
      <c r="L754" s="2" t="s">
        <v>1524</v>
      </c>
      <c r="M754" s="2" t="s">
        <v>1525</v>
      </c>
      <c r="N754">
        <v>17.46</v>
      </c>
      <c r="O754" s="1">
        <v>45403</v>
      </c>
      <c r="P754" s="1">
        <v>45412</v>
      </c>
      <c r="Q754" s="2" t="s">
        <v>39</v>
      </c>
      <c r="R754" s="2">
        <v>3810</v>
      </c>
    </row>
    <row r="755" spans="1:18" x14ac:dyDescent="0.25">
      <c r="A755" s="1">
        <v>45144</v>
      </c>
      <c r="B755" s="2" t="s">
        <v>17</v>
      </c>
      <c r="C755" s="2" t="s">
        <v>36</v>
      </c>
      <c r="D755">
        <v>7</v>
      </c>
      <c r="E755">
        <v>374</v>
      </c>
      <c r="F755" s="2" t="s">
        <v>19</v>
      </c>
      <c r="G755" s="2" t="s">
        <v>29</v>
      </c>
      <c r="H755">
        <v>0.05</v>
      </c>
      <c r="I755" s="2" t="s">
        <v>30</v>
      </c>
      <c r="J755" s="2" t="s">
        <v>31</v>
      </c>
      <c r="K755">
        <v>0</v>
      </c>
      <c r="L755" s="2" t="s">
        <v>1526</v>
      </c>
      <c r="M755" s="2" t="s">
        <v>1527</v>
      </c>
      <c r="N755">
        <v>46.33</v>
      </c>
      <c r="O755" s="1">
        <v>45144</v>
      </c>
      <c r="P755" s="1">
        <v>45150</v>
      </c>
      <c r="Q755" s="2" t="s">
        <v>25</v>
      </c>
      <c r="R755" s="2">
        <v>2487</v>
      </c>
    </row>
    <row r="756" spans="1:18" x14ac:dyDescent="0.25">
      <c r="A756" s="1">
        <v>45464</v>
      </c>
      <c r="B756" s="2" t="s">
        <v>65</v>
      </c>
      <c r="C756" s="2" t="s">
        <v>36</v>
      </c>
      <c r="D756">
        <v>7</v>
      </c>
      <c r="E756">
        <v>356</v>
      </c>
      <c r="F756" s="2" t="s">
        <v>46</v>
      </c>
      <c r="G756" s="2" t="s">
        <v>29</v>
      </c>
      <c r="H756">
        <v>0.15</v>
      </c>
      <c r="I756" s="2" t="s">
        <v>47</v>
      </c>
      <c r="J756" s="2" t="s">
        <v>31</v>
      </c>
      <c r="K756">
        <v>1</v>
      </c>
      <c r="L756" s="2" t="s">
        <v>1528</v>
      </c>
      <c r="M756" s="2" t="s">
        <v>1529</v>
      </c>
      <c r="N756">
        <v>28.77</v>
      </c>
      <c r="O756" s="1">
        <v>45464</v>
      </c>
      <c r="P756" s="1">
        <v>45470</v>
      </c>
      <c r="Q756" s="2" t="s">
        <v>68</v>
      </c>
      <c r="R756" s="2">
        <v>2118</v>
      </c>
    </row>
    <row r="757" spans="1:18" x14ac:dyDescent="0.25">
      <c r="A757" s="1">
        <v>45732</v>
      </c>
      <c r="B757" s="2" t="s">
        <v>35</v>
      </c>
      <c r="C757" s="2" t="s">
        <v>75</v>
      </c>
      <c r="D757">
        <v>12</v>
      </c>
      <c r="E757">
        <v>260</v>
      </c>
      <c r="F757" s="2" t="s">
        <v>46</v>
      </c>
      <c r="G757" s="2" t="s">
        <v>29</v>
      </c>
      <c r="H757">
        <v>0.1</v>
      </c>
      <c r="I757" s="2" t="s">
        <v>62</v>
      </c>
      <c r="J757" s="2" t="s">
        <v>59</v>
      </c>
      <c r="K757">
        <v>0</v>
      </c>
      <c r="L757" s="2" t="s">
        <v>1530</v>
      </c>
      <c r="M757" s="2" t="s">
        <v>1531</v>
      </c>
      <c r="N757">
        <v>14.58</v>
      </c>
      <c r="O757" s="1">
        <v>45732</v>
      </c>
      <c r="P757" s="1">
        <v>45740</v>
      </c>
      <c r="Q757" s="2" t="s">
        <v>39</v>
      </c>
      <c r="R757" s="2">
        <v>2808</v>
      </c>
    </row>
    <row r="758" spans="1:18" x14ac:dyDescent="0.25">
      <c r="A758" s="1">
        <v>45402</v>
      </c>
      <c r="B758" s="2" t="s">
        <v>65</v>
      </c>
      <c r="C758" s="2" t="s">
        <v>75</v>
      </c>
      <c r="D758">
        <v>10</v>
      </c>
      <c r="E758">
        <v>371</v>
      </c>
      <c r="F758" s="2" t="s">
        <v>19</v>
      </c>
      <c r="G758" s="2" t="s">
        <v>29</v>
      </c>
      <c r="H758">
        <v>0.15</v>
      </c>
      <c r="I758" s="2" t="s">
        <v>42</v>
      </c>
      <c r="J758" s="2" t="s">
        <v>22</v>
      </c>
      <c r="K758">
        <v>1</v>
      </c>
      <c r="L758" s="2" t="s">
        <v>1532</v>
      </c>
      <c r="M758" s="2" t="s">
        <v>1533</v>
      </c>
      <c r="N758">
        <v>11.16</v>
      </c>
      <c r="O758" s="1">
        <v>45402</v>
      </c>
      <c r="P758" s="1">
        <v>45407</v>
      </c>
      <c r="Q758" s="2" t="s">
        <v>68</v>
      </c>
      <c r="R758" s="2">
        <v>3154</v>
      </c>
    </row>
    <row r="759" spans="1:18" x14ac:dyDescent="0.25">
      <c r="A759" s="1">
        <v>45646</v>
      </c>
      <c r="B759" s="2" t="s">
        <v>17</v>
      </c>
      <c r="C759" s="2" t="s">
        <v>18</v>
      </c>
      <c r="D759">
        <v>2</v>
      </c>
      <c r="E759">
        <v>549</v>
      </c>
      <c r="F759" s="2" t="s">
        <v>28</v>
      </c>
      <c r="G759" s="2" t="s">
        <v>20</v>
      </c>
      <c r="H759">
        <v>0.1</v>
      </c>
      <c r="I759" s="2" t="s">
        <v>42</v>
      </c>
      <c r="J759" s="2" t="s">
        <v>53</v>
      </c>
      <c r="K759">
        <v>1</v>
      </c>
      <c r="L759" s="2" t="s">
        <v>1534</v>
      </c>
      <c r="M759" s="2" t="s">
        <v>1535</v>
      </c>
      <c r="N759">
        <v>26.35</v>
      </c>
      <c r="O759" s="1">
        <v>45646</v>
      </c>
      <c r="P759" s="1">
        <v>45655</v>
      </c>
      <c r="Q759" s="2" t="s">
        <v>25</v>
      </c>
      <c r="R759" s="2">
        <v>988</v>
      </c>
    </row>
    <row r="760" spans="1:18" x14ac:dyDescent="0.25">
      <c r="A760" s="1">
        <v>45160</v>
      </c>
      <c r="B760" s="2" t="s">
        <v>35</v>
      </c>
      <c r="C760" s="2" t="s">
        <v>126</v>
      </c>
      <c r="D760">
        <v>8</v>
      </c>
      <c r="E760">
        <v>344</v>
      </c>
      <c r="F760" s="2" t="s">
        <v>28</v>
      </c>
      <c r="G760" s="2" t="s">
        <v>20</v>
      </c>
      <c r="H760">
        <v>0</v>
      </c>
      <c r="I760" s="2" t="s">
        <v>42</v>
      </c>
      <c r="J760" s="2" t="s">
        <v>59</v>
      </c>
      <c r="K760">
        <v>0</v>
      </c>
      <c r="L760" s="2" t="s">
        <v>1536</v>
      </c>
      <c r="M760" s="2" t="s">
        <v>1537</v>
      </c>
      <c r="N760">
        <v>16.100000000000001</v>
      </c>
      <c r="O760" s="1">
        <v>45160</v>
      </c>
      <c r="P760" s="1">
        <v>45170</v>
      </c>
      <c r="Q760" s="2" t="s">
        <v>39</v>
      </c>
      <c r="R760" s="2">
        <v>2752</v>
      </c>
    </row>
    <row r="761" spans="1:18" x14ac:dyDescent="0.25">
      <c r="A761" s="1">
        <v>44989</v>
      </c>
      <c r="B761" s="2" t="s">
        <v>35</v>
      </c>
      <c r="C761" s="2" t="s">
        <v>75</v>
      </c>
      <c r="D761">
        <v>13</v>
      </c>
      <c r="E761">
        <v>495</v>
      </c>
      <c r="F761" s="2" t="s">
        <v>28</v>
      </c>
      <c r="G761" s="2" t="s">
        <v>20</v>
      </c>
      <c r="H761">
        <v>0.15</v>
      </c>
      <c r="I761" s="2" t="s">
        <v>52</v>
      </c>
      <c r="J761" s="2" t="s">
        <v>59</v>
      </c>
      <c r="K761">
        <v>0</v>
      </c>
      <c r="L761" s="2" t="s">
        <v>1538</v>
      </c>
      <c r="M761" s="2" t="s">
        <v>1539</v>
      </c>
      <c r="N761">
        <v>5.85</v>
      </c>
      <c r="O761" s="1">
        <v>44989</v>
      </c>
      <c r="P761" s="1">
        <v>44998</v>
      </c>
      <c r="Q761" s="2" t="s">
        <v>39</v>
      </c>
      <c r="R761" s="2">
        <v>5470</v>
      </c>
    </row>
    <row r="762" spans="1:18" x14ac:dyDescent="0.25">
      <c r="A762" s="1">
        <v>45467</v>
      </c>
      <c r="B762" s="2" t="s">
        <v>35</v>
      </c>
      <c r="C762" s="2" t="s">
        <v>18</v>
      </c>
      <c r="D762">
        <v>9</v>
      </c>
      <c r="E762">
        <v>37</v>
      </c>
      <c r="F762" s="2" t="s">
        <v>19</v>
      </c>
      <c r="G762" s="2" t="s">
        <v>20</v>
      </c>
      <c r="H762">
        <v>0.1</v>
      </c>
      <c r="I762" s="2" t="s">
        <v>21</v>
      </c>
      <c r="J762" s="2" t="s">
        <v>56</v>
      </c>
      <c r="K762">
        <v>1</v>
      </c>
      <c r="L762" s="2" t="s">
        <v>1540</v>
      </c>
      <c r="M762" s="2" t="s">
        <v>1541</v>
      </c>
      <c r="N762">
        <v>29.9</v>
      </c>
      <c r="O762" s="1">
        <v>45467</v>
      </c>
      <c r="P762" s="1">
        <v>45474</v>
      </c>
      <c r="Q762" s="2" t="s">
        <v>39</v>
      </c>
      <c r="R762" s="2">
        <v>300</v>
      </c>
    </row>
    <row r="763" spans="1:18" x14ac:dyDescent="0.25">
      <c r="A763" s="1">
        <v>45635</v>
      </c>
      <c r="B763" s="2" t="s">
        <v>17</v>
      </c>
      <c r="C763" s="2" t="s">
        <v>75</v>
      </c>
      <c r="D763">
        <v>14</v>
      </c>
      <c r="E763">
        <v>216</v>
      </c>
      <c r="F763" s="2" t="s">
        <v>46</v>
      </c>
      <c r="G763" s="2" t="s">
        <v>20</v>
      </c>
      <c r="H763">
        <v>0</v>
      </c>
      <c r="I763" s="2" t="s">
        <v>52</v>
      </c>
      <c r="J763" s="2" t="s">
        <v>22</v>
      </c>
      <c r="K763">
        <v>0</v>
      </c>
      <c r="L763" s="2" t="s">
        <v>1542</v>
      </c>
      <c r="M763" s="2" t="s">
        <v>1543</v>
      </c>
      <c r="N763">
        <v>14.39</v>
      </c>
      <c r="O763" s="1">
        <v>45635</v>
      </c>
      <c r="P763" s="1">
        <v>45639</v>
      </c>
      <c r="Q763" s="2" t="s">
        <v>25</v>
      </c>
      <c r="R763" s="2">
        <v>3024</v>
      </c>
    </row>
    <row r="764" spans="1:18" x14ac:dyDescent="0.25">
      <c r="A764" s="1">
        <v>45477</v>
      </c>
      <c r="B764" s="2" t="s">
        <v>65</v>
      </c>
      <c r="C764" s="2" t="s">
        <v>18</v>
      </c>
      <c r="D764">
        <v>11</v>
      </c>
      <c r="E764">
        <v>129</v>
      </c>
      <c r="F764" s="2" t="s">
        <v>28</v>
      </c>
      <c r="G764" s="2" t="s">
        <v>29</v>
      </c>
      <c r="H764">
        <v>0.05</v>
      </c>
      <c r="I764" s="2" t="s">
        <v>52</v>
      </c>
      <c r="J764" s="2" t="s">
        <v>56</v>
      </c>
      <c r="K764">
        <v>0</v>
      </c>
      <c r="L764" s="2" t="s">
        <v>1544</v>
      </c>
      <c r="M764" s="2" t="s">
        <v>760</v>
      </c>
      <c r="N764">
        <v>38.58</v>
      </c>
      <c r="O764" s="1">
        <v>45477</v>
      </c>
      <c r="P764" s="1">
        <v>45480</v>
      </c>
      <c r="Q764" s="2" t="s">
        <v>68</v>
      </c>
      <c r="R764" s="2">
        <v>1348</v>
      </c>
    </row>
    <row r="765" spans="1:18" x14ac:dyDescent="0.25">
      <c r="A765" s="1">
        <v>45720</v>
      </c>
      <c r="B765" s="2" t="s">
        <v>17</v>
      </c>
      <c r="C765" s="2" t="s">
        <v>27</v>
      </c>
      <c r="D765">
        <v>11</v>
      </c>
      <c r="E765">
        <v>183</v>
      </c>
      <c r="F765" s="2" t="s">
        <v>19</v>
      </c>
      <c r="G765" s="2" t="s">
        <v>29</v>
      </c>
      <c r="H765">
        <v>0.15</v>
      </c>
      <c r="I765" s="2" t="s">
        <v>42</v>
      </c>
      <c r="J765" s="2" t="s">
        <v>31</v>
      </c>
      <c r="K765">
        <v>0</v>
      </c>
      <c r="L765" s="2" t="s">
        <v>1545</v>
      </c>
      <c r="M765" s="2" t="s">
        <v>1546</v>
      </c>
      <c r="N765">
        <v>41.83</v>
      </c>
      <c r="O765" s="1">
        <v>45720</v>
      </c>
      <c r="P765" s="1">
        <v>45722</v>
      </c>
      <c r="Q765" s="2" t="s">
        <v>25</v>
      </c>
      <c r="R765" s="2">
        <v>1711</v>
      </c>
    </row>
    <row r="766" spans="1:18" x14ac:dyDescent="0.25">
      <c r="A766" s="1">
        <v>45313</v>
      </c>
      <c r="B766" s="2" t="s">
        <v>17</v>
      </c>
      <c r="C766" s="2" t="s">
        <v>126</v>
      </c>
      <c r="D766">
        <v>11</v>
      </c>
      <c r="E766">
        <v>278</v>
      </c>
      <c r="F766" s="2" t="s">
        <v>28</v>
      </c>
      <c r="G766" s="2" t="s">
        <v>29</v>
      </c>
      <c r="H766">
        <v>0.05</v>
      </c>
      <c r="I766" s="2" t="s">
        <v>42</v>
      </c>
      <c r="J766" s="2" t="s">
        <v>31</v>
      </c>
      <c r="K766">
        <v>0</v>
      </c>
      <c r="L766" s="2" t="s">
        <v>1547</v>
      </c>
      <c r="M766" s="2" t="s">
        <v>1548</v>
      </c>
      <c r="N766">
        <v>44.04</v>
      </c>
      <c r="O766" s="1">
        <v>45313</v>
      </c>
      <c r="P766" s="1">
        <v>45320</v>
      </c>
      <c r="Q766" s="2" t="s">
        <v>25</v>
      </c>
      <c r="R766" s="2">
        <v>2905</v>
      </c>
    </row>
    <row r="767" spans="1:18" x14ac:dyDescent="0.25">
      <c r="A767" s="1">
        <v>45728</v>
      </c>
      <c r="B767" s="2" t="s">
        <v>17</v>
      </c>
      <c r="C767" s="2" t="s">
        <v>36</v>
      </c>
      <c r="D767">
        <v>14</v>
      </c>
      <c r="E767">
        <v>554</v>
      </c>
      <c r="F767" s="2" t="s">
        <v>28</v>
      </c>
      <c r="G767" s="2" t="s">
        <v>29</v>
      </c>
      <c r="H767">
        <v>0.05</v>
      </c>
      <c r="I767" s="2" t="s">
        <v>52</v>
      </c>
      <c r="J767" s="2" t="s">
        <v>59</v>
      </c>
      <c r="K767">
        <v>0</v>
      </c>
      <c r="L767" s="2" t="s">
        <v>1549</v>
      </c>
      <c r="M767" s="2" t="s">
        <v>1550</v>
      </c>
      <c r="N767">
        <v>36.72</v>
      </c>
      <c r="O767" s="1">
        <v>45728</v>
      </c>
      <c r="P767" s="1">
        <v>45737</v>
      </c>
      <c r="Q767" s="2" t="s">
        <v>25</v>
      </c>
      <c r="R767" s="2">
        <v>7368</v>
      </c>
    </row>
    <row r="768" spans="1:18" x14ac:dyDescent="0.25">
      <c r="A768" s="1">
        <v>45716</v>
      </c>
      <c r="B768" s="2" t="s">
        <v>40</v>
      </c>
      <c r="C768" s="2" t="s">
        <v>27</v>
      </c>
      <c r="D768">
        <v>15</v>
      </c>
      <c r="E768">
        <v>23</v>
      </c>
      <c r="F768" s="2" t="s">
        <v>28</v>
      </c>
      <c r="G768" s="2" t="s">
        <v>29</v>
      </c>
      <c r="H768">
        <v>0.05</v>
      </c>
      <c r="I768" s="2" t="s">
        <v>47</v>
      </c>
      <c r="J768" s="2" t="s">
        <v>56</v>
      </c>
      <c r="K768">
        <v>0</v>
      </c>
      <c r="L768" s="2" t="s">
        <v>1551</v>
      </c>
      <c r="M768" s="2" t="s">
        <v>1552</v>
      </c>
      <c r="N768">
        <v>25.27</v>
      </c>
      <c r="O768" s="1">
        <v>45716</v>
      </c>
      <c r="P768" s="1">
        <v>45719</v>
      </c>
      <c r="Q768" s="2" t="s">
        <v>45</v>
      </c>
      <c r="R768" s="2">
        <v>328</v>
      </c>
    </row>
    <row r="769" spans="1:18" x14ac:dyDescent="0.25">
      <c r="A769" s="1">
        <v>45435</v>
      </c>
      <c r="B769" s="2" t="s">
        <v>17</v>
      </c>
      <c r="C769" s="2" t="s">
        <v>36</v>
      </c>
      <c r="D769">
        <v>4</v>
      </c>
      <c r="E769">
        <v>21</v>
      </c>
      <c r="F769" s="2" t="s">
        <v>51</v>
      </c>
      <c r="G769" s="2" t="s">
        <v>20</v>
      </c>
      <c r="H769">
        <v>0.05</v>
      </c>
      <c r="I769" s="2" t="s">
        <v>62</v>
      </c>
      <c r="J769" s="2" t="s">
        <v>22</v>
      </c>
      <c r="K769">
        <v>1</v>
      </c>
      <c r="L769" s="2" t="s">
        <v>1553</v>
      </c>
      <c r="M769" s="2" t="s">
        <v>1554</v>
      </c>
      <c r="N769">
        <v>33.67</v>
      </c>
      <c r="O769" s="1">
        <v>45435</v>
      </c>
      <c r="P769" s="1">
        <v>45443</v>
      </c>
      <c r="Q769" s="2" t="s">
        <v>25</v>
      </c>
      <c r="R769" s="2">
        <v>80</v>
      </c>
    </row>
    <row r="770" spans="1:18" x14ac:dyDescent="0.25">
      <c r="A770" s="1">
        <v>45186</v>
      </c>
      <c r="B770" s="2" t="s">
        <v>35</v>
      </c>
      <c r="C770" s="2" t="s">
        <v>36</v>
      </c>
      <c r="D770">
        <v>18</v>
      </c>
      <c r="E770">
        <v>132</v>
      </c>
      <c r="F770" s="2" t="s">
        <v>28</v>
      </c>
      <c r="G770" s="2" t="s">
        <v>20</v>
      </c>
      <c r="H770">
        <v>0.05</v>
      </c>
      <c r="I770" s="2" t="s">
        <v>52</v>
      </c>
      <c r="J770" s="2" t="s">
        <v>53</v>
      </c>
      <c r="K770">
        <v>1</v>
      </c>
      <c r="L770" s="2" t="s">
        <v>1555</v>
      </c>
      <c r="M770" s="2" t="s">
        <v>1556</v>
      </c>
      <c r="N770">
        <v>24.3</v>
      </c>
      <c r="O770" s="1">
        <v>45186</v>
      </c>
      <c r="P770" s="1">
        <v>45189</v>
      </c>
      <c r="Q770" s="2" t="s">
        <v>39</v>
      </c>
      <c r="R770" s="2">
        <v>2257</v>
      </c>
    </row>
    <row r="771" spans="1:18" x14ac:dyDescent="0.25">
      <c r="A771" s="1">
        <v>45090</v>
      </c>
      <c r="B771" s="2" t="s">
        <v>17</v>
      </c>
      <c r="C771" s="2" t="s">
        <v>27</v>
      </c>
      <c r="D771">
        <v>19</v>
      </c>
      <c r="E771">
        <v>200</v>
      </c>
      <c r="F771" s="2" t="s">
        <v>28</v>
      </c>
      <c r="G771" s="2" t="s">
        <v>29</v>
      </c>
      <c r="H771">
        <v>0.1</v>
      </c>
      <c r="I771" s="2" t="s">
        <v>47</v>
      </c>
      <c r="J771" s="2" t="s">
        <v>59</v>
      </c>
      <c r="K771">
        <v>1</v>
      </c>
      <c r="L771" s="2" t="s">
        <v>1557</v>
      </c>
      <c r="M771" s="2" t="s">
        <v>1558</v>
      </c>
      <c r="N771">
        <v>35.119999999999997</v>
      </c>
      <c r="O771" s="1">
        <v>45090</v>
      </c>
      <c r="P771" s="1">
        <v>45095</v>
      </c>
      <c r="Q771" s="2" t="s">
        <v>25</v>
      </c>
      <c r="R771" s="2">
        <v>3420</v>
      </c>
    </row>
    <row r="772" spans="1:18" x14ac:dyDescent="0.25">
      <c r="A772" s="1">
        <v>45808</v>
      </c>
      <c r="B772" s="2" t="s">
        <v>65</v>
      </c>
      <c r="C772" s="2" t="s">
        <v>27</v>
      </c>
      <c r="D772">
        <v>16</v>
      </c>
      <c r="E772">
        <v>307</v>
      </c>
      <c r="F772" s="2" t="s">
        <v>28</v>
      </c>
      <c r="G772" s="2" t="s">
        <v>20</v>
      </c>
      <c r="H772">
        <v>0</v>
      </c>
      <c r="I772" s="2" t="s">
        <v>62</v>
      </c>
      <c r="J772" s="2" t="s">
        <v>56</v>
      </c>
      <c r="K772">
        <v>0</v>
      </c>
      <c r="L772" s="2" t="s">
        <v>1559</v>
      </c>
      <c r="M772" s="2" t="s">
        <v>1560</v>
      </c>
      <c r="N772">
        <v>11.99</v>
      </c>
      <c r="O772" s="1">
        <v>45808</v>
      </c>
      <c r="P772" s="1">
        <v>45810</v>
      </c>
      <c r="Q772" s="2" t="s">
        <v>68</v>
      </c>
      <c r="R772" s="2">
        <v>4912</v>
      </c>
    </row>
    <row r="773" spans="1:18" x14ac:dyDescent="0.25">
      <c r="A773" s="1">
        <v>45210</v>
      </c>
      <c r="B773" s="2" t="s">
        <v>17</v>
      </c>
      <c r="C773" s="2" t="s">
        <v>75</v>
      </c>
      <c r="D773">
        <v>1</v>
      </c>
      <c r="E773">
        <v>316</v>
      </c>
      <c r="F773" s="2" t="s">
        <v>46</v>
      </c>
      <c r="G773" s="2" t="s">
        <v>29</v>
      </c>
      <c r="H773">
        <v>0.15</v>
      </c>
      <c r="I773" s="2" t="s">
        <v>30</v>
      </c>
      <c r="J773" s="2" t="s">
        <v>53</v>
      </c>
      <c r="K773">
        <v>0</v>
      </c>
      <c r="L773" s="2" t="s">
        <v>1561</v>
      </c>
      <c r="M773" s="2" t="s">
        <v>1562</v>
      </c>
      <c r="N773">
        <v>43.2</v>
      </c>
      <c r="O773" s="1">
        <v>45210</v>
      </c>
      <c r="P773" s="1">
        <v>45213</v>
      </c>
      <c r="Q773" s="2" t="s">
        <v>25</v>
      </c>
      <c r="R773" s="2">
        <v>269</v>
      </c>
    </row>
    <row r="774" spans="1:18" x14ac:dyDescent="0.25">
      <c r="A774" s="1">
        <v>45145</v>
      </c>
      <c r="B774" s="2" t="s">
        <v>65</v>
      </c>
      <c r="C774" s="2" t="s">
        <v>126</v>
      </c>
      <c r="D774">
        <v>5</v>
      </c>
      <c r="E774">
        <v>597</v>
      </c>
      <c r="F774" s="2" t="s">
        <v>28</v>
      </c>
      <c r="G774" s="2" t="s">
        <v>29</v>
      </c>
      <c r="H774">
        <v>0</v>
      </c>
      <c r="I774" s="2" t="s">
        <v>21</v>
      </c>
      <c r="J774" s="2" t="s">
        <v>59</v>
      </c>
      <c r="K774">
        <v>0</v>
      </c>
      <c r="L774" s="2" t="s">
        <v>1563</v>
      </c>
      <c r="M774" s="2" t="s">
        <v>1564</v>
      </c>
      <c r="N774">
        <v>14.43</v>
      </c>
      <c r="O774" s="1">
        <v>45145</v>
      </c>
      <c r="P774" s="1">
        <v>45152</v>
      </c>
      <c r="Q774" s="2" t="s">
        <v>68</v>
      </c>
      <c r="R774" s="2">
        <v>2985</v>
      </c>
    </row>
    <row r="775" spans="1:18" x14ac:dyDescent="0.25">
      <c r="A775" s="1">
        <v>45263</v>
      </c>
      <c r="B775" s="2" t="s">
        <v>35</v>
      </c>
      <c r="C775" s="2" t="s">
        <v>18</v>
      </c>
      <c r="D775">
        <v>17</v>
      </c>
      <c r="E775">
        <v>377</v>
      </c>
      <c r="F775" s="2" t="s">
        <v>28</v>
      </c>
      <c r="G775" s="2" t="s">
        <v>29</v>
      </c>
      <c r="H775">
        <v>0.05</v>
      </c>
      <c r="I775" s="2" t="s">
        <v>47</v>
      </c>
      <c r="J775" s="2" t="s">
        <v>56</v>
      </c>
      <c r="K775">
        <v>1</v>
      </c>
      <c r="L775" s="2" t="s">
        <v>1565</v>
      </c>
      <c r="M775" s="2" t="s">
        <v>1566</v>
      </c>
      <c r="N775">
        <v>38.479999999999997</v>
      </c>
      <c r="O775" s="1">
        <v>45263</v>
      </c>
      <c r="P775" s="1">
        <v>45265</v>
      </c>
      <c r="Q775" s="2" t="s">
        <v>39</v>
      </c>
      <c r="R775" s="2">
        <v>6089</v>
      </c>
    </row>
    <row r="776" spans="1:18" x14ac:dyDescent="0.25">
      <c r="A776" s="1">
        <v>45505</v>
      </c>
      <c r="B776" s="2" t="s">
        <v>40</v>
      </c>
      <c r="C776" s="2" t="s">
        <v>126</v>
      </c>
      <c r="D776">
        <v>6</v>
      </c>
      <c r="E776">
        <v>209</v>
      </c>
      <c r="F776" s="2" t="s">
        <v>51</v>
      </c>
      <c r="G776" s="2" t="s">
        <v>29</v>
      </c>
      <c r="H776">
        <v>0.1</v>
      </c>
      <c r="I776" s="2" t="s">
        <v>42</v>
      </c>
      <c r="J776" s="2" t="s">
        <v>53</v>
      </c>
      <c r="K776">
        <v>0</v>
      </c>
      <c r="L776" s="2" t="s">
        <v>1567</v>
      </c>
      <c r="M776" s="2" t="s">
        <v>1568</v>
      </c>
      <c r="N776">
        <v>49.93</v>
      </c>
      <c r="O776" s="1">
        <v>45505</v>
      </c>
      <c r="P776" s="1">
        <v>45508</v>
      </c>
      <c r="Q776" s="2" t="s">
        <v>45</v>
      </c>
      <c r="R776" s="2">
        <v>1129</v>
      </c>
    </row>
    <row r="777" spans="1:18" x14ac:dyDescent="0.25">
      <c r="A777" s="1">
        <v>45005</v>
      </c>
      <c r="B777" s="2" t="s">
        <v>17</v>
      </c>
      <c r="C777" s="2" t="s">
        <v>41</v>
      </c>
      <c r="D777">
        <v>7</v>
      </c>
      <c r="E777">
        <v>308</v>
      </c>
      <c r="F777" s="2" t="s">
        <v>19</v>
      </c>
      <c r="G777" s="2" t="s">
        <v>20</v>
      </c>
      <c r="H777">
        <v>0</v>
      </c>
      <c r="I777" s="2" t="s">
        <v>21</v>
      </c>
      <c r="J777" s="2" t="s">
        <v>56</v>
      </c>
      <c r="K777">
        <v>1</v>
      </c>
      <c r="L777" s="2" t="s">
        <v>1569</v>
      </c>
      <c r="M777" s="2" t="s">
        <v>1570</v>
      </c>
      <c r="N777">
        <v>14</v>
      </c>
      <c r="O777" s="1">
        <v>45005</v>
      </c>
      <c r="P777" s="1">
        <v>45012</v>
      </c>
      <c r="Q777" s="2" t="s">
        <v>25</v>
      </c>
      <c r="R777" s="2">
        <v>2156</v>
      </c>
    </row>
    <row r="778" spans="1:18" x14ac:dyDescent="0.25">
      <c r="A778" s="1">
        <v>45838</v>
      </c>
      <c r="B778" s="2" t="s">
        <v>40</v>
      </c>
      <c r="C778" s="2" t="s">
        <v>75</v>
      </c>
      <c r="D778">
        <v>13</v>
      </c>
      <c r="E778">
        <v>382</v>
      </c>
      <c r="F778" s="2" t="s">
        <v>51</v>
      </c>
      <c r="G778" s="2" t="s">
        <v>29</v>
      </c>
      <c r="H778">
        <v>0.05</v>
      </c>
      <c r="I778" s="2" t="s">
        <v>21</v>
      </c>
      <c r="J778" s="2" t="s">
        <v>53</v>
      </c>
      <c r="K778">
        <v>0</v>
      </c>
      <c r="L778" s="2" t="s">
        <v>1571</v>
      </c>
      <c r="M778" s="2" t="s">
        <v>1572</v>
      </c>
      <c r="N778">
        <v>7.59</v>
      </c>
      <c r="O778" s="1">
        <v>45838</v>
      </c>
      <c r="P778" s="1">
        <v>45842</v>
      </c>
      <c r="Q778" s="2" t="s">
        <v>45</v>
      </c>
      <c r="R778" s="2">
        <v>4718</v>
      </c>
    </row>
    <row r="779" spans="1:18" x14ac:dyDescent="0.25">
      <c r="A779" s="1">
        <v>45693</v>
      </c>
      <c r="B779" s="2" t="s">
        <v>26</v>
      </c>
      <c r="C779" s="2" t="s">
        <v>36</v>
      </c>
      <c r="D779">
        <v>9</v>
      </c>
      <c r="E779">
        <v>188</v>
      </c>
      <c r="F779" s="2" t="s">
        <v>19</v>
      </c>
      <c r="G779" s="2" t="s">
        <v>29</v>
      </c>
      <c r="H779">
        <v>0</v>
      </c>
      <c r="I779" s="2" t="s">
        <v>42</v>
      </c>
      <c r="J779" s="2" t="s">
        <v>59</v>
      </c>
      <c r="K779">
        <v>0</v>
      </c>
      <c r="L779" s="2" t="s">
        <v>1573</v>
      </c>
      <c r="M779" s="2" t="s">
        <v>1574</v>
      </c>
      <c r="N779">
        <v>11.44</v>
      </c>
      <c r="O779" s="1">
        <v>45693</v>
      </c>
      <c r="P779" s="1">
        <v>45695</v>
      </c>
      <c r="Q779" s="2" t="s">
        <v>34</v>
      </c>
      <c r="R779" s="2">
        <v>1692</v>
      </c>
    </row>
    <row r="780" spans="1:18" x14ac:dyDescent="0.25">
      <c r="A780" s="1">
        <v>45431</v>
      </c>
      <c r="B780" s="2" t="s">
        <v>17</v>
      </c>
      <c r="C780" s="2" t="s">
        <v>36</v>
      </c>
      <c r="D780">
        <v>17</v>
      </c>
      <c r="E780">
        <v>238</v>
      </c>
      <c r="F780" s="2" t="s">
        <v>51</v>
      </c>
      <c r="G780" s="2" t="s">
        <v>20</v>
      </c>
      <c r="H780">
        <v>0.15</v>
      </c>
      <c r="I780" s="2" t="s">
        <v>42</v>
      </c>
      <c r="J780" s="2" t="s">
        <v>59</v>
      </c>
      <c r="K780">
        <v>0</v>
      </c>
      <c r="L780" s="2" t="s">
        <v>1575</v>
      </c>
      <c r="M780" s="2" t="s">
        <v>1576</v>
      </c>
      <c r="N780">
        <v>21.64</v>
      </c>
      <c r="O780" s="1">
        <v>45431</v>
      </c>
      <c r="P780" s="1">
        <v>45441</v>
      </c>
      <c r="Q780" s="2" t="s">
        <v>25</v>
      </c>
      <c r="R780" s="2">
        <v>3439</v>
      </c>
    </row>
    <row r="781" spans="1:18" x14ac:dyDescent="0.25">
      <c r="A781" s="1">
        <v>44989</v>
      </c>
      <c r="B781" s="2" t="s">
        <v>35</v>
      </c>
      <c r="C781" s="2" t="s">
        <v>126</v>
      </c>
      <c r="D781">
        <v>10</v>
      </c>
      <c r="E781">
        <v>451</v>
      </c>
      <c r="F781" s="2" t="s">
        <v>19</v>
      </c>
      <c r="G781" s="2" t="s">
        <v>29</v>
      </c>
      <c r="H781">
        <v>0.1</v>
      </c>
      <c r="I781" s="2" t="s">
        <v>62</v>
      </c>
      <c r="J781" s="2" t="s">
        <v>31</v>
      </c>
      <c r="K781">
        <v>0</v>
      </c>
      <c r="L781" s="2" t="s">
        <v>1577</v>
      </c>
      <c r="M781" s="2" t="s">
        <v>1578</v>
      </c>
      <c r="N781">
        <v>21.31</v>
      </c>
      <c r="O781" s="1">
        <v>44989</v>
      </c>
      <c r="P781" s="1">
        <v>44997</v>
      </c>
      <c r="Q781" s="2" t="s">
        <v>39</v>
      </c>
      <c r="R781" s="2">
        <v>4059</v>
      </c>
    </row>
    <row r="782" spans="1:18" x14ac:dyDescent="0.25">
      <c r="A782" s="1">
        <v>44948</v>
      </c>
      <c r="B782" s="2" t="s">
        <v>40</v>
      </c>
      <c r="C782" s="2" t="s">
        <v>50</v>
      </c>
      <c r="D782">
        <v>2</v>
      </c>
      <c r="E782">
        <v>413</v>
      </c>
      <c r="F782" s="2" t="s">
        <v>51</v>
      </c>
      <c r="G782" s="2" t="s">
        <v>29</v>
      </c>
      <c r="H782">
        <v>0.1</v>
      </c>
      <c r="I782" s="2" t="s">
        <v>30</v>
      </c>
      <c r="J782" s="2" t="s">
        <v>22</v>
      </c>
      <c r="K782">
        <v>1</v>
      </c>
      <c r="L782" s="2" t="s">
        <v>1579</v>
      </c>
      <c r="M782" s="2" t="s">
        <v>939</v>
      </c>
      <c r="N782">
        <v>41.69</v>
      </c>
      <c r="O782" s="1">
        <v>44948</v>
      </c>
      <c r="P782" s="1">
        <v>44950</v>
      </c>
      <c r="Q782" s="2" t="s">
        <v>45</v>
      </c>
      <c r="R782" s="2">
        <v>743</v>
      </c>
    </row>
    <row r="783" spans="1:18" x14ac:dyDescent="0.25">
      <c r="A783" s="1">
        <v>45005</v>
      </c>
      <c r="B783" s="2" t="s">
        <v>26</v>
      </c>
      <c r="C783" s="2" t="s">
        <v>27</v>
      </c>
      <c r="D783">
        <v>20</v>
      </c>
      <c r="E783">
        <v>537</v>
      </c>
      <c r="F783" s="2" t="s">
        <v>19</v>
      </c>
      <c r="G783" s="2" t="s">
        <v>29</v>
      </c>
      <c r="H783">
        <v>0.15</v>
      </c>
      <c r="I783" s="2" t="s">
        <v>47</v>
      </c>
      <c r="J783" s="2" t="s">
        <v>56</v>
      </c>
      <c r="K783">
        <v>0</v>
      </c>
      <c r="L783" s="2" t="s">
        <v>1580</v>
      </c>
      <c r="M783" s="2" t="s">
        <v>1581</v>
      </c>
      <c r="N783">
        <v>41.42</v>
      </c>
      <c r="O783" s="1">
        <v>45005</v>
      </c>
      <c r="P783" s="1">
        <v>45010</v>
      </c>
      <c r="Q783" s="2" t="s">
        <v>34</v>
      </c>
      <c r="R783" s="2">
        <v>9129</v>
      </c>
    </row>
    <row r="784" spans="1:18" x14ac:dyDescent="0.25">
      <c r="A784" s="1">
        <v>45448</v>
      </c>
      <c r="B784" s="2" t="s">
        <v>65</v>
      </c>
      <c r="C784" s="2" t="s">
        <v>27</v>
      </c>
      <c r="D784">
        <v>5</v>
      </c>
      <c r="E784">
        <v>206</v>
      </c>
      <c r="F784" s="2" t="s">
        <v>51</v>
      </c>
      <c r="G784" s="2" t="s">
        <v>29</v>
      </c>
      <c r="H784">
        <v>0.05</v>
      </c>
      <c r="I784" s="2" t="s">
        <v>30</v>
      </c>
      <c r="J784" s="2" t="s">
        <v>56</v>
      </c>
      <c r="K784">
        <v>0</v>
      </c>
      <c r="L784" s="2" t="s">
        <v>1582</v>
      </c>
      <c r="M784" s="2" t="s">
        <v>1583</v>
      </c>
      <c r="N784">
        <v>35.51</v>
      </c>
      <c r="O784" s="1">
        <v>45448</v>
      </c>
      <c r="P784" s="1">
        <v>45456</v>
      </c>
      <c r="Q784" s="2" t="s">
        <v>68</v>
      </c>
      <c r="R784" s="2">
        <v>978</v>
      </c>
    </row>
    <row r="785" spans="1:18" x14ac:dyDescent="0.25">
      <c r="A785" s="1">
        <v>45482</v>
      </c>
      <c r="B785" s="2" t="s">
        <v>17</v>
      </c>
      <c r="C785" s="2" t="s">
        <v>126</v>
      </c>
      <c r="D785">
        <v>4</v>
      </c>
      <c r="E785">
        <v>257</v>
      </c>
      <c r="F785" s="2" t="s">
        <v>28</v>
      </c>
      <c r="G785" s="2" t="s">
        <v>20</v>
      </c>
      <c r="H785">
        <v>0.15</v>
      </c>
      <c r="I785" s="2" t="s">
        <v>47</v>
      </c>
      <c r="J785" s="2" t="s">
        <v>59</v>
      </c>
      <c r="K785">
        <v>1</v>
      </c>
      <c r="L785" s="2" t="s">
        <v>1584</v>
      </c>
      <c r="M785" s="2" t="s">
        <v>1585</v>
      </c>
      <c r="N785">
        <v>44.72</v>
      </c>
      <c r="O785" s="1">
        <v>45482</v>
      </c>
      <c r="P785" s="1">
        <v>45490</v>
      </c>
      <c r="Q785" s="2" t="s">
        <v>25</v>
      </c>
      <c r="R785" s="2">
        <v>874</v>
      </c>
    </row>
    <row r="786" spans="1:18" x14ac:dyDescent="0.25">
      <c r="A786" s="1">
        <v>45724</v>
      </c>
      <c r="B786" s="2" t="s">
        <v>26</v>
      </c>
      <c r="C786" s="2" t="s">
        <v>50</v>
      </c>
      <c r="D786">
        <v>1</v>
      </c>
      <c r="E786">
        <v>247</v>
      </c>
      <c r="F786" s="2" t="s">
        <v>46</v>
      </c>
      <c r="G786" s="2" t="s">
        <v>20</v>
      </c>
      <c r="H786">
        <v>0</v>
      </c>
      <c r="I786" s="2" t="s">
        <v>62</v>
      </c>
      <c r="J786" s="2" t="s">
        <v>53</v>
      </c>
      <c r="K786">
        <v>0</v>
      </c>
      <c r="L786" s="2" t="s">
        <v>1586</v>
      </c>
      <c r="M786" s="2" t="s">
        <v>1587</v>
      </c>
      <c r="N786">
        <v>26.86</v>
      </c>
      <c r="O786" s="1">
        <v>45724</v>
      </c>
      <c r="P786" s="1">
        <v>45729</v>
      </c>
      <c r="Q786" s="2" t="s">
        <v>34</v>
      </c>
      <c r="R786" s="2">
        <v>247</v>
      </c>
    </row>
    <row r="787" spans="1:18" x14ac:dyDescent="0.25">
      <c r="A787" s="1">
        <v>45829</v>
      </c>
      <c r="B787" s="2" t="s">
        <v>26</v>
      </c>
      <c r="C787" s="2" t="s">
        <v>75</v>
      </c>
      <c r="D787">
        <v>3</v>
      </c>
      <c r="E787">
        <v>583</v>
      </c>
      <c r="F787" s="2" t="s">
        <v>19</v>
      </c>
      <c r="G787" s="2" t="s">
        <v>29</v>
      </c>
      <c r="H787">
        <v>0.15</v>
      </c>
      <c r="I787" s="2" t="s">
        <v>52</v>
      </c>
      <c r="J787" s="2" t="s">
        <v>59</v>
      </c>
      <c r="K787">
        <v>1</v>
      </c>
      <c r="L787" s="2" t="s">
        <v>1588</v>
      </c>
      <c r="M787" s="2" t="s">
        <v>1589</v>
      </c>
      <c r="N787">
        <v>30.12</v>
      </c>
      <c r="O787" s="1">
        <v>45829</v>
      </c>
      <c r="P787" s="1">
        <v>45838</v>
      </c>
      <c r="Q787" s="2" t="s">
        <v>34</v>
      </c>
      <c r="R787" s="2">
        <v>1487</v>
      </c>
    </row>
    <row r="788" spans="1:18" x14ac:dyDescent="0.25">
      <c r="A788" s="1">
        <v>45836</v>
      </c>
      <c r="B788" s="2" t="s">
        <v>35</v>
      </c>
      <c r="C788" s="2" t="s">
        <v>75</v>
      </c>
      <c r="D788">
        <v>13</v>
      </c>
      <c r="E788">
        <v>341</v>
      </c>
      <c r="F788" s="2" t="s">
        <v>46</v>
      </c>
      <c r="G788" s="2" t="s">
        <v>29</v>
      </c>
      <c r="H788">
        <v>0.15</v>
      </c>
      <c r="I788" s="2" t="s">
        <v>30</v>
      </c>
      <c r="J788" s="2" t="s">
        <v>59</v>
      </c>
      <c r="K788">
        <v>0</v>
      </c>
      <c r="L788" s="2" t="s">
        <v>1590</v>
      </c>
      <c r="M788" s="2" t="s">
        <v>1591</v>
      </c>
      <c r="N788">
        <v>18.2</v>
      </c>
      <c r="O788" s="1">
        <v>45836</v>
      </c>
      <c r="P788" s="1">
        <v>45839</v>
      </c>
      <c r="Q788" s="2" t="s">
        <v>39</v>
      </c>
      <c r="R788" s="2">
        <v>3768</v>
      </c>
    </row>
    <row r="789" spans="1:18" x14ac:dyDescent="0.25">
      <c r="A789" s="1">
        <v>45752</v>
      </c>
      <c r="B789" s="2" t="s">
        <v>65</v>
      </c>
      <c r="C789" s="2" t="s">
        <v>41</v>
      </c>
      <c r="D789">
        <v>19</v>
      </c>
      <c r="E789">
        <v>267</v>
      </c>
      <c r="F789" s="2" t="s">
        <v>51</v>
      </c>
      <c r="G789" s="2" t="s">
        <v>20</v>
      </c>
      <c r="H789">
        <v>0.15</v>
      </c>
      <c r="I789" s="2" t="s">
        <v>62</v>
      </c>
      <c r="J789" s="2" t="s">
        <v>22</v>
      </c>
      <c r="K789">
        <v>1</v>
      </c>
      <c r="L789" s="2" t="s">
        <v>1592</v>
      </c>
      <c r="M789" s="2" t="s">
        <v>1593</v>
      </c>
      <c r="N789">
        <v>35.82</v>
      </c>
      <c r="O789" s="1">
        <v>45752</v>
      </c>
      <c r="P789" s="1">
        <v>45760</v>
      </c>
      <c r="Q789" s="2" t="s">
        <v>68</v>
      </c>
      <c r="R789" s="2">
        <v>4312</v>
      </c>
    </row>
    <row r="790" spans="1:18" x14ac:dyDescent="0.25">
      <c r="A790" s="1">
        <v>45356</v>
      </c>
      <c r="B790" s="2" t="s">
        <v>26</v>
      </c>
      <c r="C790" s="2" t="s">
        <v>126</v>
      </c>
      <c r="D790">
        <v>7</v>
      </c>
      <c r="E790">
        <v>78</v>
      </c>
      <c r="F790" s="2" t="s">
        <v>51</v>
      </c>
      <c r="G790" s="2" t="s">
        <v>20</v>
      </c>
      <c r="H790">
        <v>0</v>
      </c>
      <c r="I790" s="2" t="s">
        <v>47</v>
      </c>
      <c r="J790" s="2" t="s">
        <v>53</v>
      </c>
      <c r="K790">
        <v>0</v>
      </c>
      <c r="L790" s="2" t="s">
        <v>1594</v>
      </c>
      <c r="M790" s="2" t="s">
        <v>1595</v>
      </c>
      <c r="N790">
        <v>41.89</v>
      </c>
      <c r="O790" s="1">
        <v>45356</v>
      </c>
      <c r="P790" s="1">
        <v>45363</v>
      </c>
      <c r="Q790" s="2" t="s">
        <v>34</v>
      </c>
      <c r="R790" s="2">
        <v>546</v>
      </c>
    </row>
    <row r="791" spans="1:18" x14ac:dyDescent="0.25">
      <c r="A791" s="1">
        <v>45360</v>
      </c>
      <c r="B791" s="2" t="s">
        <v>17</v>
      </c>
      <c r="C791" s="2" t="s">
        <v>27</v>
      </c>
      <c r="D791">
        <v>20</v>
      </c>
      <c r="E791">
        <v>312</v>
      </c>
      <c r="F791" s="2" t="s">
        <v>46</v>
      </c>
      <c r="G791" s="2" t="s">
        <v>29</v>
      </c>
      <c r="H791">
        <v>0</v>
      </c>
      <c r="I791" s="2" t="s">
        <v>47</v>
      </c>
      <c r="J791" s="2" t="s">
        <v>53</v>
      </c>
      <c r="K791">
        <v>0</v>
      </c>
      <c r="L791" s="2" t="s">
        <v>1596</v>
      </c>
      <c r="M791" s="2" t="s">
        <v>1597</v>
      </c>
      <c r="N791">
        <v>28.11</v>
      </c>
      <c r="O791" s="1">
        <v>45360</v>
      </c>
      <c r="P791" s="1">
        <v>45362</v>
      </c>
      <c r="Q791" s="2" t="s">
        <v>25</v>
      </c>
      <c r="R791" s="2">
        <v>6240</v>
      </c>
    </row>
    <row r="792" spans="1:18" x14ac:dyDescent="0.25">
      <c r="A792" s="1">
        <v>45713</v>
      </c>
      <c r="B792" s="2" t="s">
        <v>40</v>
      </c>
      <c r="C792" s="2" t="s">
        <v>50</v>
      </c>
      <c r="D792">
        <v>19</v>
      </c>
      <c r="E792">
        <v>14</v>
      </c>
      <c r="F792" s="2" t="s">
        <v>46</v>
      </c>
      <c r="G792" s="2" t="s">
        <v>20</v>
      </c>
      <c r="H792">
        <v>0.05</v>
      </c>
      <c r="I792" s="2" t="s">
        <v>47</v>
      </c>
      <c r="J792" s="2" t="s">
        <v>59</v>
      </c>
      <c r="K792">
        <v>0</v>
      </c>
      <c r="L792" s="2" t="s">
        <v>1598</v>
      </c>
      <c r="M792" s="2" t="s">
        <v>1599</v>
      </c>
      <c r="N792">
        <v>37.840000000000003</v>
      </c>
      <c r="O792" s="1">
        <v>45713</v>
      </c>
      <c r="P792" s="1">
        <v>45716</v>
      </c>
      <c r="Q792" s="2" t="s">
        <v>45</v>
      </c>
      <c r="R792" s="2">
        <v>253</v>
      </c>
    </row>
    <row r="793" spans="1:18" x14ac:dyDescent="0.25">
      <c r="A793" s="1">
        <v>45612</v>
      </c>
      <c r="B793" s="2" t="s">
        <v>65</v>
      </c>
      <c r="C793" s="2" t="s">
        <v>75</v>
      </c>
      <c r="D793">
        <v>17</v>
      </c>
      <c r="E793">
        <v>267</v>
      </c>
      <c r="F793" s="2" t="s">
        <v>51</v>
      </c>
      <c r="G793" s="2" t="s">
        <v>29</v>
      </c>
      <c r="H793">
        <v>0.05</v>
      </c>
      <c r="I793" s="2" t="s">
        <v>42</v>
      </c>
      <c r="J793" s="2" t="s">
        <v>53</v>
      </c>
      <c r="K793">
        <v>0</v>
      </c>
      <c r="L793" s="2" t="s">
        <v>1600</v>
      </c>
      <c r="M793" s="2" t="s">
        <v>1601</v>
      </c>
      <c r="N793">
        <v>32.520000000000003</v>
      </c>
      <c r="O793" s="1">
        <v>45612</v>
      </c>
      <c r="P793" s="1">
        <v>45619</v>
      </c>
      <c r="Q793" s="2" t="s">
        <v>68</v>
      </c>
      <c r="R793" s="2">
        <v>4312</v>
      </c>
    </row>
    <row r="794" spans="1:18" x14ac:dyDescent="0.25">
      <c r="A794" s="1">
        <v>45505</v>
      </c>
      <c r="B794" s="2" t="s">
        <v>26</v>
      </c>
      <c r="C794" s="2" t="s">
        <v>126</v>
      </c>
      <c r="D794">
        <v>20</v>
      </c>
      <c r="E794">
        <v>248</v>
      </c>
      <c r="F794" s="2" t="s">
        <v>51</v>
      </c>
      <c r="G794" s="2" t="s">
        <v>20</v>
      </c>
      <c r="H794">
        <v>0.05</v>
      </c>
      <c r="I794" s="2" t="s">
        <v>47</v>
      </c>
      <c r="J794" s="2" t="s">
        <v>22</v>
      </c>
      <c r="K794">
        <v>0</v>
      </c>
      <c r="L794" s="2" t="s">
        <v>1602</v>
      </c>
      <c r="M794" s="2" t="s">
        <v>1603</v>
      </c>
      <c r="N794">
        <v>22.96</v>
      </c>
      <c r="O794" s="1">
        <v>45505</v>
      </c>
      <c r="P794" s="1">
        <v>45510</v>
      </c>
      <c r="Q794" s="2" t="s">
        <v>34</v>
      </c>
      <c r="R794" s="2">
        <v>4712</v>
      </c>
    </row>
    <row r="795" spans="1:18" x14ac:dyDescent="0.25">
      <c r="A795" s="1">
        <v>45402</v>
      </c>
      <c r="B795" s="2" t="s">
        <v>65</v>
      </c>
      <c r="C795" s="2" t="s">
        <v>41</v>
      </c>
      <c r="D795">
        <v>5</v>
      </c>
      <c r="E795">
        <v>317</v>
      </c>
      <c r="F795" s="2" t="s">
        <v>19</v>
      </c>
      <c r="G795" s="2" t="s">
        <v>29</v>
      </c>
      <c r="H795">
        <v>0.05</v>
      </c>
      <c r="I795" s="2" t="s">
        <v>30</v>
      </c>
      <c r="J795" s="2" t="s">
        <v>31</v>
      </c>
      <c r="K795">
        <v>1</v>
      </c>
      <c r="L795" s="2" t="s">
        <v>1604</v>
      </c>
      <c r="M795" s="2" t="s">
        <v>1299</v>
      </c>
      <c r="N795">
        <v>12.7</v>
      </c>
      <c r="O795" s="1">
        <v>45402</v>
      </c>
      <c r="P795" s="1">
        <v>45412</v>
      </c>
      <c r="Q795" s="2" t="s">
        <v>68</v>
      </c>
      <c r="R795" s="2">
        <v>1506</v>
      </c>
    </row>
    <row r="796" spans="1:18" x14ac:dyDescent="0.25">
      <c r="A796" s="1">
        <v>45402</v>
      </c>
      <c r="B796" s="2" t="s">
        <v>26</v>
      </c>
      <c r="C796" s="2" t="s">
        <v>18</v>
      </c>
      <c r="D796">
        <v>2</v>
      </c>
      <c r="E796">
        <v>170</v>
      </c>
      <c r="F796" s="2" t="s">
        <v>46</v>
      </c>
      <c r="G796" s="2" t="s">
        <v>29</v>
      </c>
      <c r="H796">
        <v>0.1</v>
      </c>
      <c r="I796" s="2" t="s">
        <v>30</v>
      </c>
      <c r="J796" s="2" t="s">
        <v>56</v>
      </c>
      <c r="K796">
        <v>0</v>
      </c>
      <c r="L796" s="2" t="s">
        <v>1605</v>
      </c>
      <c r="M796" s="2" t="s">
        <v>1606</v>
      </c>
      <c r="N796">
        <v>45.41</v>
      </c>
      <c r="O796" s="1">
        <v>45402</v>
      </c>
      <c r="P796" s="1">
        <v>45407</v>
      </c>
      <c r="Q796" s="2" t="s">
        <v>34</v>
      </c>
      <c r="R796" s="2">
        <v>306</v>
      </c>
    </row>
    <row r="797" spans="1:18" x14ac:dyDescent="0.25">
      <c r="A797" s="1">
        <v>45191</v>
      </c>
      <c r="B797" s="2" t="s">
        <v>35</v>
      </c>
      <c r="C797" s="2" t="s">
        <v>18</v>
      </c>
      <c r="D797">
        <v>19</v>
      </c>
      <c r="E797">
        <v>35</v>
      </c>
      <c r="F797" s="2" t="s">
        <v>28</v>
      </c>
      <c r="G797" s="2" t="s">
        <v>29</v>
      </c>
      <c r="H797">
        <v>0.15</v>
      </c>
      <c r="I797" s="2" t="s">
        <v>52</v>
      </c>
      <c r="J797" s="2" t="s">
        <v>22</v>
      </c>
      <c r="K797">
        <v>0</v>
      </c>
      <c r="L797" s="2" t="s">
        <v>1607</v>
      </c>
      <c r="M797" s="2" t="s">
        <v>1608</v>
      </c>
      <c r="N797">
        <v>7.06</v>
      </c>
      <c r="O797" s="1">
        <v>45191</v>
      </c>
      <c r="P797" s="1">
        <v>45197</v>
      </c>
      <c r="Q797" s="2" t="s">
        <v>39</v>
      </c>
      <c r="R797" s="2">
        <v>565</v>
      </c>
    </row>
    <row r="798" spans="1:18" x14ac:dyDescent="0.25">
      <c r="A798" s="1">
        <v>45709</v>
      </c>
      <c r="B798" s="2" t="s">
        <v>65</v>
      </c>
      <c r="C798" s="2" t="s">
        <v>41</v>
      </c>
      <c r="D798">
        <v>3</v>
      </c>
      <c r="E798">
        <v>264</v>
      </c>
      <c r="F798" s="2" t="s">
        <v>28</v>
      </c>
      <c r="G798" s="2" t="s">
        <v>29</v>
      </c>
      <c r="H798">
        <v>0.1</v>
      </c>
      <c r="I798" s="2" t="s">
        <v>52</v>
      </c>
      <c r="J798" s="2" t="s">
        <v>22</v>
      </c>
      <c r="K798">
        <v>0</v>
      </c>
      <c r="L798" s="2" t="s">
        <v>1609</v>
      </c>
      <c r="M798" s="2" t="s">
        <v>1610</v>
      </c>
      <c r="N798">
        <v>25.39</v>
      </c>
      <c r="O798" s="1">
        <v>45709</v>
      </c>
      <c r="P798" s="1">
        <v>45718</v>
      </c>
      <c r="Q798" s="2" t="s">
        <v>68</v>
      </c>
      <c r="R798" s="2">
        <v>713</v>
      </c>
    </row>
    <row r="799" spans="1:18" x14ac:dyDescent="0.25">
      <c r="A799" s="1">
        <v>45832</v>
      </c>
      <c r="B799" s="2" t="s">
        <v>17</v>
      </c>
      <c r="C799" s="2" t="s">
        <v>75</v>
      </c>
      <c r="D799">
        <v>5</v>
      </c>
      <c r="E799">
        <v>138</v>
      </c>
      <c r="F799" s="2" t="s">
        <v>46</v>
      </c>
      <c r="G799" s="2" t="s">
        <v>20</v>
      </c>
      <c r="H799">
        <v>0.15</v>
      </c>
      <c r="I799" s="2" t="s">
        <v>52</v>
      </c>
      <c r="J799" s="2" t="s">
        <v>56</v>
      </c>
      <c r="K799">
        <v>0</v>
      </c>
      <c r="L799" s="2" t="s">
        <v>1611</v>
      </c>
      <c r="M799" s="2" t="s">
        <v>260</v>
      </c>
      <c r="N799">
        <v>6.45</v>
      </c>
      <c r="O799" s="1">
        <v>45832</v>
      </c>
      <c r="P799" s="1">
        <v>45839</v>
      </c>
      <c r="Q799" s="2" t="s">
        <v>25</v>
      </c>
      <c r="R799" s="2">
        <v>586</v>
      </c>
    </row>
    <row r="800" spans="1:18" x14ac:dyDescent="0.25">
      <c r="A800" s="1">
        <v>45258</v>
      </c>
      <c r="B800" s="2" t="s">
        <v>40</v>
      </c>
      <c r="C800" s="2" t="s">
        <v>18</v>
      </c>
      <c r="D800">
        <v>8</v>
      </c>
      <c r="E800">
        <v>158</v>
      </c>
      <c r="F800" s="2" t="s">
        <v>19</v>
      </c>
      <c r="G800" s="2" t="s">
        <v>29</v>
      </c>
      <c r="H800">
        <v>0.15</v>
      </c>
      <c r="I800" s="2" t="s">
        <v>52</v>
      </c>
      <c r="J800" s="2" t="s">
        <v>22</v>
      </c>
      <c r="K800">
        <v>0</v>
      </c>
      <c r="L800" s="2" t="s">
        <v>1612</v>
      </c>
      <c r="M800" s="2" t="s">
        <v>1613</v>
      </c>
      <c r="N800">
        <v>6.31</v>
      </c>
      <c r="O800" s="1">
        <v>45258</v>
      </c>
      <c r="P800" s="1">
        <v>45265</v>
      </c>
      <c r="Q800" s="2" t="s">
        <v>45</v>
      </c>
      <c r="R800" s="2">
        <v>1074</v>
      </c>
    </row>
    <row r="801" spans="1:18" x14ac:dyDescent="0.25">
      <c r="A801" s="1">
        <v>45390</v>
      </c>
      <c r="B801" s="2" t="s">
        <v>35</v>
      </c>
      <c r="C801" s="2" t="s">
        <v>36</v>
      </c>
      <c r="D801">
        <v>6</v>
      </c>
      <c r="E801">
        <v>127</v>
      </c>
      <c r="F801" s="2" t="s">
        <v>46</v>
      </c>
      <c r="G801" s="2" t="s">
        <v>20</v>
      </c>
      <c r="H801">
        <v>0.05</v>
      </c>
      <c r="I801" s="2" t="s">
        <v>21</v>
      </c>
      <c r="J801" s="2" t="s">
        <v>56</v>
      </c>
      <c r="K801">
        <v>0</v>
      </c>
      <c r="L801" s="2" t="s">
        <v>1614</v>
      </c>
      <c r="M801" s="2" t="s">
        <v>1615</v>
      </c>
      <c r="N801">
        <v>35.49</v>
      </c>
      <c r="O801" s="1">
        <v>45390</v>
      </c>
      <c r="P801" s="1">
        <v>45399</v>
      </c>
      <c r="Q801" s="2" t="s">
        <v>39</v>
      </c>
      <c r="R801" s="2">
        <v>724</v>
      </c>
    </row>
    <row r="802" spans="1:18" x14ac:dyDescent="0.25">
      <c r="A802" s="1">
        <v>45664</v>
      </c>
      <c r="B802" s="2" t="s">
        <v>35</v>
      </c>
      <c r="C802" s="2" t="s">
        <v>41</v>
      </c>
      <c r="D802">
        <v>15</v>
      </c>
      <c r="E802">
        <v>240</v>
      </c>
      <c r="F802" s="2" t="s">
        <v>46</v>
      </c>
      <c r="G802" s="2" t="s">
        <v>29</v>
      </c>
      <c r="H802">
        <v>0.05</v>
      </c>
      <c r="I802" s="2" t="s">
        <v>47</v>
      </c>
      <c r="J802" s="2" t="s">
        <v>53</v>
      </c>
      <c r="K802">
        <v>0</v>
      </c>
      <c r="L802" s="2" t="s">
        <v>1616</v>
      </c>
      <c r="M802" s="2" t="s">
        <v>1420</v>
      </c>
      <c r="N802">
        <v>14.31</v>
      </c>
      <c r="O802" s="1">
        <v>45664</v>
      </c>
      <c r="P802" s="1">
        <v>45671</v>
      </c>
      <c r="Q802" s="2" t="s">
        <v>39</v>
      </c>
      <c r="R802" s="2">
        <v>3420</v>
      </c>
    </row>
    <row r="803" spans="1:18" x14ac:dyDescent="0.25">
      <c r="A803" s="1">
        <v>44981</v>
      </c>
      <c r="B803" s="2" t="s">
        <v>26</v>
      </c>
      <c r="C803" s="2" t="s">
        <v>75</v>
      </c>
      <c r="D803">
        <v>3</v>
      </c>
      <c r="E803">
        <v>38</v>
      </c>
      <c r="F803" s="2" t="s">
        <v>28</v>
      </c>
      <c r="G803" s="2" t="s">
        <v>20</v>
      </c>
      <c r="H803">
        <v>0.1</v>
      </c>
      <c r="I803" s="2" t="s">
        <v>47</v>
      </c>
      <c r="J803" s="2" t="s">
        <v>56</v>
      </c>
      <c r="K803">
        <v>0</v>
      </c>
      <c r="L803" s="2" t="s">
        <v>1617</v>
      </c>
      <c r="M803" s="2" t="s">
        <v>1618</v>
      </c>
      <c r="N803">
        <v>43.7</v>
      </c>
      <c r="O803" s="1">
        <v>44981</v>
      </c>
      <c r="P803" s="1">
        <v>44988</v>
      </c>
      <c r="Q803" s="2" t="s">
        <v>34</v>
      </c>
      <c r="R803" s="2">
        <v>103</v>
      </c>
    </row>
    <row r="804" spans="1:18" x14ac:dyDescent="0.25">
      <c r="A804" s="1">
        <v>45218</v>
      </c>
      <c r="B804" s="2" t="s">
        <v>17</v>
      </c>
      <c r="C804" s="2" t="s">
        <v>41</v>
      </c>
      <c r="D804">
        <v>13</v>
      </c>
      <c r="E804">
        <v>393</v>
      </c>
      <c r="F804" s="2" t="s">
        <v>19</v>
      </c>
      <c r="G804" s="2" t="s">
        <v>20</v>
      </c>
      <c r="H804">
        <v>0.1</v>
      </c>
      <c r="I804" s="2" t="s">
        <v>30</v>
      </c>
      <c r="J804" s="2" t="s">
        <v>22</v>
      </c>
      <c r="K804">
        <v>0</v>
      </c>
      <c r="L804" s="2" t="s">
        <v>1619</v>
      </c>
      <c r="M804" s="2" t="s">
        <v>61</v>
      </c>
      <c r="N804">
        <v>12.64</v>
      </c>
      <c r="O804" s="1">
        <v>45218</v>
      </c>
      <c r="P804" s="1">
        <v>45225</v>
      </c>
      <c r="Q804" s="2" t="s">
        <v>25</v>
      </c>
      <c r="R804" s="2">
        <v>4598</v>
      </c>
    </row>
    <row r="805" spans="1:18" x14ac:dyDescent="0.25">
      <c r="A805" s="1">
        <v>45460</v>
      </c>
      <c r="B805" s="2" t="s">
        <v>35</v>
      </c>
      <c r="C805" s="2" t="s">
        <v>41</v>
      </c>
      <c r="D805">
        <v>10</v>
      </c>
      <c r="E805">
        <v>84</v>
      </c>
      <c r="F805" s="2" t="s">
        <v>28</v>
      </c>
      <c r="G805" s="2" t="s">
        <v>20</v>
      </c>
      <c r="H805">
        <v>0.15</v>
      </c>
      <c r="I805" s="2" t="s">
        <v>30</v>
      </c>
      <c r="J805" s="2" t="s">
        <v>53</v>
      </c>
      <c r="K805">
        <v>0</v>
      </c>
      <c r="L805" s="2" t="s">
        <v>1620</v>
      </c>
      <c r="M805" s="2" t="s">
        <v>1621</v>
      </c>
      <c r="N805">
        <v>41.11</v>
      </c>
      <c r="O805" s="1">
        <v>45460</v>
      </c>
      <c r="P805" s="1">
        <v>45464</v>
      </c>
      <c r="Q805" s="2" t="s">
        <v>39</v>
      </c>
      <c r="R805" s="2">
        <v>714</v>
      </c>
    </row>
    <row r="806" spans="1:18" x14ac:dyDescent="0.25">
      <c r="A806" s="1">
        <v>45098</v>
      </c>
      <c r="B806" s="2" t="s">
        <v>40</v>
      </c>
      <c r="C806" s="2" t="s">
        <v>36</v>
      </c>
      <c r="D806">
        <v>10</v>
      </c>
      <c r="E806">
        <v>110</v>
      </c>
      <c r="F806" s="2" t="s">
        <v>19</v>
      </c>
      <c r="G806" s="2" t="s">
        <v>20</v>
      </c>
      <c r="H806">
        <v>0</v>
      </c>
      <c r="I806" s="2" t="s">
        <v>42</v>
      </c>
      <c r="J806" s="2" t="s">
        <v>53</v>
      </c>
      <c r="K806">
        <v>0</v>
      </c>
      <c r="L806" s="2" t="s">
        <v>1622</v>
      </c>
      <c r="M806" s="2" t="s">
        <v>1623</v>
      </c>
      <c r="N806">
        <v>18.47</v>
      </c>
      <c r="O806" s="1">
        <v>45098</v>
      </c>
      <c r="P806" s="1">
        <v>45106</v>
      </c>
      <c r="Q806" s="2" t="s">
        <v>45</v>
      </c>
      <c r="R806" s="2">
        <v>1100</v>
      </c>
    </row>
    <row r="807" spans="1:18" x14ac:dyDescent="0.25">
      <c r="A807" s="1">
        <v>45534</v>
      </c>
      <c r="B807" s="2" t="s">
        <v>17</v>
      </c>
      <c r="C807" s="2" t="s">
        <v>27</v>
      </c>
      <c r="D807">
        <v>6</v>
      </c>
      <c r="E807">
        <v>289</v>
      </c>
      <c r="F807" s="2" t="s">
        <v>46</v>
      </c>
      <c r="G807" s="2" t="s">
        <v>20</v>
      </c>
      <c r="H807">
        <v>0.15</v>
      </c>
      <c r="I807" s="2" t="s">
        <v>52</v>
      </c>
      <c r="J807" s="2" t="s">
        <v>31</v>
      </c>
      <c r="K807">
        <v>0</v>
      </c>
      <c r="L807" s="2" t="s">
        <v>1624</v>
      </c>
      <c r="M807" s="2" t="s">
        <v>1625</v>
      </c>
      <c r="N807">
        <v>38.630000000000003</v>
      </c>
      <c r="O807" s="1">
        <v>45534</v>
      </c>
      <c r="P807" s="1">
        <v>45537</v>
      </c>
      <c r="Q807" s="2" t="s">
        <v>25</v>
      </c>
      <c r="R807" s="2">
        <v>1474</v>
      </c>
    </row>
    <row r="808" spans="1:18" x14ac:dyDescent="0.25">
      <c r="A808" s="1">
        <v>45660</v>
      </c>
      <c r="B808" s="2" t="s">
        <v>40</v>
      </c>
      <c r="C808" s="2" t="s">
        <v>36</v>
      </c>
      <c r="D808">
        <v>10</v>
      </c>
      <c r="E808">
        <v>451</v>
      </c>
      <c r="F808" s="2" t="s">
        <v>28</v>
      </c>
      <c r="G808" s="2" t="s">
        <v>29</v>
      </c>
      <c r="H808">
        <v>0</v>
      </c>
      <c r="I808" s="2" t="s">
        <v>62</v>
      </c>
      <c r="J808" s="2" t="s">
        <v>31</v>
      </c>
      <c r="K808">
        <v>0</v>
      </c>
      <c r="L808" s="2" t="s">
        <v>1626</v>
      </c>
      <c r="M808" s="2" t="s">
        <v>1627</v>
      </c>
      <c r="N808">
        <v>29.96</v>
      </c>
      <c r="O808" s="1">
        <v>45660</v>
      </c>
      <c r="P808" s="1">
        <v>45670</v>
      </c>
      <c r="Q808" s="2" t="s">
        <v>45</v>
      </c>
      <c r="R808" s="2">
        <v>4510</v>
      </c>
    </row>
    <row r="809" spans="1:18" x14ac:dyDescent="0.25">
      <c r="A809" s="1">
        <v>44980</v>
      </c>
      <c r="B809" s="2" t="s">
        <v>65</v>
      </c>
      <c r="C809" s="2" t="s">
        <v>126</v>
      </c>
      <c r="D809">
        <v>16</v>
      </c>
      <c r="E809">
        <v>509</v>
      </c>
      <c r="F809" s="2" t="s">
        <v>46</v>
      </c>
      <c r="G809" s="2" t="s">
        <v>20</v>
      </c>
      <c r="H809">
        <v>0</v>
      </c>
      <c r="I809" s="2" t="s">
        <v>47</v>
      </c>
      <c r="J809" s="2" t="s">
        <v>22</v>
      </c>
      <c r="K809">
        <v>0</v>
      </c>
      <c r="L809" s="2" t="s">
        <v>1628</v>
      </c>
      <c r="M809" s="2" t="s">
        <v>881</v>
      </c>
      <c r="N809">
        <v>37.53</v>
      </c>
      <c r="O809" s="1">
        <v>44980</v>
      </c>
      <c r="P809" s="1">
        <v>44987</v>
      </c>
      <c r="Q809" s="2" t="s">
        <v>68</v>
      </c>
      <c r="R809" s="2">
        <v>8144</v>
      </c>
    </row>
    <row r="810" spans="1:18" x14ac:dyDescent="0.25">
      <c r="A810" s="1">
        <v>45773</v>
      </c>
      <c r="B810" s="2" t="s">
        <v>40</v>
      </c>
      <c r="C810" s="2" t="s">
        <v>126</v>
      </c>
      <c r="D810">
        <v>4</v>
      </c>
      <c r="E810">
        <v>583</v>
      </c>
      <c r="F810" s="2" t="s">
        <v>51</v>
      </c>
      <c r="G810" s="2" t="s">
        <v>20</v>
      </c>
      <c r="H810">
        <v>0.05</v>
      </c>
      <c r="I810" s="2" t="s">
        <v>47</v>
      </c>
      <c r="J810" s="2" t="s">
        <v>59</v>
      </c>
      <c r="K810">
        <v>0</v>
      </c>
      <c r="L810" s="2" t="s">
        <v>1629</v>
      </c>
      <c r="M810" s="2" t="s">
        <v>1630</v>
      </c>
      <c r="N810">
        <v>44.26</v>
      </c>
      <c r="O810" s="1">
        <v>45773</v>
      </c>
      <c r="P810" s="1">
        <v>45776</v>
      </c>
      <c r="Q810" s="2" t="s">
        <v>45</v>
      </c>
      <c r="R810" s="2">
        <v>2215</v>
      </c>
    </row>
    <row r="811" spans="1:18" x14ac:dyDescent="0.25">
      <c r="A811" s="1">
        <v>45085</v>
      </c>
      <c r="B811" s="2" t="s">
        <v>26</v>
      </c>
      <c r="C811" s="2" t="s">
        <v>27</v>
      </c>
      <c r="D811">
        <v>9</v>
      </c>
      <c r="E811">
        <v>115</v>
      </c>
      <c r="F811" s="2" t="s">
        <v>19</v>
      </c>
      <c r="G811" s="2" t="s">
        <v>20</v>
      </c>
      <c r="H811">
        <v>0</v>
      </c>
      <c r="I811" s="2" t="s">
        <v>30</v>
      </c>
      <c r="J811" s="2" t="s">
        <v>53</v>
      </c>
      <c r="K811">
        <v>0</v>
      </c>
      <c r="L811" s="2" t="s">
        <v>1631</v>
      </c>
      <c r="M811" s="2" t="s">
        <v>1632</v>
      </c>
      <c r="N811">
        <v>8.2799999999999994</v>
      </c>
      <c r="O811" s="1">
        <v>45085</v>
      </c>
      <c r="P811" s="1">
        <v>45091</v>
      </c>
      <c r="Q811" s="2" t="s">
        <v>34</v>
      </c>
      <c r="R811" s="2">
        <v>1035</v>
      </c>
    </row>
    <row r="812" spans="1:18" x14ac:dyDescent="0.25">
      <c r="A812" s="1">
        <v>45001</v>
      </c>
      <c r="B812" s="2" t="s">
        <v>35</v>
      </c>
      <c r="C812" s="2" t="s">
        <v>50</v>
      </c>
      <c r="D812">
        <v>14</v>
      </c>
      <c r="E812">
        <v>565</v>
      </c>
      <c r="F812" s="2" t="s">
        <v>51</v>
      </c>
      <c r="G812" s="2" t="s">
        <v>20</v>
      </c>
      <c r="H812">
        <v>0.1</v>
      </c>
      <c r="I812" s="2" t="s">
        <v>21</v>
      </c>
      <c r="J812" s="2" t="s">
        <v>22</v>
      </c>
      <c r="K812">
        <v>0</v>
      </c>
      <c r="L812" s="2" t="s">
        <v>1633</v>
      </c>
      <c r="M812" s="2" t="s">
        <v>1634</v>
      </c>
      <c r="N812">
        <v>24.4</v>
      </c>
      <c r="O812" s="1">
        <v>45001</v>
      </c>
      <c r="P812" s="1">
        <v>45010</v>
      </c>
      <c r="Q812" s="2" t="s">
        <v>39</v>
      </c>
      <c r="R812" s="2">
        <v>7119</v>
      </c>
    </row>
    <row r="813" spans="1:18" x14ac:dyDescent="0.25">
      <c r="A813" s="1">
        <v>45588</v>
      </c>
      <c r="B813" s="2" t="s">
        <v>35</v>
      </c>
      <c r="C813" s="2" t="s">
        <v>27</v>
      </c>
      <c r="D813">
        <v>11</v>
      </c>
      <c r="E813">
        <v>122</v>
      </c>
      <c r="F813" s="2" t="s">
        <v>51</v>
      </c>
      <c r="G813" s="2" t="s">
        <v>20</v>
      </c>
      <c r="H813">
        <v>0</v>
      </c>
      <c r="I813" s="2" t="s">
        <v>47</v>
      </c>
      <c r="J813" s="2" t="s">
        <v>53</v>
      </c>
      <c r="K813">
        <v>0</v>
      </c>
      <c r="L813" s="2" t="s">
        <v>1635</v>
      </c>
      <c r="M813" s="2" t="s">
        <v>1636</v>
      </c>
      <c r="N813">
        <v>16.62</v>
      </c>
      <c r="O813" s="1">
        <v>45588</v>
      </c>
      <c r="P813" s="1">
        <v>45593</v>
      </c>
      <c r="Q813" s="2" t="s">
        <v>39</v>
      </c>
      <c r="R813" s="2">
        <v>1342</v>
      </c>
    </row>
    <row r="814" spans="1:18" x14ac:dyDescent="0.25">
      <c r="A814" s="1">
        <v>45800</v>
      </c>
      <c r="B814" s="2" t="s">
        <v>17</v>
      </c>
      <c r="C814" s="2" t="s">
        <v>126</v>
      </c>
      <c r="D814">
        <v>9</v>
      </c>
      <c r="E814">
        <v>160</v>
      </c>
      <c r="F814" s="2" t="s">
        <v>51</v>
      </c>
      <c r="G814" s="2" t="s">
        <v>29</v>
      </c>
      <c r="H814">
        <v>0.1</v>
      </c>
      <c r="I814" s="2" t="s">
        <v>30</v>
      </c>
      <c r="J814" s="2" t="s">
        <v>56</v>
      </c>
      <c r="K814">
        <v>1</v>
      </c>
      <c r="L814" s="2" t="s">
        <v>1637</v>
      </c>
      <c r="M814" s="2" t="s">
        <v>1638</v>
      </c>
      <c r="N814">
        <v>29.64</v>
      </c>
      <c r="O814" s="1">
        <v>45800</v>
      </c>
      <c r="P814" s="1">
        <v>45805</v>
      </c>
      <c r="Q814" s="2" t="s">
        <v>25</v>
      </c>
      <c r="R814" s="2">
        <v>1296</v>
      </c>
    </row>
    <row r="815" spans="1:18" x14ac:dyDescent="0.25">
      <c r="A815" s="1">
        <v>45052</v>
      </c>
      <c r="B815" s="2" t="s">
        <v>17</v>
      </c>
      <c r="C815" s="2" t="s">
        <v>36</v>
      </c>
      <c r="D815">
        <v>14</v>
      </c>
      <c r="E815">
        <v>176</v>
      </c>
      <c r="F815" s="2" t="s">
        <v>19</v>
      </c>
      <c r="G815" s="2" t="s">
        <v>20</v>
      </c>
      <c r="H815">
        <v>0.05</v>
      </c>
      <c r="I815" s="2" t="s">
        <v>62</v>
      </c>
      <c r="J815" s="2" t="s">
        <v>59</v>
      </c>
      <c r="K815">
        <v>0</v>
      </c>
      <c r="L815" s="2" t="s">
        <v>1639</v>
      </c>
      <c r="M815" s="2" t="s">
        <v>1640</v>
      </c>
      <c r="N815">
        <v>26.12</v>
      </c>
      <c r="O815" s="1">
        <v>45052</v>
      </c>
      <c r="P815" s="1">
        <v>45060</v>
      </c>
      <c r="Q815" s="2" t="s">
        <v>25</v>
      </c>
      <c r="R815" s="2">
        <v>2341</v>
      </c>
    </row>
    <row r="816" spans="1:18" x14ac:dyDescent="0.25">
      <c r="A816" s="1">
        <v>45519</v>
      </c>
      <c r="B816" s="2" t="s">
        <v>26</v>
      </c>
      <c r="C816" s="2" t="s">
        <v>75</v>
      </c>
      <c r="D816">
        <v>3</v>
      </c>
      <c r="E816">
        <v>438</v>
      </c>
      <c r="F816" s="2" t="s">
        <v>46</v>
      </c>
      <c r="G816" s="2" t="s">
        <v>20</v>
      </c>
      <c r="H816">
        <v>0.05</v>
      </c>
      <c r="I816" s="2" t="s">
        <v>21</v>
      </c>
      <c r="J816" s="2" t="s">
        <v>59</v>
      </c>
      <c r="K816">
        <v>1</v>
      </c>
      <c r="L816" s="2" t="s">
        <v>1641</v>
      </c>
      <c r="M816" s="2" t="s">
        <v>1642</v>
      </c>
      <c r="N816">
        <v>23.29</v>
      </c>
      <c r="O816" s="1">
        <v>45519</v>
      </c>
      <c r="P816" s="1">
        <v>45526</v>
      </c>
      <c r="Q816" s="2" t="s">
        <v>34</v>
      </c>
      <c r="R816" s="2">
        <v>1248</v>
      </c>
    </row>
    <row r="817" spans="1:18" x14ac:dyDescent="0.25">
      <c r="A817" s="1">
        <v>45161</v>
      </c>
      <c r="B817" s="2" t="s">
        <v>26</v>
      </c>
      <c r="C817" s="2" t="s">
        <v>126</v>
      </c>
      <c r="D817">
        <v>12</v>
      </c>
      <c r="E817">
        <v>412</v>
      </c>
      <c r="F817" s="2" t="s">
        <v>19</v>
      </c>
      <c r="G817" s="2" t="s">
        <v>20</v>
      </c>
      <c r="H817">
        <v>0.15</v>
      </c>
      <c r="I817" s="2" t="s">
        <v>52</v>
      </c>
      <c r="J817" s="2" t="s">
        <v>59</v>
      </c>
      <c r="K817">
        <v>0</v>
      </c>
      <c r="L817" s="2" t="s">
        <v>1643</v>
      </c>
      <c r="M817" s="2" t="s">
        <v>1644</v>
      </c>
      <c r="N817">
        <v>19.170000000000002</v>
      </c>
      <c r="O817" s="1">
        <v>45161</v>
      </c>
      <c r="P817" s="1">
        <v>45169</v>
      </c>
      <c r="Q817" s="2" t="s">
        <v>34</v>
      </c>
      <c r="R817" s="2">
        <v>4202</v>
      </c>
    </row>
    <row r="818" spans="1:18" x14ac:dyDescent="0.25">
      <c r="A818" s="1">
        <v>45760</v>
      </c>
      <c r="B818" s="2" t="s">
        <v>26</v>
      </c>
      <c r="C818" s="2" t="s">
        <v>18</v>
      </c>
      <c r="D818">
        <v>1</v>
      </c>
      <c r="E818">
        <v>163</v>
      </c>
      <c r="F818" s="2" t="s">
        <v>19</v>
      </c>
      <c r="G818" s="2" t="s">
        <v>29</v>
      </c>
      <c r="H818">
        <v>0</v>
      </c>
      <c r="I818" s="2" t="s">
        <v>52</v>
      </c>
      <c r="J818" s="2" t="s">
        <v>53</v>
      </c>
      <c r="K818">
        <v>0</v>
      </c>
      <c r="L818" s="2" t="s">
        <v>1645</v>
      </c>
      <c r="M818" s="2" t="s">
        <v>1646</v>
      </c>
      <c r="N818">
        <v>21.15</v>
      </c>
      <c r="O818" s="1">
        <v>45760</v>
      </c>
      <c r="P818" s="1">
        <v>45769</v>
      </c>
      <c r="Q818" s="2" t="s">
        <v>34</v>
      </c>
      <c r="R818" s="2">
        <v>163</v>
      </c>
    </row>
    <row r="819" spans="1:18" x14ac:dyDescent="0.25">
      <c r="A819" s="1">
        <v>45454</v>
      </c>
      <c r="B819" s="2" t="s">
        <v>40</v>
      </c>
      <c r="C819" s="2" t="s">
        <v>36</v>
      </c>
      <c r="D819">
        <v>5</v>
      </c>
      <c r="E819">
        <v>539</v>
      </c>
      <c r="F819" s="2" t="s">
        <v>19</v>
      </c>
      <c r="G819" s="2" t="s">
        <v>20</v>
      </c>
      <c r="H819">
        <v>0.05</v>
      </c>
      <c r="I819" s="2" t="s">
        <v>30</v>
      </c>
      <c r="J819" s="2" t="s">
        <v>31</v>
      </c>
      <c r="K819">
        <v>0</v>
      </c>
      <c r="L819" s="2" t="s">
        <v>1647</v>
      </c>
      <c r="M819" s="2" t="s">
        <v>1648</v>
      </c>
      <c r="N819">
        <v>45.81</v>
      </c>
      <c r="O819" s="1">
        <v>45454</v>
      </c>
      <c r="P819" s="1">
        <v>45460</v>
      </c>
      <c r="Q819" s="2" t="s">
        <v>45</v>
      </c>
      <c r="R819" s="2">
        <v>2560</v>
      </c>
    </row>
    <row r="820" spans="1:18" x14ac:dyDescent="0.25">
      <c r="A820" s="1">
        <v>45411</v>
      </c>
      <c r="B820" s="2" t="s">
        <v>26</v>
      </c>
      <c r="C820" s="2" t="s">
        <v>27</v>
      </c>
      <c r="D820">
        <v>11</v>
      </c>
      <c r="E820">
        <v>256</v>
      </c>
      <c r="F820" s="2" t="s">
        <v>46</v>
      </c>
      <c r="G820" s="2" t="s">
        <v>20</v>
      </c>
      <c r="H820">
        <v>0.1</v>
      </c>
      <c r="I820" s="2" t="s">
        <v>30</v>
      </c>
      <c r="J820" s="2" t="s">
        <v>22</v>
      </c>
      <c r="K820">
        <v>0</v>
      </c>
      <c r="L820" s="2" t="s">
        <v>1649</v>
      </c>
      <c r="M820" s="2" t="s">
        <v>1650</v>
      </c>
      <c r="N820">
        <v>21.99</v>
      </c>
      <c r="O820" s="1">
        <v>45411</v>
      </c>
      <c r="P820" s="1">
        <v>45416</v>
      </c>
      <c r="Q820" s="2" t="s">
        <v>34</v>
      </c>
      <c r="R820" s="2">
        <v>2534</v>
      </c>
    </row>
    <row r="821" spans="1:18" x14ac:dyDescent="0.25">
      <c r="A821" s="1">
        <v>45012</v>
      </c>
      <c r="B821" s="2" t="s">
        <v>26</v>
      </c>
      <c r="C821" s="2" t="s">
        <v>36</v>
      </c>
      <c r="D821">
        <v>7</v>
      </c>
      <c r="E821">
        <v>290</v>
      </c>
      <c r="F821" s="2" t="s">
        <v>28</v>
      </c>
      <c r="G821" s="2" t="s">
        <v>29</v>
      </c>
      <c r="H821">
        <v>0.1</v>
      </c>
      <c r="I821" s="2" t="s">
        <v>30</v>
      </c>
      <c r="J821" s="2" t="s">
        <v>59</v>
      </c>
      <c r="K821">
        <v>0</v>
      </c>
      <c r="L821" s="2" t="s">
        <v>1651</v>
      </c>
      <c r="M821" s="2" t="s">
        <v>1652</v>
      </c>
      <c r="N821">
        <v>33.15</v>
      </c>
      <c r="O821" s="1">
        <v>45012</v>
      </c>
      <c r="P821" s="1">
        <v>45020</v>
      </c>
      <c r="Q821" s="2" t="s">
        <v>34</v>
      </c>
      <c r="R821" s="2">
        <v>1827</v>
      </c>
    </row>
    <row r="822" spans="1:18" x14ac:dyDescent="0.25">
      <c r="A822" s="1">
        <v>45588</v>
      </c>
      <c r="B822" s="2" t="s">
        <v>35</v>
      </c>
      <c r="C822" s="2" t="s">
        <v>41</v>
      </c>
      <c r="D822">
        <v>20</v>
      </c>
      <c r="E822">
        <v>199</v>
      </c>
      <c r="F822" s="2" t="s">
        <v>19</v>
      </c>
      <c r="G822" s="2" t="s">
        <v>29</v>
      </c>
      <c r="H822">
        <v>0.1</v>
      </c>
      <c r="I822" s="2" t="s">
        <v>52</v>
      </c>
      <c r="J822" s="2" t="s">
        <v>53</v>
      </c>
      <c r="K822">
        <v>1</v>
      </c>
      <c r="L822" s="2" t="s">
        <v>1653</v>
      </c>
      <c r="M822" s="2" t="s">
        <v>1654</v>
      </c>
      <c r="N822">
        <v>5.16</v>
      </c>
      <c r="O822" s="1">
        <v>45588</v>
      </c>
      <c r="P822" s="1">
        <v>45590</v>
      </c>
      <c r="Q822" s="2" t="s">
        <v>39</v>
      </c>
      <c r="R822" s="2">
        <v>3582</v>
      </c>
    </row>
    <row r="823" spans="1:18" x14ac:dyDescent="0.25">
      <c r="A823" s="1">
        <v>45098</v>
      </c>
      <c r="B823" s="2" t="s">
        <v>35</v>
      </c>
      <c r="C823" s="2" t="s">
        <v>126</v>
      </c>
      <c r="D823">
        <v>11</v>
      </c>
      <c r="E823">
        <v>577</v>
      </c>
      <c r="F823" s="2" t="s">
        <v>46</v>
      </c>
      <c r="G823" s="2" t="s">
        <v>29</v>
      </c>
      <c r="H823">
        <v>0.15</v>
      </c>
      <c r="I823" s="2" t="s">
        <v>42</v>
      </c>
      <c r="J823" s="2" t="s">
        <v>59</v>
      </c>
      <c r="K823">
        <v>0</v>
      </c>
      <c r="L823" s="2" t="s">
        <v>1655</v>
      </c>
      <c r="M823" s="2" t="s">
        <v>670</v>
      </c>
      <c r="N823">
        <v>13.16</v>
      </c>
      <c r="O823" s="1">
        <v>45098</v>
      </c>
      <c r="P823" s="1">
        <v>45105</v>
      </c>
      <c r="Q823" s="2" t="s">
        <v>39</v>
      </c>
      <c r="R823" s="2">
        <v>5395</v>
      </c>
    </row>
    <row r="824" spans="1:18" x14ac:dyDescent="0.25">
      <c r="A824" s="1">
        <v>45058</v>
      </c>
      <c r="B824" s="2" t="s">
        <v>40</v>
      </c>
      <c r="C824" s="2" t="s">
        <v>126</v>
      </c>
      <c r="D824">
        <v>10</v>
      </c>
      <c r="E824">
        <v>50</v>
      </c>
      <c r="F824" s="2" t="s">
        <v>28</v>
      </c>
      <c r="G824" s="2" t="s">
        <v>20</v>
      </c>
      <c r="H824">
        <v>0.1</v>
      </c>
      <c r="I824" s="2" t="s">
        <v>62</v>
      </c>
      <c r="J824" s="2" t="s">
        <v>59</v>
      </c>
      <c r="K824">
        <v>1</v>
      </c>
      <c r="L824" s="2" t="s">
        <v>1656</v>
      </c>
      <c r="M824" s="2" t="s">
        <v>1218</v>
      </c>
      <c r="N824">
        <v>23.43</v>
      </c>
      <c r="O824" s="1">
        <v>45058</v>
      </c>
      <c r="P824" s="1">
        <v>45065</v>
      </c>
      <c r="Q824" s="2" t="s">
        <v>45</v>
      </c>
      <c r="R824" s="2">
        <v>450</v>
      </c>
    </row>
    <row r="825" spans="1:18" x14ac:dyDescent="0.25">
      <c r="A825" s="1">
        <v>45585</v>
      </c>
      <c r="B825" s="2" t="s">
        <v>40</v>
      </c>
      <c r="C825" s="2" t="s">
        <v>126</v>
      </c>
      <c r="D825">
        <v>19</v>
      </c>
      <c r="E825">
        <v>554</v>
      </c>
      <c r="F825" s="2" t="s">
        <v>19</v>
      </c>
      <c r="G825" s="2" t="s">
        <v>29</v>
      </c>
      <c r="H825">
        <v>0.15</v>
      </c>
      <c r="I825" s="2" t="s">
        <v>47</v>
      </c>
      <c r="J825" s="2" t="s">
        <v>22</v>
      </c>
      <c r="K825">
        <v>1</v>
      </c>
      <c r="L825" s="2" t="s">
        <v>1657</v>
      </c>
      <c r="M825" s="2" t="s">
        <v>1658</v>
      </c>
      <c r="N825">
        <v>47.16</v>
      </c>
      <c r="O825" s="1">
        <v>45585</v>
      </c>
      <c r="P825" s="1">
        <v>45589</v>
      </c>
      <c r="Q825" s="2" t="s">
        <v>45</v>
      </c>
      <c r="R825" s="2">
        <v>8947</v>
      </c>
    </row>
    <row r="826" spans="1:18" x14ac:dyDescent="0.25">
      <c r="A826" s="1">
        <v>45386</v>
      </c>
      <c r="B826" s="2" t="s">
        <v>35</v>
      </c>
      <c r="C826" s="2" t="s">
        <v>18</v>
      </c>
      <c r="D826">
        <v>14</v>
      </c>
      <c r="E826">
        <v>117</v>
      </c>
      <c r="F826" s="2" t="s">
        <v>28</v>
      </c>
      <c r="G826" s="2" t="s">
        <v>20</v>
      </c>
      <c r="H826">
        <v>0</v>
      </c>
      <c r="I826" s="2" t="s">
        <v>52</v>
      </c>
      <c r="J826" s="2" t="s">
        <v>22</v>
      </c>
      <c r="K826">
        <v>0</v>
      </c>
      <c r="L826" s="2" t="s">
        <v>1659</v>
      </c>
      <c r="M826" s="2" t="s">
        <v>1660</v>
      </c>
      <c r="N826">
        <v>41.24</v>
      </c>
      <c r="O826" s="1">
        <v>45386</v>
      </c>
      <c r="P826" s="1">
        <v>45389</v>
      </c>
      <c r="Q826" s="2" t="s">
        <v>39</v>
      </c>
      <c r="R826" s="2">
        <v>1638</v>
      </c>
    </row>
    <row r="827" spans="1:18" x14ac:dyDescent="0.25">
      <c r="A827" s="1">
        <v>45669</v>
      </c>
      <c r="B827" s="2" t="s">
        <v>40</v>
      </c>
      <c r="C827" s="2" t="s">
        <v>75</v>
      </c>
      <c r="D827">
        <v>3</v>
      </c>
      <c r="E827">
        <v>194</v>
      </c>
      <c r="F827" s="2" t="s">
        <v>28</v>
      </c>
      <c r="G827" s="2" t="s">
        <v>29</v>
      </c>
      <c r="H827">
        <v>0</v>
      </c>
      <c r="I827" s="2" t="s">
        <v>62</v>
      </c>
      <c r="J827" s="2" t="s">
        <v>53</v>
      </c>
      <c r="K827">
        <v>0</v>
      </c>
      <c r="L827" s="2" t="s">
        <v>1661</v>
      </c>
      <c r="M827" s="2" t="s">
        <v>1662</v>
      </c>
      <c r="N827">
        <v>27.53</v>
      </c>
      <c r="O827" s="1">
        <v>45669</v>
      </c>
      <c r="P827" s="1">
        <v>45673</v>
      </c>
      <c r="Q827" s="2" t="s">
        <v>45</v>
      </c>
      <c r="R827" s="2">
        <v>582</v>
      </c>
    </row>
    <row r="828" spans="1:18" x14ac:dyDescent="0.25">
      <c r="A828" s="1">
        <v>45131</v>
      </c>
      <c r="B828" s="2" t="s">
        <v>26</v>
      </c>
      <c r="C828" s="2" t="s">
        <v>27</v>
      </c>
      <c r="D828">
        <v>20</v>
      </c>
      <c r="E828">
        <v>387</v>
      </c>
      <c r="F828" s="2" t="s">
        <v>28</v>
      </c>
      <c r="G828" s="2" t="s">
        <v>20</v>
      </c>
      <c r="H828">
        <v>0.05</v>
      </c>
      <c r="I828" s="2" t="s">
        <v>47</v>
      </c>
      <c r="J828" s="2" t="s">
        <v>22</v>
      </c>
      <c r="K828">
        <v>0</v>
      </c>
      <c r="L828" s="2" t="s">
        <v>1663</v>
      </c>
      <c r="M828" s="2" t="s">
        <v>1664</v>
      </c>
      <c r="N828">
        <v>41.56</v>
      </c>
      <c r="O828" s="1">
        <v>45131</v>
      </c>
      <c r="P828" s="1">
        <v>45136</v>
      </c>
      <c r="Q828" s="2" t="s">
        <v>34</v>
      </c>
      <c r="R828" s="2">
        <v>7353</v>
      </c>
    </row>
    <row r="829" spans="1:18" x14ac:dyDescent="0.25">
      <c r="A829" s="1">
        <v>45178</v>
      </c>
      <c r="B829" s="2" t="s">
        <v>35</v>
      </c>
      <c r="C829" s="2" t="s">
        <v>41</v>
      </c>
      <c r="D829">
        <v>12</v>
      </c>
      <c r="E829">
        <v>81</v>
      </c>
      <c r="F829" s="2" t="s">
        <v>51</v>
      </c>
      <c r="G829" s="2" t="s">
        <v>20</v>
      </c>
      <c r="H829">
        <v>0</v>
      </c>
      <c r="I829" s="2" t="s">
        <v>47</v>
      </c>
      <c r="J829" s="2" t="s">
        <v>59</v>
      </c>
      <c r="K829">
        <v>1</v>
      </c>
      <c r="L829" s="2" t="s">
        <v>1665</v>
      </c>
      <c r="M829" s="2" t="s">
        <v>1471</v>
      </c>
      <c r="N829">
        <v>30.73</v>
      </c>
      <c r="O829" s="1">
        <v>45178</v>
      </c>
      <c r="P829" s="1">
        <v>45182</v>
      </c>
      <c r="Q829" s="2" t="s">
        <v>39</v>
      </c>
      <c r="R829" s="2">
        <v>972</v>
      </c>
    </row>
    <row r="830" spans="1:18" x14ac:dyDescent="0.25">
      <c r="A830" s="1">
        <v>45402</v>
      </c>
      <c r="B830" s="2" t="s">
        <v>17</v>
      </c>
      <c r="C830" s="2" t="s">
        <v>126</v>
      </c>
      <c r="D830">
        <v>5</v>
      </c>
      <c r="E830">
        <v>551</v>
      </c>
      <c r="F830" s="2" t="s">
        <v>28</v>
      </c>
      <c r="G830" s="2" t="s">
        <v>29</v>
      </c>
      <c r="H830">
        <v>0.15</v>
      </c>
      <c r="I830" s="2" t="s">
        <v>62</v>
      </c>
      <c r="J830" s="2" t="s">
        <v>31</v>
      </c>
      <c r="K830">
        <v>0</v>
      </c>
      <c r="L830" s="2" t="s">
        <v>1666</v>
      </c>
      <c r="M830" s="2" t="s">
        <v>1667</v>
      </c>
      <c r="N830">
        <v>16.82</v>
      </c>
      <c r="O830" s="1">
        <v>45402</v>
      </c>
      <c r="P830" s="1">
        <v>45409</v>
      </c>
      <c r="Q830" s="2" t="s">
        <v>25</v>
      </c>
      <c r="R830" s="2">
        <v>2342</v>
      </c>
    </row>
    <row r="831" spans="1:18" x14ac:dyDescent="0.25">
      <c r="A831" s="1">
        <v>45694</v>
      </c>
      <c r="B831" s="2" t="s">
        <v>65</v>
      </c>
      <c r="C831" s="2" t="s">
        <v>126</v>
      </c>
      <c r="D831">
        <v>4</v>
      </c>
      <c r="E831">
        <v>474</v>
      </c>
      <c r="F831" s="2" t="s">
        <v>28</v>
      </c>
      <c r="G831" s="2" t="s">
        <v>29</v>
      </c>
      <c r="H831">
        <v>0.05</v>
      </c>
      <c r="I831" s="2" t="s">
        <v>21</v>
      </c>
      <c r="J831" s="2" t="s">
        <v>53</v>
      </c>
      <c r="K831">
        <v>0</v>
      </c>
      <c r="L831" s="2" t="s">
        <v>1668</v>
      </c>
      <c r="M831" s="2" t="s">
        <v>1433</v>
      </c>
      <c r="N831">
        <v>29.22</v>
      </c>
      <c r="O831" s="1">
        <v>45694</v>
      </c>
      <c r="P831" s="1">
        <v>45702</v>
      </c>
      <c r="Q831" s="2" t="s">
        <v>68</v>
      </c>
      <c r="R831" s="2">
        <v>1801</v>
      </c>
    </row>
    <row r="832" spans="1:18" x14ac:dyDescent="0.25">
      <c r="A832" s="1">
        <v>45095</v>
      </c>
      <c r="B832" s="2" t="s">
        <v>65</v>
      </c>
      <c r="C832" s="2" t="s">
        <v>75</v>
      </c>
      <c r="D832">
        <v>19</v>
      </c>
      <c r="E832">
        <v>25</v>
      </c>
      <c r="F832" s="2" t="s">
        <v>46</v>
      </c>
      <c r="G832" s="2" t="s">
        <v>20</v>
      </c>
      <c r="H832">
        <v>0</v>
      </c>
      <c r="I832" s="2" t="s">
        <v>62</v>
      </c>
      <c r="J832" s="2" t="s">
        <v>53</v>
      </c>
      <c r="K832">
        <v>0</v>
      </c>
      <c r="L832" s="2" t="s">
        <v>1669</v>
      </c>
      <c r="M832" s="2" t="s">
        <v>1670</v>
      </c>
      <c r="N832">
        <v>31.31</v>
      </c>
      <c r="O832" s="1">
        <v>45095</v>
      </c>
      <c r="P832" s="1">
        <v>45099</v>
      </c>
      <c r="Q832" s="2" t="s">
        <v>68</v>
      </c>
      <c r="R832" s="2">
        <v>475</v>
      </c>
    </row>
    <row r="833" spans="1:18" x14ac:dyDescent="0.25">
      <c r="A833" s="1">
        <v>45597</v>
      </c>
      <c r="B833" s="2" t="s">
        <v>35</v>
      </c>
      <c r="C833" s="2" t="s">
        <v>27</v>
      </c>
      <c r="D833">
        <v>2</v>
      </c>
      <c r="E833">
        <v>437</v>
      </c>
      <c r="F833" s="2" t="s">
        <v>46</v>
      </c>
      <c r="G833" s="2" t="s">
        <v>20</v>
      </c>
      <c r="H833">
        <v>0</v>
      </c>
      <c r="I833" s="2" t="s">
        <v>42</v>
      </c>
      <c r="J833" s="2" t="s">
        <v>53</v>
      </c>
      <c r="K833">
        <v>1</v>
      </c>
      <c r="L833" s="2" t="s">
        <v>1671</v>
      </c>
      <c r="M833" s="2" t="s">
        <v>1672</v>
      </c>
      <c r="N833">
        <v>37.369999999999997</v>
      </c>
      <c r="O833" s="1">
        <v>45597</v>
      </c>
      <c r="P833" s="1">
        <v>45604</v>
      </c>
      <c r="Q833" s="2" t="s">
        <v>39</v>
      </c>
      <c r="R833" s="2">
        <v>874</v>
      </c>
    </row>
    <row r="834" spans="1:18" x14ac:dyDescent="0.25">
      <c r="A834" s="1">
        <v>45516</v>
      </c>
      <c r="B834" s="2" t="s">
        <v>65</v>
      </c>
      <c r="C834" s="2" t="s">
        <v>36</v>
      </c>
      <c r="D834">
        <v>5</v>
      </c>
      <c r="E834">
        <v>449</v>
      </c>
      <c r="F834" s="2" t="s">
        <v>46</v>
      </c>
      <c r="G834" s="2" t="s">
        <v>20</v>
      </c>
      <c r="H834">
        <v>0.15</v>
      </c>
      <c r="I834" s="2" t="s">
        <v>42</v>
      </c>
      <c r="J834" s="2" t="s">
        <v>53</v>
      </c>
      <c r="K834">
        <v>1</v>
      </c>
      <c r="L834" s="2" t="s">
        <v>1673</v>
      </c>
      <c r="M834" s="2" t="s">
        <v>1674</v>
      </c>
      <c r="N834">
        <v>21.22</v>
      </c>
      <c r="O834" s="1">
        <v>45516</v>
      </c>
      <c r="P834" s="1">
        <v>45525</v>
      </c>
      <c r="Q834" s="2" t="s">
        <v>68</v>
      </c>
      <c r="R834" s="2">
        <v>1908</v>
      </c>
    </row>
    <row r="835" spans="1:18" x14ac:dyDescent="0.25">
      <c r="A835" s="1">
        <v>45755</v>
      </c>
      <c r="B835" s="2" t="s">
        <v>40</v>
      </c>
      <c r="C835" s="2" t="s">
        <v>27</v>
      </c>
      <c r="D835">
        <v>14</v>
      </c>
      <c r="E835">
        <v>300</v>
      </c>
      <c r="F835" s="2" t="s">
        <v>51</v>
      </c>
      <c r="G835" s="2" t="s">
        <v>29</v>
      </c>
      <c r="H835">
        <v>0</v>
      </c>
      <c r="I835" s="2" t="s">
        <v>47</v>
      </c>
      <c r="J835" s="2" t="s">
        <v>31</v>
      </c>
      <c r="K835">
        <v>0</v>
      </c>
      <c r="L835" s="2" t="s">
        <v>1675</v>
      </c>
      <c r="M835" s="2" t="s">
        <v>1676</v>
      </c>
      <c r="N835">
        <v>21.04</v>
      </c>
      <c r="O835" s="1">
        <v>45755</v>
      </c>
      <c r="P835" s="1">
        <v>45764</v>
      </c>
      <c r="Q835" s="2" t="s">
        <v>45</v>
      </c>
      <c r="R835" s="2">
        <v>4200</v>
      </c>
    </row>
    <row r="836" spans="1:18" x14ac:dyDescent="0.25">
      <c r="A836" s="1">
        <v>45493</v>
      </c>
      <c r="B836" s="2" t="s">
        <v>40</v>
      </c>
      <c r="C836" s="2" t="s">
        <v>18</v>
      </c>
      <c r="D836">
        <v>8</v>
      </c>
      <c r="E836">
        <v>224</v>
      </c>
      <c r="F836" s="2" t="s">
        <v>19</v>
      </c>
      <c r="G836" s="2" t="s">
        <v>29</v>
      </c>
      <c r="H836">
        <v>0.15</v>
      </c>
      <c r="I836" s="2" t="s">
        <v>62</v>
      </c>
      <c r="J836" s="2" t="s">
        <v>56</v>
      </c>
      <c r="K836">
        <v>0</v>
      </c>
      <c r="L836" s="2" t="s">
        <v>1677</v>
      </c>
      <c r="M836" s="2" t="s">
        <v>1678</v>
      </c>
      <c r="N836">
        <v>36.9</v>
      </c>
      <c r="O836" s="1">
        <v>45493</v>
      </c>
      <c r="P836" s="1">
        <v>45499</v>
      </c>
      <c r="Q836" s="2" t="s">
        <v>45</v>
      </c>
      <c r="R836" s="2">
        <v>1523</v>
      </c>
    </row>
    <row r="837" spans="1:18" x14ac:dyDescent="0.25">
      <c r="A837" s="1">
        <v>44974</v>
      </c>
      <c r="B837" s="2" t="s">
        <v>65</v>
      </c>
      <c r="C837" s="2" t="s">
        <v>36</v>
      </c>
      <c r="D837">
        <v>6</v>
      </c>
      <c r="E837">
        <v>328</v>
      </c>
      <c r="F837" s="2" t="s">
        <v>51</v>
      </c>
      <c r="G837" s="2" t="s">
        <v>20</v>
      </c>
      <c r="H837">
        <v>0.05</v>
      </c>
      <c r="I837" s="2" t="s">
        <v>52</v>
      </c>
      <c r="J837" s="2" t="s">
        <v>59</v>
      </c>
      <c r="K837">
        <v>0</v>
      </c>
      <c r="L837" s="2" t="s">
        <v>1679</v>
      </c>
      <c r="M837" s="2" t="s">
        <v>1680</v>
      </c>
      <c r="N837">
        <v>22.34</v>
      </c>
      <c r="O837" s="1">
        <v>44974</v>
      </c>
      <c r="P837" s="1">
        <v>44978</v>
      </c>
      <c r="Q837" s="2" t="s">
        <v>68</v>
      </c>
      <c r="R837" s="2">
        <v>1870</v>
      </c>
    </row>
    <row r="838" spans="1:18" x14ac:dyDescent="0.25">
      <c r="A838" s="1">
        <v>45475</v>
      </c>
      <c r="B838" s="2" t="s">
        <v>17</v>
      </c>
      <c r="C838" s="2" t="s">
        <v>27</v>
      </c>
      <c r="D838">
        <v>8</v>
      </c>
      <c r="E838">
        <v>432</v>
      </c>
      <c r="F838" s="2" t="s">
        <v>51</v>
      </c>
      <c r="G838" s="2" t="s">
        <v>29</v>
      </c>
      <c r="H838">
        <v>0.05</v>
      </c>
      <c r="I838" s="2" t="s">
        <v>21</v>
      </c>
      <c r="J838" s="2" t="s">
        <v>59</v>
      </c>
      <c r="K838">
        <v>1</v>
      </c>
      <c r="L838" s="2" t="s">
        <v>1681</v>
      </c>
      <c r="M838" s="2" t="s">
        <v>1682</v>
      </c>
      <c r="N838">
        <v>20.64</v>
      </c>
      <c r="O838" s="1">
        <v>45475</v>
      </c>
      <c r="P838" s="1">
        <v>45477</v>
      </c>
      <c r="Q838" s="2" t="s">
        <v>25</v>
      </c>
      <c r="R838" s="2">
        <v>3283</v>
      </c>
    </row>
    <row r="839" spans="1:18" x14ac:dyDescent="0.25">
      <c r="A839" s="1">
        <v>45748</v>
      </c>
      <c r="B839" s="2" t="s">
        <v>35</v>
      </c>
      <c r="C839" s="2" t="s">
        <v>50</v>
      </c>
      <c r="D839">
        <v>4</v>
      </c>
      <c r="E839">
        <v>250</v>
      </c>
      <c r="F839" s="2" t="s">
        <v>46</v>
      </c>
      <c r="G839" s="2" t="s">
        <v>29</v>
      </c>
      <c r="H839">
        <v>0.15</v>
      </c>
      <c r="I839" s="2" t="s">
        <v>21</v>
      </c>
      <c r="J839" s="2" t="s">
        <v>56</v>
      </c>
      <c r="K839">
        <v>0</v>
      </c>
      <c r="L839" s="2" t="s">
        <v>1683</v>
      </c>
      <c r="M839" s="2" t="s">
        <v>1684</v>
      </c>
      <c r="N839">
        <v>49.08</v>
      </c>
      <c r="O839" s="1">
        <v>45748</v>
      </c>
      <c r="P839" s="1">
        <v>45751</v>
      </c>
      <c r="Q839" s="2" t="s">
        <v>39</v>
      </c>
      <c r="R839" s="2">
        <v>850</v>
      </c>
    </row>
    <row r="840" spans="1:18" x14ac:dyDescent="0.25">
      <c r="A840" s="1">
        <v>45810</v>
      </c>
      <c r="B840" s="2" t="s">
        <v>26</v>
      </c>
      <c r="C840" s="2" t="s">
        <v>126</v>
      </c>
      <c r="D840">
        <v>14</v>
      </c>
      <c r="E840">
        <v>194</v>
      </c>
      <c r="F840" s="2" t="s">
        <v>46</v>
      </c>
      <c r="G840" s="2" t="s">
        <v>20</v>
      </c>
      <c r="H840">
        <v>0.15</v>
      </c>
      <c r="I840" s="2" t="s">
        <v>42</v>
      </c>
      <c r="J840" s="2" t="s">
        <v>56</v>
      </c>
      <c r="K840">
        <v>0</v>
      </c>
      <c r="L840" s="2" t="s">
        <v>1685</v>
      </c>
      <c r="M840" s="2" t="s">
        <v>1686</v>
      </c>
      <c r="N840">
        <v>15.3</v>
      </c>
      <c r="O840" s="1">
        <v>45810</v>
      </c>
      <c r="P840" s="1">
        <v>45817</v>
      </c>
      <c r="Q840" s="2" t="s">
        <v>34</v>
      </c>
      <c r="R840" s="2">
        <v>2309</v>
      </c>
    </row>
    <row r="841" spans="1:18" x14ac:dyDescent="0.25">
      <c r="A841" s="1">
        <v>45617</v>
      </c>
      <c r="B841" s="2" t="s">
        <v>65</v>
      </c>
      <c r="C841" s="2" t="s">
        <v>27</v>
      </c>
      <c r="D841">
        <v>5</v>
      </c>
      <c r="E841">
        <v>69</v>
      </c>
      <c r="F841" s="2" t="s">
        <v>46</v>
      </c>
      <c r="G841" s="2" t="s">
        <v>20</v>
      </c>
      <c r="H841">
        <v>0</v>
      </c>
      <c r="I841" s="2" t="s">
        <v>47</v>
      </c>
      <c r="J841" s="2" t="s">
        <v>53</v>
      </c>
      <c r="K841">
        <v>0</v>
      </c>
      <c r="L841" s="2" t="s">
        <v>1687</v>
      </c>
      <c r="M841" s="2" t="s">
        <v>1688</v>
      </c>
      <c r="N841">
        <v>20.83</v>
      </c>
      <c r="O841" s="1">
        <v>45617</v>
      </c>
      <c r="P841" s="1">
        <v>45625</v>
      </c>
      <c r="Q841" s="2" t="s">
        <v>68</v>
      </c>
      <c r="R841" s="2">
        <v>345</v>
      </c>
    </row>
    <row r="842" spans="1:18" x14ac:dyDescent="0.25">
      <c r="A842" s="1">
        <v>45301</v>
      </c>
      <c r="B842" s="2" t="s">
        <v>26</v>
      </c>
      <c r="C842" s="2" t="s">
        <v>126</v>
      </c>
      <c r="D842">
        <v>15</v>
      </c>
      <c r="E842">
        <v>307</v>
      </c>
      <c r="F842" s="2" t="s">
        <v>28</v>
      </c>
      <c r="G842" s="2" t="s">
        <v>29</v>
      </c>
      <c r="H842">
        <v>0</v>
      </c>
      <c r="I842" s="2" t="s">
        <v>47</v>
      </c>
      <c r="J842" s="2" t="s">
        <v>59</v>
      </c>
      <c r="K842">
        <v>1</v>
      </c>
      <c r="L842" s="2" t="s">
        <v>1689</v>
      </c>
      <c r="M842" s="2" t="s">
        <v>1690</v>
      </c>
      <c r="N842">
        <v>19.38</v>
      </c>
      <c r="O842" s="1">
        <v>45301</v>
      </c>
      <c r="P842" s="1">
        <v>45305</v>
      </c>
      <c r="Q842" s="2" t="s">
        <v>34</v>
      </c>
      <c r="R842" s="2">
        <v>4605</v>
      </c>
    </row>
    <row r="843" spans="1:18" x14ac:dyDescent="0.25">
      <c r="A843" s="1">
        <v>45220</v>
      </c>
      <c r="B843" s="2" t="s">
        <v>35</v>
      </c>
      <c r="C843" s="2" t="s">
        <v>36</v>
      </c>
      <c r="D843">
        <v>4</v>
      </c>
      <c r="E843">
        <v>390</v>
      </c>
      <c r="F843" s="2" t="s">
        <v>28</v>
      </c>
      <c r="G843" s="2" t="s">
        <v>29</v>
      </c>
      <c r="H843">
        <v>0.15</v>
      </c>
      <c r="I843" s="2" t="s">
        <v>52</v>
      </c>
      <c r="J843" s="2" t="s">
        <v>56</v>
      </c>
      <c r="K843">
        <v>0</v>
      </c>
      <c r="L843" s="2" t="s">
        <v>1691</v>
      </c>
      <c r="M843" s="2" t="s">
        <v>1692</v>
      </c>
      <c r="N843">
        <v>43.56</v>
      </c>
      <c r="O843" s="1">
        <v>45220</v>
      </c>
      <c r="P843" s="1">
        <v>45225</v>
      </c>
      <c r="Q843" s="2" t="s">
        <v>39</v>
      </c>
      <c r="R843" s="2">
        <v>1326</v>
      </c>
    </row>
    <row r="844" spans="1:18" x14ac:dyDescent="0.25">
      <c r="A844" s="1">
        <v>45677</v>
      </c>
      <c r="B844" s="2" t="s">
        <v>35</v>
      </c>
      <c r="C844" s="2" t="s">
        <v>27</v>
      </c>
      <c r="D844">
        <v>7</v>
      </c>
      <c r="E844">
        <v>62</v>
      </c>
      <c r="F844" s="2" t="s">
        <v>19</v>
      </c>
      <c r="G844" s="2" t="s">
        <v>29</v>
      </c>
      <c r="H844">
        <v>0</v>
      </c>
      <c r="I844" s="2" t="s">
        <v>52</v>
      </c>
      <c r="J844" s="2" t="s">
        <v>22</v>
      </c>
      <c r="K844">
        <v>0</v>
      </c>
      <c r="L844" s="2" t="s">
        <v>1693</v>
      </c>
      <c r="M844" s="2" t="s">
        <v>1694</v>
      </c>
      <c r="N844">
        <v>25.49</v>
      </c>
      <c r="O844" s="1">
        <v>45677</v>
      </c>
      <c r="P844" s="1">
        <v>45679</v>
      </c>
      <c r="Q844" s="2" t="s">
        <v>39</v>
      </c>
      <c r="R844" s="2">
        <v>434</v>
      </c>
    </row>
    <row r="845" spans="1:18" x14ac:dyDescent="0.25">
      <c r="A845" s="1">
        <v>45605</v>
      </c>
      <c r="B845" s="2" t="s">
        <v>65</v>
      </c>
      <c r="C845" s="2" t="s">
        <v>50</v>
      </c>
      <c r="D845">
        <v>7</v>
      </c>
      <c r="E845">
        <v>83</v>
      </c>
      <c r="F845" s="2" t="s">
        <v>51</v>
      </c>
      <c r="G845" s="2" t="s">
        <v>20</v>
      </c>
      <c r="H845">
        <v>0.05</v>
      </c>
      <c r="I845" s="2" t="s">
        <v>47</v>
      </c>
      <c r="J845" s="2" t="s">
        <v>59</v>
      </c>
      <c r="K845">
        <v>0</v>
      </c>
      <c r="L845" s="2" t="s">
        <v>1695</v>
      </c>
      <c r="M845" s="2" t="s">
        <v>1696</v>
      </c>
      <c r="N845">
        <v>23.4</v>
      </c>
      <c r="O845" s="1">
        <v>45605</v>
      </c>
      <c r="P845" s="1">
        <v>45613</v>
      </c>
      <c r="Q845" s="2" t="s">
        <v>68</v>
      </c>
      <c r="R845" s="2">
        <v>552</v>
      </c>
    </row>
    <row r="846" spans="1:18" x14ac:dyDescent="0.25">
      <c r="A846" s="1">
        <v>45385</v>
      </c>
      <c r="B846" s="2" t="s">
        <v>65</v>
      </c>
      <c r="C846" s="2" t="s">
        <v>50</v>
      </c>
      <c r="D846">
        <v>4</v>
      </c>
      <c r="E846">
        <v>563</v>
      </c>
      <c r="F846" s="2" t="s">
        <v>51</v>
      </c>
      <c r="G846" s="2" t="s">
        <v>29</v>
      </c>
      <c r="H846">
        <v>0.05</v>
      </c>
      <c r="I846" s="2" t="s">
        <v>62</v>
      </c>
      <c r="J846" s="2" t="s">
        <v>59</v>
      </c>
      <c r="K846">
        <v>0</v>
      </c>
      <c r="L846" s="2" t="s">
        <v>1697</v>
      </c>
      <c r="M846" s="2" t="s">
        <v>1698</v>
      </c>
      <c r="N846">
        <v>19.5</v>
      </c>
      <c r="O846" s="1">
        <v>45385</v>
      </c>
      <c r="P846" s="1">
        <v>45389</v>
      </c>
      <c r="Q846" s="2" t="s">
        <v>68</v>
      </c>
      <c r="R846" s="2">
        <v>2139</v>
      </c>
    </row>
    <row r="847" spans="1:18" x14ac:dyDescent="0.25">
      <c r="A847" s="1">
        <v>45297</v>
      </c>
      <c r="B847" s="2" t="s">
        <v>35</v>
      </c>
      <c r="C847" s="2" t="s">
        <v>27</v>
      </c>
      <c r="D847">
        <v>13</v>
      </c>
      <c r="E847">
        <v>256</v>
      </c>
      <c r="F847" s="2" t="s">
        <v>51</v>
      </c>
      <c r="G847" s="2" t="s">
        <v>20</v>
      </c>
      <c r="H847">
        <v>0.15</v>
      </c>
      <c r="I847" s="2" t="s">
        <v>30</v>
      </c>
      <c r="J847" s="2" t="s">
        <v>59</v>
      </c>
      <c r="K847">
        <v>0</v>
      </c>
      <c r="L847" s="2" t="s">
        <v>1699</v>
      </c>
      <c r="M847" s="2" t="s">
        <v>1700</v>
      </c>
      <c r="N847">
        <v>26.04</v>
      </c>
      <c r="O847" s="1">
        <v>45297</v>
      </c>
      <c r="P847" s="1">
        <v>45299</v>
      </c>
      <c r="Q847" s="2" t="s">
        <v>39</v>
      </c>
      <c r="R847" s="2">
        <v>2829</v>
      </c>
    </row>
    <row r="848" spans="1:18" x14ac:dyDescent="0.25">
      <c r="A848" s="1">
        <v>45140</v>
      </c>
      <c r="B848" s="2" t="s">
        <v>40</v>
      </c>
      <c r="C848" s="2" t="s">
        <v>126</v>
      </c>
      <c r="D848">
        <v>9</v>
      </c>
      <c r="E848">
        <v>303</v>
      </c>
      <c r="F848" s="2" t="s">
        <v>28</v>
      </c>
      <c r="G848" s="2" t="s">
        <v>20</v>
      </c>
      <c r="H848">
        <v>0.05</v>
      </c>
      <c r="I848" s="2" t="s">
        <v>52</v>
      </c>
      <c r="J848" s="2" t="s">
        <v>56</v>
      </c>
      <c r="K848">
        <v>0</v>
      </c>
      <c r="L848" s="2" t="s">
        <v>1701</v>
      </c>
      <c r="M848" s="2" t="s">
        <v>1702</v>
      </c>
      <c r="N848">
        <v>17.010000000000002</v>
      </c>
      <c r="O848" s="1">
        <v>45140</v>
      </c>
      <c r="P848" s="1">
        <v>45143</v>
      </c>
      <c r="Q848" s="2" t="s">
        <v>45</v>
      </c>
      <c r="R848" s="2">
        <v>2591</v>
      </c>
    </row>
    <row r="849" spans="1:18" x14ac:dyDescent="0.25">
      <c r="A849" s="1">
        <v>45256</v>
      </c>
      <c r="B849" s="2" t="s">
        <v>35</v>
      </c>
      <c r="C849" s="2" t="s">
        <v>41</v>
      </c>
      <c r="D849">
        <v>9</v>
      </c>
      <c r="E849">
        <v>440</v>
      </c>
      <c r="F849" s="2" t="s">
        <v>28</v>
      </c>
      <c r="G849" s="2" t="s">
        <v>29</v>
      </c>
      <c r="H849">
        <v>0.15</v>
      </c>
      <c r="I849" s="2" t="s">
        <v>52</v>
      </c>
      <c r="J849" s="2" t="s">
        <v>31</v>
      </c>
      <c r="K849">
        <v>0</v>
      </c>
      <c r="L849" s="2" t="s">
        <v>1703</v>
      </c>
      <c r="M849" s="2" t="s">
        <v>1704</v>
      </c>
      <c r="N849">
        <v>32.94</v>
      </c>
      <c r="O849" s="1">
        <v>45256</v>
      </c>
      <c r="P849" s="1">
        <v>45261</v>
      </c>
      <c r="Q849" s="2" t="s">
        <v>39</v>
      </c>
      <c r="R849" s="2">
        <v>3366</v>
      </c>
    </row>
    <row r="850" spans="1:18" x14ac:dyDescent="0.25">
      <c r="A850" s="1">
        <v>45767</v>
      </c>
      <c r="B850" s="2" t="s">
        <v>17</v>
      </c>
      <c r="C850" s="2" t="s">
        <v>36</v>
      </c>
      <c r="D850">
        <v>17</v>
      </c>
      <c r="E850">
        <v>469</v>
      </c>
      <c r="F850" s="2" t="s">
        <v>19</v>
      </c>
      <c r="G850" s="2" t="s">
        <v>20</v>
      </c>
      <c r="H850">
        <v>0.05</v>
      </c>
      <c r="I850" s="2" t="s">
        <v>62</v>
      </c>
      <c r="J850" s="2" t="s">
        <v>53</v>
      </c>
      <c r="K850">
        <v>0</v>
      </c>
      <c r="L850" s="2" t="s">
        <v>1705</v>
      </c>
      <c r="M850" s="2" t="s">
        <v>1706</v>
      </c>
      <c r="N850">
        <v>45.76</v>
      </c>
      <c r="O850" s="1">
        <v>45767</v>
      </c>
      <c r="P850" s="1">
        <v>45773</v>
      </c>
      <c r="Q850" s="2" t="s">
        <v>25</v>
      </c>
      <c r="R850" s="2">
        <v>7574</v>
      </c>
    </row>
    <row r="851" spans="1:18" x14ac:dyDescent="0.25">
      <c r="A851" s="1">
        <v>45289</v>
      </c>
      <c r="B851" s="2" t="s">
        <v>26</v>
      </c>
      <c r="C851" s="2" t="s">
        <v>41</v>
      </c>
      <c r="D851">
        <v>18</v>
      </c>
      <c r="E851">
        <v>492</v>
      </c>
      <c r="F851" s="2" t="s">
        <v>28</v>
      </c>
      <c r="G851" s="2" t="s">
        <v>20</v>
      </c>
      <c r="H851">
        <v>0.15</v>
      </c>
      <c r="I851" s="2" t="s">
        <v>21</v>
      </c>
      <c r="J851" s="2" t="s">
        <v>53</v>
      </c>
      <c r="K851">
        <v>0</v>
      </c>
      <c r="L851" s="2" t="s">
        <v>1707</v>
      </c>
      <c r="M851" s="2" t="s">
        <v>1708</v>
      </c>
      <c r="N851">
        <v>37.49</v>
      </c>
      <c r="O851" s="1">
        <v>45289</v>
      </c>
      <c r="P851" s="1">
        <v>45296</v>
      </c>
      <c r="Q851" s="2" t="s">
        <v>34</v>
      </c>
      <c r="R851" s="2">
        <v>7528</v>
      </c>
    </row>
    <row r="852" spans="1:18" x14ac:dyDescent="0.25">
      <c r="A852" s="1">
        <v>45665</v>
      </c>
      <c r="B852" s="2" t="s">
        <v>40</v>
      </c>
      <c r="C852" s="2" t="s">
        <v>41</v>
      </c>
      <c r="D852">
        <v>19</v>
      </c>
      <c r="E852">
        <v>465</v>
      </c>
      <c r="F852" s="2" t="s">
        <v>46</v>
      </c>
      <c r="G852" s="2" t="s">
        <v>29</v>
      </c>
      <c r="H852">
        <v>0.05</v>
      </c>
      <c r="I852" s="2" t="s">
        <v>52</v>
      </c>
      <c r="J852" s="2" t="s">
        <v>53</v>
      </c>
      <c r="K852">
        <v>0</v>
      </c>
      <c r="L852" s="2" t="s">
        <v>1709</v>
      </c>
      <c r="M852" s="2" t="s">
        <v>1710</v>
      </c>
      <c r="N852">
        <v>44.95</v>
      </c>
      <c r="O852" s="1">
        <v>45665</v>
      </c>
      <c r="P852" s="1">
        <v>45667</v>
      </c>
      <c r="Q852" s="2" t="s">
        <v>45</v>
      </c>
      <c r="R852" s="2">
        <v>8393</v>
      </c>
    </row>
    <row r="853" spans="1:18" x14ac:dyDescent="0.25">
      <c r="A853" s="1">
        <v>45418</v>
      </c>
      <c r="B853" s="2" t="s">
        <v>17</v>
      </c>
      <c r="C853" s="2" t="s">
        <v>41</v>
      </c>
      <c r="D853">
        <v>18</v>
      </c>
      <c r="E853">
        <v>344</v>
      </c>
      <c r="F853" s="2" t="s">
        <v>19</v>
      </c>
      <c r="G853" s="2" t="s">
        <v>29</v>
      </c>
      <c r="H853">
        <v>0</v>
      </c>
      <c r="I853" s="2" t="s">
        <v>21</v>
      </c>
      <c r="J853" s="2" t="s">
        <v>31</v>
      </c>
      <c r="K853">
        <v>0</v>
      </c>
      <c r="L853" s="2" t="s">
        <v>1711</v>
      </c>
      <c r="M853" s="2" t="s">
        <v>1712</v>
      </c>
      <c r="N853">
        <v>20.37</v>
      </c>
      <c r="O853" s="1">
        <v>45418</v>
      </c>
      <c r="P853" s="1">
        <v>45426</v>
      </c>
      <c r="Q853" s="2" t="s">
        <v>25</v>
      </c>
      <c r="R853" s="2">
        <v>6192</v>
      </c>
    </row>
    <row r="854" spans="1:18" x14ac:dyDescent="0.25">
      <c r="A854" s="1">
        <v>45550</v>
      </c>
      <c r="B854" s="2" t="s">
        <v>35</v>
      </c>
      <c r="C854" s="2" t="s">
        <v>36</v>
      </c>
      <c r="D854">
        <v>14</v>
      </c>
      <c r="E854">
        <v>473</v>
      </c>
      <c r="F854" s="2" t="s">
        <v>51</v>
      </c>
      <c r="G854" s="2" t="s">
        <v>20</v>
      </c>
      <c r="H854">
        <v>0.05</v>
      </c>
      <c r="I854" s="2" t="s">
        <v>62</v>
      </c>
      <c r="J854" s="2" t="s">
        <v>31</v>
      </c>
      <c r="K854">
        <v>0</v>
      </c>
      <c r="L854" s="2" t="s">
        <v>1713</v>
      </c>
      <c r="M854" s="2" t="s">
        <v>1714</v>
      </c>
      <c r="N854">
        <v>13.54</v>
      </c>
      <c r="O854" s="1">
        <v>45550</v>
      </c>
      <c r="P854" s="1">
        <v>45555</v>
      </c>
      <c r="Q854" s="2" t="s">
        <v>39</v>
      </c>
      <c r="R854" s="2">
        <v>6291</v>
      </c>
    </row>
    <row r="855" spans="1:18" x14ac:dyDescent="0.25">
      <c r="A855" s="1">
        <v>44964</v>
      </c>
      <c r="B855" s="2" t="s">
        <v>65</v>
      </c>
      <c r="C855" s="2" t="s">
        <v>18</v>
      </c>
      <c r="D855">
        <v>20</v>
      </c>
      <c r="E855">
        <v>143</v>
      </c>
      <c r="F855" s="2" t="s">
        <v>28</v>
      </c>
      <c r="G855" s="2" t="s">
        <v>29</v>
      </c>
      <c r="H855">
        <v>0.1</v>
      </c>
      <c r="I855" s="2" t="s">
        <v>21</v>
      </c>
      <c r="J855" s="2" t="s">
        <v>59</v>
      </c>
      <c r="K855">
        <v>0</v>
      </c>
      <c r="L855" s="2" t="s">
        <v>1715</v>
      </c>
      <c r="M855" s="2" t="s">
        <v>1716</v>
      </c>
      <c r="N855">
        <v>30.67</v>
      </c>
      <c r="O855" s="1">
        <v>44964</v>
      </c>
      <c r="P855" s="1">
        <v>44969</v>
      </c>
      <c r="Q855" s="2" t="s">
        <v>68</v>
      </c>
      <c r="R855" s="2">
        <v>2574</v>
      </c>
    </row>
    <row r="856" spans="1:18" x14ac:dyDescent="0.25">
      <c r="A856" s="1">
        <v>44986</v>
      </c>
      <c r="B856" s="2" t="s">
        <v>17</v>
      </c>
      <c r="C856" s="2" t="s">
        <v>27</v>
      </c>
      <c r="D856">
        <v>1</v>
      </c>
      <c r="E856">
        <v>31</v>
      </c>
      <c r="F856" s="2" t="s">
        <v>19</v>
      </c>
      <c r="G856" s="2" t="s">
        <v>29</v>
      </c>
      <c r="H856">
        <v>0.05</v>
      </c>
      <c r="I856" s="2" t="s">
        <v>62</v>
      </c>
      <c r="J856" s="2" t="s">
        <v>53</v>
      </c>
      <c r="K856">
        <v>0</v>
      </c>
      <c r="L856" s="2" t="s">
        <v>1717</v>
      </c>
      <c r="M856" s="2" t="s">
        <v>421</v>
      </c>
      <c r="N856">
        <v>11.35</v>
      </c>
      <c r="O856" s="1">
        <v>44986</v>
      </c>
      <c r="P856" s="1">
        <v>44994</v>
      </c>
      <c r="Q856" s="2" t="s">
        <v>25</v>
      </c>
      <c r="R856" s="2">
        <v>29</v>
      </c>
    </row>
    <row r="857" spans="1:18" x14ac:dyDescent="0.25">
      <c r="A857" s="1">
        <v>45420</v>
      </c>
      <c r="B857" s="2" t="s">
        <v>35</v>
      </c>
      <c r="C857" s="2" t="s">
        <v>75</v>
      </c>
      <c r="D857">
        <v>17</v>
      </c>
      <c r="E857">
        <v>572</v>
      </c>
      <c r="F857" s="2" t="s">
        <v>51</v>
      </c>
      <c r="G857" s="2" t="s">
        <v>29</v>
      </c>
      <c r="H857">
        <v>0.15</v>
      </c>
      <c r="I857" s="2" t="s">
        <v>21</v>
      </c>
      <c r="J857" s="2" t="s">
        <v>22</v>
      </c>
      <c r="K857">
        <v>1</v>
      </c>
      <c r="L857" s="2" t="s">
        <v>1718</v>
      </c>
      <c r="M857" s="2" t="s">
        <v>1719</v>
      </c>
      <c r="N857">
        <v>44.99</v>
      </c>
      <c r="O857" s="1">
        <v>45420</v>
      </c>
      <c r="P857" s="1">
        <v>45424</v>
      </c>
      <c r="Q857" s="2" t="s">
        <v>39</v>
      </c>
      <c r="R857" s="2">
        <v>8265</v>
      </c>
    </row>
    <row r="858" spans="1:18" x14ac:dyDescent="0.25">
      <c r="A858" s="1">
        <v>45449</v>
      </c>
      <c r="B858" s="2" t="s">
        <v>17</v>
      </c>
      <c r="C858" s="2" t="s">
        <v>36</v>
      </c>
      <c r="D858">
        <v>18</v>
      </c>
      <c r="E858">
        <v>334</v>
      </c>
      <c r="F858" s="2" t="s">
        <v>28</v>
      </c>
      <c r="G858" s="2" t="s">
        <v>29</v>
      </c>
      <c r="H858">
        <v>0.1</v>
      </c>
      <c r="I858" s="2" t="s">
        <v>47</v>
      </c>
      <c r="J858" s="2" t="s">
        <v>56</v>
      </c>
      <c r="K858">
        <v>1</v>
      </c>
      <c r="L858" s="2" t="s">
        <v>1720</v>
      </c>
      <c r="M858" s="2" t="s">
        <v>1721</v>
      </c>
      <c r="N858">
        <v>33.79</v>
      </c>
      <c r="O858" s="1">
        <v>45449</v>
      </c>
      <c r="P858" s="1">
        <v>45451</v>
      </c>
      <c r="Q858" s="2" t="s">
        <v>25</v>
      </c>
      <c r="R858" s="2">
        <v>5411</v>
      </c>
    </row>
    <row r="859" spans="1:18" x14ac:dyDescent="0.25">
      <c r="A859" s="1">
        <v>45045</v>
      </c>
      <c r="B859" s="2" t="s">
        <v>35</v>
      </c>
      <c r="C859" s="2" t="s">
        <v>41</v>
      </c>
      <c r="D859">
        <v>9</v>
      </c>
      <c r="E859">
        <v>91</v>
      </c>
      <c r="F859" s="2" t="s">
        <v>51</v>
      </c>
      <c r="G859" s="2" t="s">
        <v>29</v>
      </c>
      <c r="H859">
        <v>0.15</v>
      </c>
      <c r="I859" s="2" t="s">
        <v>47</v>
      </c>
      <c r="J859" s="2" t="s">
        <v>56</v>
      </c>
      <c r="K859">
        <v>0</v>
      </c>
      <c r="L859" s="2" t="s">
        <v>1722</v>
      </c>
      <c r="M859" s="2" t="s">
        <v>1723</v>
      </c>
      <c r="N859">
        <v>26.56</v>
      </c>
      <c r="O859" s="1">
        <v>45045</v>
      </c>
      <c r="P859" s="1">
        <v>45054</v>
      </c>
      <c r="Q859" s="2" t="s">
        <v>39</v>
      </c>
      <c r="R859" s="2">
        <v>696</v>
      </c>
    </row>
    <row r="860" spans="1:18" x14ac:dyDescent="0.25">
      <c r="A860" s="1">
        <v>45189</v>
      </c>
      <c r="B860" s="2" t="s">
        <v>40</v>
      </c>
      <c r="C860" s="2" t="s">
        <v>75</v>
      </c>
      <c r="D860">
        <v>9</v>
      </c>
      <c r="E860">
        <v>589</v>
      </c>
      <c r="F860" s="2" t="s">
        <v>51</v>
      </c>
      <c r="G860" s="2" t="s">
        <v>20</v>
      </c>
      <c r="H860">
        <v>0.05</v>
      </c>
      <c r="I860" s="2" t="s">
        <v>52</v>
      </c>
      <c r="J860" s="2" t="s">
        <v>22</v>
      </c>
      <c r="K860">
        <v>0</v>
      </c>
      <c r="L860" s="2" t="s">
        <v>1724</v>
      </c>
      <c r="M860" s="2" t="s">
        <v>1725</v>
      </c>
      <c r="N860">
        <v>42.3</v>
      </c>
      <c r="O860" s="1">
        <v>45189</v>
      </c>
      <c r="P860" s="1">
        <v>45191</v>
      </c>
      <c r="Q860" s="2" t="s">
        <v>45</v>
      </c>
      <c r="R860" s="2">
        <v>5036</v>
      </c>
    </row>
    <row r="861" spans="1:18" x14ac:dyDescent="0.25">
      <c r="A861" s="1">
        <v>45604</v>
      </c>
      <c r="B861" s="2" t="s">
        <v>26</v>
      </c>
      <c r="C861" s="2" t="s">
        <v>41</v>
      </c>
      <c r="D861">
        <v>18</v>
      </c>
      <c r="E861">
        <v>153</v>
      </c>
      <c r="F861" s="2" t="s">
        <v>19</v>
      </c>
      <c r="G861" s="2" t="s">
        <v>29</v>
      </c>
      <c r="H861">
        <v>0.05</v>
      </c>
      <c r="I861" s="2" t="s">
        <v>42</v>
      </c>
      <c r="J861" s="2" t="s">
        <v>22</v>
      </c>
      <c r="K861">
        <v>1</v>
      </c>
      <c r="L861" s="2" t="s">
        <v>1726</v>
      </c>
      <c r="M861" s="2" t="s">
        <v>1727</v>
      </c>
      <c r="N861">
        <v>33.71</v>
      </c>
      <c r="O861" s="1">
        <v>45604</v>
      </c>
      <c r="P861" s="1">
        <v>45609</v>
      </c>
      <c r="Q861" s="2" t="s">
        <v>34</v>
      </c>
      <c r="R861" s="2">
        <v>2616</v>
      </c>
    </row>
    <row r="862" spans="1:18" x14ac:dyDescent="0.25">
      <c r="A862" s="1">
        <v>45007</v>
      </c>
      <c r="B862" s="2" t="s">
        <v>35</v>
      </c>
      <c r="C862" s="2" t="s">
        <v>126</v>
      </c>
      <c r="D862">
        <v>17</v>
      </c>
      <c r="E862">
        <v>195</v>
      </c>
      <c r="F862" s="2" t="s">
        <v>28</v>
      </c>
      <c r="G862" s="2" t="s">
        <v>29</v>
      </c>
      <c r="H862">
        <v>0.15</v>
      </c>
      <c r="I862" s="2" t="s">
        <v>47</v>
      </c>
      <c r="J862" s="2" t="s">
        <v>31</v>
      </c>
      <c r="K862">
        <v>1</v>
      </c>
      <c r="L862" s="2" t="s">
        <v>1728</v>
      </c>
      <c r="M862" s="2" t="s">
        <v>1729</v>
      </c>
      <c r="N862">
        <v>5.59</v>
      </c>
      <c r="O862" s="1">
        <v>45007</v>
      </c>
      <c r="P862" s="1">
        <v>45015</v>
      </c>
      <c r="Q862" s="2" t="s">
        <v>39</v>
      </c>
      <c r="R862" s="2">
        <v>2818</v>
      </c>
    </row>
    <row r="863" spans="1:18" x14ac:dyDescent="0.25">
      <c r="A863" s="1">
        <v>45174</v>
      </c>
      <c r="B863" s="2" t="s">
        <v>17</v>
      </c>
      <c r="C863" s="2" t="s">
        <v>50</v>
      </c>
      <c r="D863">
        <v>5</v>
      </c>
      <c r="E863">
        <v>368</v>
      </c>
      <c r="F863" s="2" t="s">
        <v>46</v>
      </c>
      <c r="G863" s="2" t="s">
        <v>29</v>
      </c>
      <c r="H863">
        <v>0</v>
      </c>
      <c r="I863" s="2" t="s">
        <v>30</v>
      </c>
      <c r="J863" s="2" t="s">
        <v>53</v>
      </c>
      <c r="K863">
        <v>0</v>
      </c>
      <c r="L863" s="2" t="s">
        <v>1730</v>
      </c>
      <c r="M863" s="2" t="s">
        <v>1731</v>
      </c>
      <c r="N863">
        <v>19.55</v>
      </c>
      <c r="O863" s="1">
        <v>45174</v>
      </c>
      <c r="P863" s="1">
        <v>45182</v>
      </c>
      <c r="Q863" s="2" t="s">
        <v>25</v>
      </c>
      <c r="R863" s="2">
        <v>1840</v>
      </c>
    </row>
    <row r="864" spans="1:18" x14ac:dyDescent="0.25">
      <c r="A864" s="1">
        <v>44983</v>
      </c>
      <c r="B864" s="2" t="s">
        <v>17</v>
      </c>
      <c r="C864" s="2" t="s">
        <v>18</v>
      </c>
      <c r="D864">
        <v>17</v>
      </c>
      <c r="E864">
        <v>576</v>
      </c>
      <c r="F864" s="2" t="s">
        <v>51</v>
      </c>
      <c r="G864" s="2" t="s">
        <v>29</v>
      </c>
      <c r="H864">
        <v>0.05</v>
      </c>
      <c r="I864" s="2" t="s">
        <v>30</v>
      </c>
      <c r="J864" s="2" t="s">
        <v>56</v>
      </c>
      <c r="K864">
        <v>0</v>
      </c>
      <c r="L864" s="2" t="s">
        <v>1732</v>
      </c>
      <c r="M864" s="2" t="s">
        <v>1733</v>
      </c>
      <c r="N864">
        <v>13.42</v>
      </c>
      <c r="O864" s="1">
        <v>44983</v>
      </c>
      <c r="P864" s="1">
        <v>44990</v>
      </c>
      <c r="Q864" s="2" t="s">
        <v>25</v>
      </c>
      <c r="R864" s="2">
        <v>9302</v>
      </c>
    </row>
    <row r="865" spans="1:18" x14ac:dyDescent="0.25">
      <c r="A865" s="1">
        <v>45622</v>
      </c>
      <c r="B865" s="2" t="s">
        <v>65</v>
      </c>
      <c r="C865" s="2" t="s">
        <v>41</v>
      </c>
      <c r="D865">
        <v>3</v>
      </c>
      <c r="E865">
        <v>229</v>
      </c>
      <c r="F865" s="2" t="s">
        <v>51</v>
      </c>
      <c r="G865" s="2" t="s">
        <v>29</v>
      </c>
      <c r="H865">
        <v>0.15</v>
      </c>
      <c r="I865" s="2" t="s">
        <v>62</v>
      </c>
      <c r="J865" s="2" t="s">
        <v>56</v>
      </c>
      <c r="K865">
        <v>1</v>
      </c>
      <c r="L865" s="2" t="s">
        <v>1734</v>
      </c>
      <c r="M865" s="2" t="s">
        <v>1735</v>
      </c>
      <c r="N865">
        <v>19.809999999999999</v>
      </c>
      <c r="O865" s="1">
        <v>45622</v>
      </c>
      <c r="P865" s="1">
        <v>45625</v>
      </c>
      <c r="Q865" s="2" t="s">
        <v>68</v>
      </c>
      <c r="R865" s="2">
        <v>584</v>
      </c>
    </row>
    <row r="866" spans="1:18" x14ac:dyDescent="0.25">
      <c r="A866" s="1">
        <v>45579</v>
      </c>
      <c r="B866" s="2" t="s">
        <v>40</v>
      </c>
      <c r="C866" s="2" t="s">
        <v>41</v>
      </c>
      <c r="D866">
        <v>3</v>
      </c>
      <c r="E866">
        <v>392</v>
      </c>
      <c r="F866" s="2" t="s">
        <v>46</v>
      </c>
      <c r="G866" s="2" t="s">
        <v>29</v>
      </c>
      <c r="H866">
        <v>0</v>
      </c>
      <c r="I866" s="2" t="s">
        <v>42</v>
      </c>
      <c r="J866" s="2" t="s">
        <v>56</v>
      </c>
      <c r="K866">
        <v>1</v>
      </c>
      <c r="L866" s="2" t="s">
        <v>1736</v>
      </c>
      <c r="M866" s="2" t="s">
        <v>1737</v>
      </c>
      <c r="N866">
        <v>25.36</v>
      </c>
      <c r="O866" s="1">
        <v>45579</v>
      </c>
      <c r="P866" s="1">
        <v>45582</v>
      </c>
      <c r="Q866" s="2" t="s">
        <v>45</v>
      </c>
      <c r="R866" s="2">
        <v>1176</v>
      </c>
    </row>
    <row r="867" spans="1:18" x14ac:dyDescent="0.25">
      <c r="A867" s="1">
        <v>45075</v>
      </c>
      <c r="B867" s="2" t="s">
        <v>40</v>
      </c>
      <c r="C867" s="2" t="s">
        <v>18</v>
      </c>
      <c r="D867">
        <v>15</v>
      </c>
      <c r="E867">
        <v>67</v>
      </c>
      <c r="F867" s="2" t="s">
        <v>51</v>
      </c>
      <c r="G867" s="2" t="s">
        <v>20</v>
      </c>
      <c r="H867">
        <v>0.1</v>
      </c>
      <c r="I867" s="2" t="s">
        <v>52</v>
      </c>
      <c r="J867" s="2" t="s">
        <v>22</v>
      </c>
      <c r="K867">
        <v>0</v>
      </c>
      <c r="L867" s="2" t="s">
        <v>1738</v>
      </c>
      <c r="M867" s="2" t="s">
        <v>1739</v>
      </c>
      <c r="N867">
        <v>24.85</v>
      </c>
      <c r="O867" s="1">
        <v>45075</v>
      </c>
      <c r="P867" s="1">
        <v>45080</v>
      </c>
      <c r="Q867" s="2" t="s">
        <v>45</v>
      </c>
      <c r="R867" s="2">
        <v>904</v>
      </c>
    </row>
    <row r="868" spans="1:18" x14ac:dyDescent="0.25">
      <c r="A868" s="1">
        <v>45373</v>
      </c>
      <c r="B868" s="2" t="s">
        <v>40</v>
      </c>
      <c r="C868" s="2" t="s">
        <v>18</v>
      </c>
      <c r="D868">
        <v>6</v>
      </c>
      <c r="E868">
        <v>454</v>
      </c>
      <c r="F868" s="2" t="s">
        <v>19</v>
      </c>
      <c r="G868" s="2" t="s">
        <v>29</v>
      </c>
      <c r="H868">
        <v>0.15</v>
      </c>
      <c r="I868" s="2" t="s">
        <v>30</v>
      </c>
      <c r="J868" s="2" t="s">
        <v>53</v>
      </c>
      <c r="K868">
        <v>0</v>
      </c>
      <c r="L868" s="2" t="s">
        <v>1740</v>
      </c>
      <c r="M868" s="2" t="s">
        <v>1741</v>
      </c>
      <c r="N868">
        <v>45.32</v>
      </c>
      <c r="O868" s="1">
        <v>45373</v>
      </c>
      <c r="P868" s="1">
        <v>45382</v>
      </c>
      <c r="Q868" s="2" t="s">
        <v>45</v>
      </c>
      <c r="R868" s="2">
        <v>2315</v>
      </c>
    </row>
    <row r="869" spans="1:18" x14ac:dyDescent="0.25">
      <c r="A869" s="1">
        <v>45038</v>
      </c>
      <c r="B869" s="2" t="s">
        <v>26</v>
      </c>
      <c r="C869" s="2" t="s">
        <v>75</v>
      </c>
      <c r="D869">
        <v>19</v>
      </c>
      <c r="E869">
        <v>538</v>
      </c>
      <c r="F869" s="2" t="s">
        <v>51</v>
      </c>
      <c r="G869" s="2" t="s">
        <v>20</v>
      </c>
      <c r="H869">
        <v>0</v>
      </c>
      <c r="I869" s="2" t="s">
        <v>62</v>
      </c>
      <c r="J869" s="2" t="s">
        <v>22</v>
      </c>
      <c r="K869">
        <v>0</v>
      </c>
      <c r="L869" s="2" t="s">
        <v>1742</v>
      </c>
      <c r="M869" s="2" t="s">
        <v>1743</v>
      </c>
      <c r="N869">
        <v>45.83</v>
      </c>
      <c r="O869" s="1">
        <v>45038</v>
      </c>
      <c r="P869" s="1">
        <v>45048</v>
      </c>
      <c r="Q869" s="2" t="s">
        <v>34</v>
      </c>
      <c r="R869" s="2">
        <v>10222</v>
      </c>
    </row>
    <row r="870" spans="1:18" x14ac:dyDescent="0.25">
      <c r="A870" s="1">
        <v>45814</v>
      </c>
      <c r="B870" s="2" t="s">
        <v>35</v>
      </c>
      <c r="C870" s="2" t="s">
        <v>27</v>
      </c>
      <c r="D870">
        <v>5</v>
      </c>
      <c r="E870">
        <v>33</v>
      </c>
      <c r="F870" s="2" t="s">
        <v>46</v>
      </c>
      <c r="G870" s="2" t="s">
        <v>29</v>
      </c>
      <c r="H870">
        <v>0.05</v>
      </c>
      <c r="I870" s="2" t="s">
        <v>52</v>
      </c>
      <c r="J870" s="2" t="s">
        <v>59</v>
      </c>
      <c r="K870">
        <v>0</v>
      </c>
      <c r="L870" s="2" t="s">
        <v>1744</v>
      </c>
      <c r="M870" s="2" t="s">
        <v>1745</v>
      </c>
      <c r="N870">
        <v>46.73</v>
      </c>
      <c r="O870" s="1">
        <v>45814</v>
      </c>
      <c r="P870" s="1">
        <v>45820</v>
      </c>
      <c r="Q870" s="2" t="s">
        <v>39</v>
      </c>
      <c r="R870" s="2">
        <v>157</v>
      </c>
    </row>
    <row r="871" spans="1:18" x14ac:dyDescent="0.25">
      <c r="A871" s="1">
        <v>44951</v>
      </c>
      <c r="B871" s="2" t="s">
        <v>40</v>
      </c>
      <c r="C871" s="2" t="s">
        <v>18</v>
      </c>
      <c r="D871">
        <v>2</v>
      </c>
      <c r="E871">
        <v>197</v>
      </c>
      <c r="F871" s="2" t="s">
        <v>28</v>
      </c>
      <c r="G871" s="2" t="s">
        <v>29</v>
      </c>
      <c r="H871">
        <v>0</v>
      </c>
      <c r="I871" s="2" t="s">
        <v>42</v>
      </c>
      <c r="J871" s="2" t="s">
        <v>22</v>
      </c>
      <c r="K871">
        <v>0</v>
      </c>
      <c r="L871" s="2" t="s">
        <v>1746</v>
      </c>
      <c r="M871" s="2" t="s">
        <v>1747</v>
      </c>
      <c r="N871">
        <v>35.840000000000003</v>
      </c>
      <c r="O871" s="1">
        <v>44951</v>
      </c>
      <c r="P871" s="1">
        <v>44955</v>
      </c>
      <c r="Q871" s="2" t="s">
        <v>45</v>
      </c>
      <c r="R871" s="2">
        <v>394</v>
      </c>
    </row>
    <row r="872" spans="1:18" x14ac:dyDescent="0.25">
      <c r="A872" s="1">
        <v>45177</v>
      </c>
      <c r="B872" s="2" t="s">
        <v>26</v>
      </c>
      <c r="C872" s="2" t="s">
        <v>27</v>
      </c>
      <c r="D872">
        <v>12</v>
      </c>
      <c r="E872">
        <v>369</v>
      </c>
      <c r="F872" s="2" t="s">
        <v>51</v>
      </c>
      <c r="G872" s="2" t="s">
        <v>20</v>
      </c>
      <c r="H872">
        <v>0.1</v>
      </c>
      <c r="I872" s="2" t="s">
        <v>42</v>
      </c>
      <c r="J872" s="2" t="s">
        <v>53</v>
      </c>
      <c r="K872">
        <v>1</v>
      </c>
      <c r="L872" s="2" t="s">
        <v>1748</v>
      </c>
      <c r="M872" s="2" t="s">
        <v>1127</v>
      </c>
      <c r="N872">
        <v>44.76</v>
      </c>
      <c r="O872" s="1">
        <v>45177</v>
      </c>
      <c r="P872" s="1">
        <v>45179</v>
      </c>
      <c r="Q872" s="2" t="s">
        <v>34</v>
      </c>
      <c r="R872" s="2">
        <v>3985</v>
      </c>
    </row>
    <row r="873" spans="1:18" x14ac:dyDescent="0.25">
      <c r="A873" s="1">
        <v>45569</v>
      </c>
      <c r="B873" s="2" t="s">
        <v>17</v>
      </c>
      <c r="C873" s="2" t="s">
        <v>75</v>
      </c>
      <c r="D873">
        <v>12</v>
      </c>
      <c r="E873">
        <v>182</v>
      </c>
      <c r="F873" s="2" t="s">
        <v>51</v>
      </c>
      <c r="G873" s="2" t="s">
        <v>29</v>
      </c>
      <c r="H873">
        <v>0.15</v>
      </c>
      <c r="I873" s="2" t="s">
        <v>21</v>
      </c>
      <c r="J873" s="2" t="s">
        <v>31</v>
      </c>
      <c r="K873">
        <v>0</v>
      </c>
      <c r="L873" s="2" t="s">
        <v>1749</v>
      </c>
      <c r="M873" s="2" t="s">
        <v>1750</v>
      </c>
      <c r="N873">
        <v>25.06</v>
      </c>
      <c r="O873" s="1">
        <v>45569</v>
      </c>
      <c r="P873" s="1">
        <v>45576</v>
      </c>
      <c r="Q873" s="2" t="s">
        <v>25</v>
      </c>
      <c r="R873" s="2">
        <v>1856</v>
      </c>
    </row>
    <row r="874" spans="1:18" x14ac:dyDescent="0.25">
      <c r="A874" s="1">
        <v>45753</v>
      </c>
      <c r="B874" s="2" t="s">
        <v>17</v>
      </c>
      <c r="C874" s="2" t="s">
        <v>36</v>
      </c>
      <c r="D874">
        <v>3</v>
      </c>
      <c r="E874">
        <v>32</v>
      </c>
      <c r="F874" s="2" t="s">
        <v>51</v>
      </c>
      <c r="G874" s="2" t="s">
        <v>29</v>
      </c>
      <c r="H874">
        <v>0.15</v>
      </c>
      <c r="I874" s="2" t="s">
        <v>30</v>
      </c>
      <c r="J874" s="2" t="s">
        <v>22</v>
      </c>
      <c r="K874">
        <v>1</v>
      </c>
      <c r="L874" s="2" t="s">
        <v>1751</v>
      </c>
      <c r="M874" s="2" t="s">
        <v>1752</v>
      </c>
      <c r="N874">
        <v>43.18</v>
      </c>
      <c r="O874" s="1">
        <v>45753</v>
      </c>
      <c r="P874" s="1">
        <v>45755</v>
      </c>
      <c r="Q874" s="2" t="s">
        <v>25</v>
      </c>
      <c r="R874" s="2">
        <v>82</v>
      </c>
    </row>
    <row r="875" spans="1:18" x14ac:dyDescent="0.25">
      <c r="A875" s="1">
        <v>45529</v>
      </c>
      <c r="B875" s="2" t="s">
        <v>17</v>
      </c>
      <c r="C875" s="2" t="s">
        <v>18</v>
      </c>
      <c r="D875">
        <v>15</v>
      </c>
      <c r="E875">
        <v>40</v>
      </c>
      <c r="F875" s="2" t="s">
        <v>28</v>
      </c>
      <c r="G875" s="2" t="s">
        <v>29</v>
      </c>
      <c r="H875">
        <v>0.15</v>
      </c>
      <c r="I875" s="2" t="s">
        <v>52</v>
      </c>
      <c r="J875" s="2" t="s">
        <v>56</v>
      </c>
      <c r="K875">
        <v>0</v>
      </c>
      <c r="L875" s="2" t="s">
        <v>1753</v>
      </c>
      <c r="M875" s="2" t="s">
        <v>1754</v>
      </c>
      <c r="N875">
        <v>33.44</v>
      </c>
      <c r="O875" s="1">
        <v>45529</v>
      </c>
      <c r="P875" s="1">
        <v>45533</v>
      </c>
      <c r="Q875" s="2" t="s">
        <v>25</v>
      </c>
      <c r="R875" s="2">
        <v>510</v>
      </c>
    </row>
    <row r="876" spans="1:18" x14ac:dyDescent="0.25">
      <c r="A876" s="1">
        <v>45357</v>
      </c>
      <c r="B876" s="2" t="s">
        <v>35</v>
      </c>
      <c r="C876" s="2" t="s">
        <v>27</v>
      </c>
      <c r="D876">
        <v>7</v>
      </c>
      <c r="E876">
        <v>374</v>
      </c>
      <c r="F876" s="2" t="s">
        <v>28</v>
      </c>
      <c r="G876" s="2" t="s">
        <v>29</v>
      </c>
      <c r="H876">
        <v>0.15</v>
      </c>
      <c r="I876" s="2" t="s">
        <v>47</v>
      </c>
      <c r="J876" s="2" t="s">
        <v>59</v>
      </c>
      <c r="K876">
        <v>0</v>
      </c>
      <c r="L876" s="2" t="s">
        <v>1755</v>
      </c>
      <c r="M876" s="2" t="s">
        <v>1756</v>
      </c>
      <c r="N876">
        <v>28.97</v>
      </c>
      <c r="O876" s="1">
        <v>45357</v>
      </c>
      <c r="P876" s="1">
        <v>45363</v>
      </c>
      <c r="Q876" s="2" t="s">
        <v>39</v>
      </c>
      <c r="R876" s="2">
        <v>2225</v>
      </c>
    </row>
    <row r="877" spans="1:18" x14ac:dyDescent="0.25">
      <c r="A877" s="1">
        <v>45008</v>
      </c>
      <c r="B877" s="2" t="s">
        <v>17</v>
      </c>
      <c r="C877" s="2" t="s">
        <v>126</v>
      </c>
      <c r="D877">
        <v>2</v>
      </c>
      <c r="E877">
        <v>102</v>
      </c>
      <c r="F877" s="2" t="s">
        <v>46</v>
      </c>
      <c r="G877" s="2" t="s">
        <v>20</v>
      </c>
      <c r="H877">
        <v>0</v>
      </c>
      <c r="I877" s="2" t="s">
        <v>52</v>
      </c>
      <c r="J877" s="2" t="s">
        <v>59</v>
      </c>
      <c r="K877">
        <v>0</v>
      </c>
      <c r="L877" s="2" t="s">
        <v>1757</v>
      </c>
      <c r="M877" s="2" t="s">
        <v>1758</v>
      </c>
      <c r="N877">
        <v>28.63</v>
      </c>
      <c r="O877" s="1">
        <v>45008</v>
      </c>
      <c r="P877" s="1">
        <v>45011</v>
      </c>
      <c r="Q877" s="2" t="s">
        <v>25</v>
      </c>
      <c r="R877" s="2">
        <v>204</v>
      </c>
    </row>
    <row r="878" spans="1:18" x14ac:dyDescent="0.25">
      <c r="A878" s="1">
        <v>45304</v>
      </c>
      <c r="B878" s="2" t="s">
        <v>40</v>
      </c>
      <c r="C878" s="2" t="s">
        <v>75</v>
      </c>
      <c r="D878">
        <v>13</v>
      </c>
      <c r="E878">
        <v>343</v>
      </c>
      <c r="F878" s="2" t="s">
        <v>51</v>
      </c>
      <c r="G878" s="2" t="s">
        <v>20</v>
      </c>
      <c r="H878">
        <v>0.05</v>
      </c>
      <c r="I878" s="2" t="s">
        <v>30</v>
      </c>
      <c r="J878" s="2" t="s">
        <v>31</v>
      </c>
      <c r="K878">
        <v>0</v>
      </c>
      <c r="L878" s="2" t="s">
        <v>1759</v>
      </c>
      <c r="M878" s="2" t="s">
        <v>1760</v>
      </c>
      <c r="N878">
        <v>27.26</v>
      </c>
      <c r="O878" s="1">
        <v>45304</v>
      </c>
      <c r="P878" s="1">
        <v>45308</v>
      </c>
      <c r="Q878" s="2" t="s">
        <v>45</v>
      </c>
      <c r="R878" s="2">
        <v>4236</v>
      </c>
    </row>
    <row r="879" spans="1:18" x14ac:dyDescent="0.25">
      <c r="A879" s="1">
        <v>45125</v>
      </c>
      <c r="B879" s="2" t="s">
        <v>40</v>
      </c>
      <c r="C879" s="2" t="s">
        <v>126</v>
      </c>
      <c r="D879">
        <v>15</v>
      </c>
      <c r="E879">
        <v>144</v>
      </c>
      <c r="F879" s="2" t="s">
        <v>46</v>
      </c>
      <c r="G879" s="2" t="s">
        <v>29</v>
      </c>
      <c r="H879">
        <v>0</v>
      </c>
      <c r="I879" s="2" t="s">
        <v>42</v>
      </c>
      <c r="J879" s="2" t="s">
        <v>31</v>
      </c>
      <c r="K879">
        <v>0</v>
      </c>
      <c r="L879" s="2" t="s">
        <v>1761</v>
      </c>
      <c r="M879" s="2" t="s">
        <v>1762</v>
      </c>
      <c r="N879">
        <v>28.51</v>
      </c>
      <c r="O879" s="1">
        <v>45125</v>
      </c>
      <c r="P879" s="1">
        <v>45131</v>
      </c>
      <c r="Q879" s="2" t="s">
        <v>45</v>
      </c>
      <c r="R879" s="2">
        <v>2160</v>
      </c>
    </row>
    <row r="880" spans="1:18" x14ac:dyDescent="0.25">
      <c r="A880" s="1">
        <v>45711</v>
      </c>
      <c r="B880" s="2" t="s">
        <v>65</v>
      </c>
      <c r="C880" s="2" t="s">
        <v>41</v>
      </c>
      <c r="D880">
        <v>18</v>
      </c>
      <c r="E880">
        <v>404</v>
      </c>
      <c r="F880" s="2" t="s">
        <v>28</v>
      </c>
      <c r="G880" s="2" t="s">
        <v>29</v>
      </c>
      <c r="H880">
        <v>0.15</v>
      </c>
      <c r="I880" s="2" t="s">
        <v>47</v>
      </c>
      <c r="J880" s="2" t="s">
        <v>59</v>
      </c>
      <c r="K880">
        <v>0</v>
      </c>
      <c r="L880" s="2" t="s">
        <v>1763</v>
      </c>
      <c r="M880" s="2" t="s">
        <v>1764</v>
      </c>
      <c r="N880">
        <v>13.09</v>
      </c>
      <c r="O880" s="1">
        <v>45711</v>
      </c>
      <c r="P880" s="1">
        <v>45720</v>
      </c>
      <c r="Q880" s="2" t="s">
        <v>68</v>
      </c>
      <c r="R880" s="2">
        <v>6181</v>
      </c>
    </row>
    <row r="881" spans="1:18" x14ac:dyDescent="0.25">
      <c r="A881" s="1">
        <v>44979</v>
      </c>
      <c r="B881" s="2" t="s">
        <v>17</v>
      </c>
      <c r="C881" s="2" t="s">
        <v>126</v>
      </c>
      <c r="D881">
        <v>14</v>
      </c>
      <c r="E881">
        <v>347</v>
      </c>
      <c r="F881" s="2" t="s">
        <v>19</v>
      </c>
      <c r="G881" s="2" t="s">
        <v>29</v>
      </c>
      <c r="H881">
        <v>0.1</v>
      </c>
      <c r="I881" s="2" t="s">
        <v>47</v>
      </c>
      <c r="J881" s="2" t="s">
        <v>56</v>
      </c>
      <c r="K881">
        <v>0</v>
      </c>
      <c r="L881" s="2" t="s">
        <v>1765</v>
      </c>
      <c r="M881" s="2" t="s">
        <v>1766</v>
      </c>
      <c r="N881">
        <v>36.83</v>
      </c>
      <c r="O881" s="1">
        <v>44979</v>
      </c>
      <c r="P881" s="1">
        <v>44987</v>
      </c>
      <c r="Q881" s="2" t="s">
        <v>25</v>
      </c>
      <c r="R881" s="2">
        <v>4372</v>
      </c>
    </row>
    <row r="882" spans="1:18" x14ac:dyDescent="0.25">
      <c r="A882" s="1">
        <v>45583</v>
      </c>
      <c r="B882" s="2" t="s">
        <v>35</v>
      </c>
      <c r="C882" s="2" t="s">
        <v>126</v>
      </c>
      <c r="D882">
        <v>7</v>
      </c>
      <c r="E882">
        <v>393</v>
      </c>
      <c r="F882" s="2" t="s">
        <v>46</v>
      </c>
      <c r="G882" s="2" t="s">
        <v>20</v>
      </c>
      <c r="H882">
        <v>0</v>
      </c>
      <c r="I882" s="2" t="s">
        <v>21</v>
      </c>
      <c r="J882" s="2" t="s">
        <v>31</v>
      </c>
      <c r="K882">
        <v>0</v>
      </c>
      <c r="L882" s="2" t="s">
        <v>1767</v>
      </c>
      <c r="M882" s="2" t="s">
        <v>1768</v>
      </c>
      <c r="N882">
        <v>45.85</v>
      </c>
      <c r="O882" s="1">
        <v>45583</v>
      </c>
      <c r="P882" s="1">
        <v>45593</v>
      </c>
      <c r="Q882" s="2" t="s">
        <v>39</v>
      </c>
      <c r="R882" s="2">
        <v>2751</v>
      </c>
    </row>
    <row r="883" spans="1:18" x14ac:dyDescent="0.25">
      <c r="A883" s="1">
        <v>45225</v>
      </c>
      <c r="B883" s="2" t="s">
        <v>65</v>
      </c>
      <c r="C883" s="2" t="s">
        <v>126</v>
      </c>
      <c r="D883">
        <v>16</v>
      </c>
      <c r="E883">
        <v>71</v>
      </c>
      <c r="F883" s="2" t="s">
        <v>19</v>
      </c>
      <c r="G883" s="2" t="s">
        <v>20</v>
      </c>
      <c r="H883">
        <v>0.05</v>
      </c>
      <c r="I883" s="2" t="s">
        <v>47</v>
      </c>
      <c r="J883" s="2" t="s">
        <v>31</v>
      </c>
      <c r="K883">
        <v>0</v>
      </c>
      <c r="L883" s="2" t="s">
        <v>1769</v>
      </c>
      <c r="M883" s="2" t="s">
        <v>1770</v>
      </c>
      <c r="N883">
        <v>5.05</v>
      </c>
      <c r="O883" s="1">
        <v>45225</v>
      </c>
      <c r="P883" s="1">
        <v>45230</v>
      </c>
      <c r="Q883" s="2" t="s">
        <v>68</v>
      </c>
      <c r="R883" s="2">
        <v>1079</v>
      </c>
    </row>
    <row r="884" spans="1:18" x14ac:dyDescent="0.25">
      <c r="A884" s="1">
        <v>44936</v>
      </c>
      <c r="B884" s="2" t="s">
        <v>40</v>
      </c>
      <c r="C884" s="2" t="s">
        <v>50</v>
      </c>
      <c r="D884">
        <v>20</v>
      </c>
      <c r="E884">
        <v>274</v>
      </c>
      <c r="F884" s="2" t="s">
        <v>19</v>
      </c>
      <c r="G884" s="2" t="s">
        <v>29</v>
      </c>
      <c r="H884">
        <v>0.1</v>
      </c>
      <c r="I884" s="2" t="s">
        <v>21</v>
      </c>
      <c r="J884" s="2" t="s">
        <v>31</v>
      </c>
      <c r="K884">
        <v>0</v>
      </c>
      <c r="L884" s="2" t="s">
        <v>1771</v>
      </c>
      <c r="M884" s="2" t="s">
        <v>603</v>
      </c>
      <c r="N884">
        <v>12.28</v>
      </c>
      <c r="O884" s="1">
        <v>44936</v>
      </c>
      <c r="P884" s="1">
        <v>44940</v>
      </c>
      <c r="Q884" s="2" t="s">
        <v>45</v>
      </c>
      <c r="R884" s="2">
        <v>4932</v>
      </c>
    </row>
    <row r="885" spans="1:18" x14ac:dyDescent="0.25">
      <c r="A885" s="1">
        <v>45370</v>
      </c>
      <c r="B885" s="2" t="s">
        <v>40</v>
      </c>
      <c r="C885" s="2" t="s">
        <v>36</v>
      </c>
      <c r="D885">
        <v>10</v>
      </c>
      <c r="E885">
        <v>20</v>
      </c>
      <c r="F885" s="2" t="s">
        <v>51</v>
      </c>
      <c r="G885" s="2" t="s">
        <v>29</v>
      </c>
      <c r="H885">
        <v>0.1</v>
      </c>
      <c r="I885" s="2" t="s">
        <v>47</v>
      </c>
      <c r="J885" s="2" t="s">
        <v>56</v>
      </c>
      <c r="K885">
        <v>0</v>
      </c>
      <c r="L885" s="2" t="s">
        <v>1772</v>
      </c>
      <c r="M885" s="2" t="s">
        <v>1773</v>
      </c>
      <c r="N885">
        <v>16.059999999999999</v>
      </c>
      <c r="O885" s="1">
        <v>45370</v>
      </c>
      <c r="P885" s="1">
        <v>45373</v>
      </c>
      <c r="Q885" s="2" t="s">
        <v>45</v>
      </c>
      <c r="R885" s="2">
        <v>180</v>
      </c>
    </row>
    <row r="886" spans="1:18" x14ac:dyDescent="0.25">
      <c r="A886" s="1">
        <v>45280</v>
      </c>
      <c r="B886" s="2" t="s">
        <v>40</v>
      </c>
      <c r="C886" s="2" t="s">
        <v>126</v>
      </c>
      <c r="D886">
        <v>10</v>
      </c>
      <c r="E886">
        <v>466</v>
      </c>
      <c r="F886" s="2" t="s">
        <v>19</v>
      </c>
      <c r="G886" s="2" t="s">
        <v>20</v>
      </c>
      <c r="H886">
        <v>0.05</v>
      </c>
      <c r="I886" s="2" t="s">
        <v>30</v>
      </c>
      <c r="J886" s="2" t="s">
        <v>22</v>
      </c>
      <c r="K886">
        <v>0</v>
      </c>
      <c r="L886" s="2" t="s">
        <v>1774</v>
      </c>
      <c r="M886" s="2" t="s">
        <v>1775</v>
      </c>
      <c r="N886">
        <v>28.14</v>
      </c>
      <c r="O886" s="1">
        <v>45280</v>
      </c>
      <c r="P886" s="1">
        <v>45286</v>
      </c>
      <c r="Q886" s="2" t="s">
        <v>45</v>
      </c>
      <c r="R886" s="2">
        <v>4427</v>
      </c>
    </row>
    <row r="887" spans="1:18" x14ac:dyDescent="0.25">
      <c r="A887" s="1">
        <v>45635</v>
      </c>
      <c r="B887" s="2" t="s">
        <v>40</v>
      </c>
      <c r="C887" s="2" t="s">
        <v>50</v>
      </c>
      <c r="D887">
        <v>19</v>
      </c>
      <c r="E887">
        <v>62</v>
      </c>
      <c r="F887" s="2" t="s">
        <v>51</v>
      </c>
      <c r="G887" s="2" t="s">
        <v>29</v>
      </c>
      <c r="H887">
        <v>0.1</v>
      </c>
      <c r="I887" s="2" t="s">
        <v>52</v>
      </c>
      <c r="J887" s="2" t="s">
        <v>56</v>
      </c>
      <c r="K887">
        <v>0</v>
      </c>
      <c r="L887" s="2" t="s">
        <v>1776</v>
      </c>
      <c r="M887" s="2" t="s">
        <v>1777</v>
      </c>
      <c r="N887">
        <v>14.85</v>
      </c>
      <c r="O887" s="1">
        <v>45635</v>
      </c>
      <c r="P887" s="1">
        <v>45645</v>
      </c>
      <c r="Q887" s="2" t="s">
        <v>45</v>
      </c>
      <c r="R887" s="2">
        <v>1060</v>
      </c>
    </row>
    <row r="888" spans="1:18" x14ac:dyDescent="0.25">
      <c r="A888" s="1">
        <v>45056</v>
      </c>
      <c r="B888" s="2" t="s">
        <v>40</v>
      </c>
      <c r="C888" s="2" t="s">
        <v>75</v>
      </c>
      <c r="D888">
        <v>11</v>
      </c>
      <c r="E888">
        <v>529</v>
      </c>
      <c r="F888" s="2" t="s">
        <v>28</v>
      </c>
      <c r="G888" s="2" t="s">
        <v>20</v>
      </c>
      <c r="H888">
        <v>0.05</v>
      </c>
      <c r="I888" s="2" t="s">
        <v>62</v>
      </c>
      <c r="J888" s="2" t="s">
        <v>53</v>
      </c>
      <c r="K888">
        <v>1</v>
      </c>
      <c r="L888" s="2" t="s">
        <v>1778</v>
      </c>
      <c r="M888" s="2" t="s">
        <v>1779</v>
      </c>
      <c r="N888">
        <v>16.78</v>
      </c>
      <c r="O888" s="1">
        <v>45056</v>
      </c>
      <c r="P888" s="1">
        <v>45066</v>
      </c>
      <c r="Q888" s="2" t="s">
        <v>45</v>
      </c>
      <c r="R888" s="2">
        <v>5528</v>
      </c>
    </row>
    <row r="889" spans="1:18" x14ac:dyDescent="0.25">
      <c r="A889" s="1">
        <v>45217</v>
      </c>
      <c r="B889" s="2" t="s">
        <v>26</v>
      </c>
      <c r="C889" s="2" t="s">
        <v>50</v>
      </c>
      <c r="D889">
        <v>7</v>
      </c>
      <c r="E889">
        <v>387</v>
      </c>
      <c r="F889" s="2" t="s">
        <v>28</v>
      </c>
      <c r="G889" s="2" t="s">
        <v>29</v>
      </c>
      <c r="H889">
        <v>0.1</v>
      </c>
      <c r="I889" s="2" t="s">
        <v>62</v>
      </c>
      <c r="J889" s="2" t="s">
        <v>59</v>
      </c>
      <c r="K889">
        <v>0</v>
      </c>
      <c r="L889" s="2" t="s">
        <v>1780</v>
      </c>
      <c r="M889" s="2" t="s">
        <v>1781</v>
      </c>
      <c r="N889">
        <v>14.76</v>
      </c>
      <c r="O889" s="1">
        <v>45217</v>
      </c>
      <c r="P889" s="1">
        <v>45220</v>
      </c>
      <c r="Q889" s="2" t="s">
        <v>34</v>
      </c>
      <c r="R889" s="2">
        <v>2438</v>
      </c>
    </row>
    <row r="890" spans="1:18" x14ac:dyDescent="0.25">
      <c r="A890" s="1">
        <v>45629</v>
      </c>
      <c r="B890" s="2" t="s">
        <v>26</v>
      </c>
      <c r="C890" s="2" t="s">
        <v>27</v>
      </c>
      <c r="D890">
        <v>1</v>
      </c>
      <c r="E890">
        <v>153</v>
      </c>
      <c r="F890" s="2" t="s">
        <v>28</v>
      </c>
      <c r="G890" s="2" t="s">
        <v>20</v>
      </c>
      <c r="H890">
        <v>0</v>
      </c>
      <c r="I890" s="2" t="s">
        <v>62</v>
      </c>
      <c r="J890" s="2" t="s">
        <v>53</v>
      </c>
      <c r="K890">
        <v>1</v>
      </c>
      <c r="L890" s="2" t="s">
        <v>1782</v>
      </c>
      <c r="M890" s="2" t="s">
        <v>1783</v>
      </c>
      <c r="N890">
        <v>9.61</v>
      </c>
      <c r="O890" s="1">
        <v>45629</v>
      </c>
      <c r="P890" s="1">
        <v>45632</v>
      </c>
      <c r="Q890" s="2" t="s">
        <v>34</v>
      </c>
      <c r="R890" s="2">
        <v>153</v>
      </c>
    </row>
    <row r="891" spans="1:18" x14ac:dyDescent="0.25">
      <c r="A891" s="1">
        <v>45575</v>
      </c>
      <c r="B891" s="2" t="s">
        <v>26</v>
      </c>
      <c r="C891" s="2" t="s">
        <v>41</v>
      </c>
      <c r="D891">
        <v>8</v>
      </c>
      <c r="E891">
        <v>72</v>
      </c>
      <c r="F891" s="2" t="s">
        <v>28</v>
      </c>
      <c r="G891" s="2" t="s">
        <v>20</v>
      </c>
      <c r="H891">
        <v>0.1</v>
      </c>
      <c r="I891" s="2" t="s">
        <v>47</v>
      </c>
      <c r="J891" s="2" t="s">
        <v>56</v>
      </c>
      <c r="K891">
        <v>1</v>
      </c>
      <c r="L891" s="2" t="s">
        <v>1784</v>
      </c>
      <c r="M891" s="2" t="s">
        <v>1785</v>
      </c>
      <c r="N891">
        <v>26.92</v>
      </c>
      <c r="O891" s="1">
        <v>45575</v>
      </c>
      <c r="P891" s="1">
        <v>45582</v>
      </c>
      <c r="Q891" s="2" t="s">
        <v>34</v>
      </c>
      <c r="R891" s="2">
        <v>518</v>
      </c>
    </row>
    <row r="892" spans="1:18" x14ac:dyDescent="0.25">
      <c r="A892" s="1">
        <v>45446</v>
      </c>
      <c r="B892" s="2" t="s">
        <v>17</v>
      </c>
      <c r="C892" s="2" t="s">
        <v>27</v>
      </c>
      <c r="D892">
        <v>4</v>
      </c>
      <c r="E892">
        <v>194</v>
      </c>
      <c r="F892" s="2" t="s">
        <v>51</v>
      </c>
      <c r="G892" s="2" t="s">
        <v>20</v>
      </c>
      <c r="H892">
        <v>0.1</v>
      </c>
      <c r="I892" s="2" t="s">
        <v>21</v>
      </c>
      <c r="J892" s="2" t="s">
        <v>53</v>
      </c>
      <c r="K892">
        <v>0</v>
      </c>
      <c r="L892" s="2" t="s">
        <v>1786</v>
      </c>
      <c r="M892" s="2" t="s">
        <v>1787</v>
      </c>
      <c r="N892">
        <v>26.35</v>
      </c>
      <c r="O892" s="1">
        <v>45446</v>
      </c>
      <c r="P892" s="1">
        <v>45450</v>
      </c>
      <c r="Q892" s="2" t="s">
        <v>25</v>
      </c>
      <c r="R892" s="2">
        <v>698</v>
      </c>
    </row>
    <row r="893" spans="1:18" x14ac:dyDescent="0.25">
      <c r="A893" s="1">
        <v>45742</v>
      </c>
      <c r="B893" s="2" t="s">
        <v>26</v>
      </c>
      <c r="C893" s="2" t="s">
        <v>27</v>
      </c>
      <c r="D893">
        <v>3</v>
      </c>
      <c r="E893">
        <v>159</v>
      </c>
      <c r="F893" s="2" t="s">
        <v>19</v>
      </c>
      <c r="G893" s="2" t="s">
        <v>20</v>
      </c>
      <c r="H893">
        <v>0.05</v>
      </c>
      <c r="I893" s="2" t="s">
        <v>21</v>
      </c>
      <c r="J893" s="2" t="s">
        <v>53</v>
      </c>
      <c r="K893">
        <v>1</v>
      </c>
      <c r="L893" s="2" t="s">
        <v>1788</v>
      </c>
      <c r="M893" s="2" t="s">
        <v>1789</v>
      </c>
      <c r="N893">
        <v>45.34</v>
      </c>
      <c r="O893" s="1">
        <v>45742</v>
      </c>
      <c r="P893" s="1">
        <v>45745</v>
      </c>
      <c r="Q893" s="2" t="s">
        <v>34</v>
      </c>
      <c r="R893" s="2">
        <v>453</v>
      </c>
    </row>
    <row r="894" spans="1:18" x14ac:dyDescent="0.25">
      <c r="A894" s="1">
        <v>45408</v>
      </c>
      <c r="B894" s="2" t="s">
        <v>35</v>
      </c>
      <c r="C894" s="2" t="s">
        <v>50</v>
      </c>
      <c r="D894">
        <v>4</v>
      </c>
      <c r="E894">
        <v>303</v>
      </c>
      <c r="F894" s="2" t="s">
        <v>28</v>
      </c>
      <c r="G894" s="2" t="s">
        <v>29</v>
      </c>
      <c r="H894">
        <v>0.1</v>
      </c>
      <c r="I894" s="2" t="s">
        <v>47</v>
      </c>
      <c r="J894" s="2" t="s">
        <v>31</v>
      </c>
      <c r="K894">
        <v>0</v>
      </c>
      <c r="L894" s="2" t="s">
        <v>1790</v>
      </c>
      <c r="M894" s="2" t="s">
        <v>1791</v>
      </c>
      <c r="N894">
        <v>30.19</v>
      </c>
      <c r="O894" s="1">
        <v>45408</v>
      </c>
      <c r="P894" s="1">
        <v>45413</v>
      </c>
      <c r="Q894" s="2" t="s">
        <v>39</v>
      </c>
      <c r="R894" s="2">
        <v>1091</v>
      </c>
    </row>
    <row r="895" spans="1:18" x14ac:dyDescent="0.25">
      <c r="A895" s="1">
        <v>45051</v>
      </c>
      <c r="B895" s="2" t="s">
        <v>65</v>
      </c>
      <c r="C895" s="2" t="s">
        <v>41</v>
      </c>
      <c r="D895">
        <v>16</v>
      </c>
      <c r="E895">
        <v>542</v>
      </c>
      <c r="F895" s="2" t="s">
        <v>46</v>
      </c>
      <c r="G895" s="2" t="s">
        <v>29</v>
      </c>
      <c r="H895">
        <v>0.1</v>
      </c>
      <c r="I895" s="2" t="s">
        <v>21</v>
      </c>
      <c r="J895" s="2" t="s">
        <v>59</v>
      </c>
      <c r="K895">
        <v>1</v>
      </c>
      <c r="L895" s="2" t="s">
        <v>1792</v>
      </c>
      <c r="M895" s="2" t="s">
        <v>1793</v>
      </c>
      <c r="N895">
        <v>9.93</v>
      </c>
      <c r="O895" s="1">
        <v>45051</v>
      </c>
      <c r="P895" s="1">
        <v>45059</v>
      </c>
      <c r="Q895" s="2" t="s">
        <v>68</v>
      </c>
      <c r="R895" s="2">
        <v>7805</v>
      </c>
    </row>
    <row r="896" spans="1:18" x14ac:dyDescent="0.25">
      <c r="A896" s="1">
        <v>45192</v>
      </c>
      <c r="B896" s="2" t="s">
        <v>65</v>
      </c>
      <c r="C896" s="2" t="s">
        <v>36</v>
      </c>
      <c r="D896">
        <v>7</v>
      </c>
      <c r="E896">
        <v>42</v>
      </c>
      <c r="F896" s="2" t="s">
        <v>51</v>
      </c>
      <c r="G896" s="2" t="s">
        <v>29</v>
      </c>
      <c r="H896">
        <v>0</v>
      </c>
      <c r="I896" s="2" t="s">
        <v>47</v>
      </c>
      <c r="J896" s="2" t="s">
        <v>22</v>
      </c>
      <c r="K896">
        <v>0</v>
      </c>
      <c r="L896" s="2" t="s">
        <v>1794</v>
      </c>
      <c r="M896" s="2" t="s">
        <v>1795</v>
      </c>
      <c r="N896">
        <v>16.59</v>
      </c>
      <c r="O896" s="1">
        <v>45192</v>
      </c>
      <c r="P896" s="1">
        <v>45198</v>
      </c>
      <c r="Q896" s="2" t="s">
        <v>68</v>
      </c>
      <c r="R896" s="2">
        <v>294</v>
      </c>
    </row>
    <row r="897" spans="1:18" x14ac:dyDescent="0.25">
      <c r="A897" s="1">
        <v>45724</v>
      </c>
      <c r="B897" s="2" t="s">
        <v>26</v>
      </c>
      <c r="C897" s="2" t="s">
        <v>50</v>
      </c>
      <c r="D897">
        <v>16</v>
      </c>
      <c r="E897">
        <v>218</v>
      </c>
      <c r="F897" s="2" t="s">
        <v>28</v>
      </c>
      <c r="G897" s="2" t="s">
        <v>20</v>
      </c>
      <c r="H897">
        <v>0.15</v>
      </c>
      <c r="I897" s="2" t="s">
        <v>42</v>
      </c>
      <c r="J897" s="2" t="s">
        <v>59</v>
      </c>
      <c r="K897">
        <v>1</v>
      </c>
      <c r="L897" s="2" t="s">
        <v>1796</v>
      </c>
      <c r="M897" s="2" t="s">
        <v>1797</v>
      </c>
      <c r="N897">
        <v>25.11</v>
      </c>
      <c r="O897" s="1">
        <v>45724</v>
      </c>
      <c r="P897" s="1">
        <v>45731</v>
      </c>
      <c r="Q897" s="2" t="s">
        <v>34</v>
      </c>
      <c r="R897" s="2">
        <v>2965</v>
      </c>
    </row>
    <row r="898" spans="1:18" x14ac:dyDescent="0.25">
      <c r="A898" s="1">
        <v>44943</v>
      </c>
      <c r="B898" s="2" t="s">
        <v>35</v>
      </c>
      <c r="C898" s="2" t="s">
        <v>126</v>
      </c>
      <c r="D898">
        <v>15</v>
      </c>
      <c r="E898">
        <v>19</v>
      </c>
      <c r="F898" s="2" t="s">
        <v>28</v>
      </c>
      <c r="G898" s="2" t="s">
        <v>20</v>
      </c>
      <c r="H898">
        <v>0</v>
      </c>
      <c r="I898" s="2" t="s">
        <v>47</v>
      </c>
      <c r="J898" s="2" t="s">
        <v>31</v>
      </c>
      <c r="K898">
        <v>1</v>
      </c>
      <c r="L898" s="2" t="s">
        <v>1798</v>
      </c>
      <c r="M898" s="2" t="s">
        <v>1799</v>
      </c>
      <c r="N898">
        <v>48.93</v>
      </c>
      <c r="O898" s="1">
        <v>44943</v>
      </c>
      <c r="P898" s="1">
        <v>44953</v>
      </c>
      <c r="Q898" s="2" t="s">
        <v>39</v>
      </c>
      <c r="R898" s="2">
        <v>285</v>
      </c>
    </row>
    <row r="899" spans="1:18" x14ac:dyDescent="0.25">
      <c r="A899" s="1">
        <v>45045</v>
      </c>
      <c r="B899" s="2" t="s">
        <v>40</v>
      </c>
      <c r="C899" s="2" t="s">
        <v>50</v>
      </c>
      <c r="D899">
        <v>15</v>
      </c>
      <c r="E899">
        <v>293</v>
      </c>
      <c r="F899" s="2" t="s">
        <v>51</v>
      </c>
      <c r="G899" s="2" t="s">
        <v>29</v>
      </c>
      <c r="H899">
        <v>0.1</v>
      </c>
      <c r="I899" s="2" t="s">
        <v>21</v>
      </c>
      <c r="J899" s="2" t="s">
        <v>53</v>
      </c>
      <c r="K899">
        <v>0</v>
      </c>
      <c r="L899" s="2" t="s">
        <v>1800</v>
      </c>
      <c r="M899" s="2" t="s">
        <v>1801</v>
      </c>
      <c r="N899">
        <v>21.03</v>
      </c>
      <c r="O899" s="1">
        <v>45045</v>
      </c>
      <c r="P899" s="1">
        <v>45047</v>
      </c>
      <c r="Q899" s="2" t="s">
        <v>45</v>
      </c>
      <c r="R899" s="2">
        <v>3956</v>
      </c>
    </row>
    <row r="900" spans="1:18" x14ac:dyDescent="0.25">
      <c r="A900" s="1">
        <v>45704</v>
      </c>
      <c r="B900" s="2" t="s">
        <v>26</v>
      </c>
      <c r="C900" s="2" t="s">
        <v>126</v>
      </c>
      <c r="D900">
        <v>18</v>
      </c>
      <c r="E900">
        <v>205</v>
      </c>
      <c r="F900" s="2" t="s">
        <v>46</v>
      </c>
      <c r="G900" s="2" t="s">
        <v>29</v>
      </c>
      <c r="H900">
        <v>0.1</v>
      </c>
      <c r="I900" s="2" t="s">
        <v>52</v>
      </c>
      <c r="J900" s="2" t="s">
        <v>59</v>
      </c>
      <c r="K900">
        <v>0</v>
      </c>
      <c r="L900" s="2" t="s">
        <v>1802</v>
      </c>
      <c r="M900" s="2" t="s">
        <v>1803</v>
      </c>
      <c r="N900">
        <v>16.04</v>
      </c>
      <c r="O900" s="1">
        <v>45704</v>
      </c>
      <c r="P900" s="1">
        <v>45710</v>
      </c>
      <c r="Q900" s="2" t="s">
        <v>34</v>
      </c>
      <c r="R900" s="2">
        <v>3321</v>
      </c>
    </row>
    <row r="901" spans="1:18" x14ac:dyDescent="0.25">
      <c r="A901" s="1">
        <v>45082</v>
      </c>
      <c r="B901" s="2" t="s">
        <v>17</v>
      </c>
      <c r="C901" s="2" t="s">
        <v>126</v>
      </c>
      <c r="D901">
        <v>15</v>
      </c>
      <c r="E901">
        <v>325</v>
      </c>
      <c r="F901" s="2" t="s">
        <v>28</v>
      </c>
      <c r="G901" s="2" t="s">
        <v>29</v>
      </c>
      <c r="H901">
        <v>0.15</v>
      </c>
      <c r="I901" s="2" t="s">
        <v>52</v>
      </c>
      <c r="J901" s="2" t="s">
        <v>56</v>
      </c>
      <c r="K901">
        <v>0</v>
      </c>
      <c r="L901" s="2" t="s">
        <v>1804</v>
      </c>
      <c r="M901" s="2" t="s">
        <v>1805</v>
      </c>
      <c r="N901">
        <v>24.57</v>
      </c>
      <c r="O901" s="1">
        <v>45082</v>
      </c>
      <c r="P901" s="1">
        <v>45086</v>
      </c>
      <c r="Q901" s="2" t="s">
        <v>25</v>
      </c>
      <c r="R901" s="2">
        <v>4144</v>
      </c>
    </row>
    <row r="902" spans="1:18" x14ac:dyDescent="0.25">
      <c r="A902" s="1">
        <v>45166</v>
      </c>
      <c r="B902" s="2" t="s">
        <v>26</v>
      </c>
      <c r="C902" s="2" t="s">
        <v>27</v>
      </c>
      <c r="D902">
        <v>11</v>
      </c>
      <c r="E902">
        <v>394</v>
      </c>
      <c r="F902" s="2" t="s">
        <v>51</v>
      </c>
      <c r="G902" s="2" t="s">
        <v>20</v>
      </c>
      <c r="H902">
        <v>0.05</v>
      </c>
      <c r="I902" s="2" t="s">
        <v>42</v>
      </c>
      <c r="J902" s="2" t="s">
        <v>56</v>
      </c>
      <c r="K902">
        <v>0</v>
      </c>
      <c r="L902" s="2" t="s">
        <v>1806</v>
      </c>
      <c r="M902" s="2" t="s">
        <v>1807</v>
      </c>
      <c r="N902">
        <v>32.57</v>
      </c>
      <c r="O902" s="1">
        <v>45166</v>
      </c>
      <c r="P902" s="1">
        <v>45175</v>
      </c>
      <c r="Q902" s="2" t="s">
        <v>34</v>
      </c>
      <c r="R902" s="2">
        <v>4117</v>
      </c>
    </row>
    <row r="903" spans="1:18" x14ac:dyDescent="0.25">
      <c r="A903" s="1">
        <v>45139</v>
      </c>
      <c r="B903" s="2" t="s">
        <v>35</v>
      </c>
      <c r="C903" s="2" t="s">
        <v>126</v>
      </c>
      <c r="D903">
        <v>8</v>
      </c>
      <c r="E903">
        <v>141</v>
      </c>
      <c r="F903" s="2" t="s">
        <v>51</v>
      </c>
      <c r="G903" s="2" t="s">
        <v>20</v>
      </c>
      <c r="H903">
        <v>0.05</v>
      </c>
      <c r="I903" s="2" t="s">
        <v>42</v>
      </c>
      <c r="J903" s="2" t="s">
        <v>22</v>
      </c>
      <c r="K903">
        <v>0</v>
      </c>
      <c r="L903" s="2" t="s">
        <v>1808</v>
      </c>
      <c r="M903" s="2" t="s">
        <v>1485</v>
      </c>
      <c r="N903">
        <v>28.69</v>
      </c>
      <c r="O903" s="1">
        <v>45139</v>
      </c>
      <c r="P903" s="1">
        <v>45148</v>
      </c>
      <c r="Q903" s="2" t="s">
        <v>39</v>
      </c>
      <c r="R903" s="2">
        <v>1072</v>
      </c>
    </row>
    <row r="904" spans="1:18" x14ac:dyDescent="0.25">
      <c r="A904" s="1">
        <v>45700</v>
      </c>
      <c r="B904" s="2" t="s">
        <v>65</v>
      </c>
      <c r="C904" s="2" t="s">
        <v>27</v>
      </c>
      <c r="D904">
        <v>13</v>
      </c>
      <c r="E904">
        <v>228</v>
      </c>
      <c r="F904" s="2" t="s">
        <v>46</v>
      </c>
      <c r="G904" s="2" t="s">
        <v>29</v>
      </c>
      <c r="H904">
        <v>0.15</v>
      </c>
      <c r="I904" s="2" t="s">
        <v>42</v>
      </c>
      <c r="J904" s="2" t="s">
        <v>59</v>
      </c>
      <c r="K904">
        <v>1</v>
      </c>
      <c r="L904" s="2" t="s">
        <v>1809</v>
      </c>
      <c r="M904" s="2" t="s">
        <v>1810</v>
      </c>
      <c r="N904">
        <v>46.67</v>
      </c>
      <c r="O904" s="1">
        <v>45700</v>
      </c>
      <c r="P904" s="1">
        <v>45708</v>
      </c>
      <c r="Q904" s="2" t="s">
        <v>68</v>
      </c>
      <c r="R904" s="2">
        <v>2519</v>
      </c>
    </row>
    <row r="905" spans="1:18" x14ac:dyDescent="0.25">
      <c r="A905" s="1">
        <v>45110</v>
      </c>
      <c r="B905" s="2" t="s">
        <v>40</v>
      </c>
      <c r="C905" s="2" t="s">
        <v>18</v>
      </c>
      <c r="D905">
        <v>19</v>
      </c>
      <c r="E905">
        <v>341</v>
      </c>
      <c r="F905" s="2" t="s">
        <v>46</v>
      </c>
      <c r="G905" s="2" t="s">
        <v>29</v>
      </c>
      <c r="H905">
        <v>0.1</v>
      </c>
      <c r="I905" s="2" t="s">
        <v>47</v>
      </c>
      <c r="J905" s="2" t="s">
        <v>59</v>
      </c>
      <c r="K905">
        <v>0</v>
      </c>
      <c r="L905" s="2" t="s">
        <v>1811</v>
      </c>
      <c r="M905" s="2" t="s">
        <v>1812</v>
      </c>
      <c r="N905">
        <v>47.75</v>
      </c>
      <c r="O905" s="1">
        <v>45110</v>
      </c>
      <c r="P905" s="1">
        <v>45113</v>
      </c>
      <c r="Q905" s="2" t="s">
        <v>45</v>
      </c>
      <c r="R905" s="2">
        <v>5831</v>
      </c>
    </row>
    <row r="906" spans="1:18" x14ac:dyDescent="0.25">
      <c r="A906" s="1">
        <v>45786</v>
      </c>
      <c r="B906" s="2" t="s">
        <v>40</v>
      </c>
      <c r="C906" s="2" t="s">
        <v>27</v>
      </c>
      <c r="D906">
        <v>20</v>
      </c>
      <c r="E906">
        <v>325</v>
      </c>
      <c r="F906" s="2" t="s">
        <v>19</v>
      </c>
      <c r="G906" s="2" t="s">
        <v>20</v>
      </c>
      <c r="H906">
        <v>0.05</v>
      </c>
      <c r="I906" s="2" t="s">
        <v>21</v>
      </c>
      <c r="J906" s="2" t="s">
        <v>53</v>
      </c>
      <c r="K906">
        <v>1</v>
      </c>
      <c r="L906" s="2" t="s">
        <v>1813</v>
      </c>
      <c r="M906" s="2" t="s">
        <v>1814</v>
      </c>
      <c r="N906">
        <v>21.21</v>
      </c>
      <c r="O906" s="1">
        <v>45786</v>
      </c>
      <c r="P906" s="1">
        <v>45790</v>
      </c>
      <c r="Q906" s="2" t="s">
        <v>45</v>
      </c>
      <c r="R906" s="2">
        <v>6175</v>
      </c>
    </row>
    <row r="907" spans="1:18" x14ac:dyDescent="0.25">
      <c r="A907" s="1">
        <v>45417</v>
      </c>
      <c r="B907" s="2" t="s">
        <v>65</v>
      </c>
      <c r="C907" s="2" t="s">
        <v>36</v>
      </c>
      <c r="D907">
        <v>16</v>
      </c>
      <c r="E907">
        <v>301</v>
      </c>
      <c r="F907" s="2" t="s">
        <v>19</v>
      </c>
      <c r="G907" s="2" t="s">
        <v>29</v>
      </c>
      <c r="H907">
        <v>0.1</v>
      </c>
      <c r="I907" s="2" t="s">
        <v>47</v>
      </c>
      <c r="J907" s="2" t="s">
        <v>31</v>
      </c>
      <c r="K907">
        <v>0</v>
      </c>
      <c r="L907" s="2" t="s">
        <v>1815</v>
      </c>
      <c r="M907" s="2" t="s">
        <v>1816</v>
      </c>
      <c r="N907">
        <v>5.58</v>
      </c>
      <c r="O907" s="1">
        <v>45417</v>
      </c>
      <c r="P907" s="1">
        <v>45426</v>
      </c>
      <c r="Q907" s="2" t="s">
        <v>68</v>
      </c>
      <c r="R907" s="2">
        <v>4334</v>
      </c>
    </row>
    <row r="908" spans="1:18" x14ac:dyDescent="0.25">
      <c r="A908" s="1">
        <v>45299</v>
      </c>
      <c r="B908" s="2" t="s">
        <v>26</v>
      </c>
      <c r="C908" s="2" t="s">
        <v>50</v>
      </c>
      <c r="D908">
        <v>13</v>
      </c>
      <c r="E908">
        <v>285</v>
      </c>
      <c r="F908" s="2" t="s">
        <v>51</v>
      </c>
      <c r="G908" s="2" t="s">
        <v>29</v>
      </c>
      <c r="H908">
        <v>0</v>
      </c>
      <c r="I908" s="2" t="s">
        <v>21</v>
      </c>
      <c r="J908" s="2" t="s">
        <v>31</v>
      </c>
      <c r="K908">
        <v>0</v>
      </c>
      <c r="L908" s="2" t="s">
        <v>1817</v>
      </c>
      <c r="M908" s="2" t="s">
        <v>1818</v>
      </c>
      <c r="N908">
        <v>31.2</v>
      </c>
      <c r="O908" s="1">
        <v>45299</v>
      </c>
      <c r="P908" s="1">
        <v>45306</v>
      </c>
      <c r="Q908" s="2" t="s">
        <v>34</v>
      </c>
      <c r="R908" s="2">
        <v>3705</v>
      </c>
    </row>
    <row r="909" spans="1:18" x14ac:dyDescent="0.25">
      <c r="A909" s="1">
        <v>45670</v>
      </c>
      <c r="B909" s="2" t="s">
        <v>26</v>
      </c>
      <c r="C909" s="2" t="s">
        <v>27</v>
      </c>
      <c r="D909">
        <v>15</v>
      </c>
      <c r="E909">
        <v>18</v>
      </c>
      <c r="F909" s="2" t="s">
        <v>46</v>
      </c>
      <c r="G909" s="2" t="s">
        <v>20</v>
      </c>
      <c r="H909">
        <v>0</v>
      </c>
      <c r="I909" s="2" t="s">
        <v>21</v>
      </c>
      <c r="J909" s="2" t="s">
        <v>53</v>
      </c>
      <c r="K909">
        <v>1</v>
      </c>
      <c r="L909" s="2" t="s">
        <v>1819</v>
      </c>
      <c r="M909" s="2" t="s">
        <v>1820</v>
      </c>
      <c r="N909">
        <v>14.35</v>
      </c>
      <c r="O909" s="1">
        <v>45670</v>
      </c>
      <c r="P909" s="1">
        <v>45674</v>
      </c>
      <c r="Q909" s="2" t="s">
        <v>34</v>
      </c>
      <c r="R909" s="2">
        <v>270</v>
      </c>
    </row>
    <row r="910" spans="1:18" x14ac:dyDescent="0.25">
      <c r="A910" s="1">
        <v>45820</v>
      </c>
      <c r="B910" s="2" t="s">
        <v>17</v>
      </c>
      <c r="C910" s="2" t="s">
        <v>126</v>
      </c>
      <c r="D910">
        <v>11</v>
      </c>
      <c r="E910">
        <v>495</v>
      </c>
      <c r="F910" s="2" t="s">
        <v>28</v>
      </c>
      <c r="G910" s="2" t="s">
        <v>20</v>
      </c>
      <c r="H910">
        <v>0</v>
      </c>
      <c r="I910" s="2" t="s">
        <v>62</v>
      </c>
      <c r="J910" s="2" t="s">
        <v>31</v>
      </c>
      <c r="K910">
        <v>0</v>
      </c>
      <c r="L910" s="2" t="s">
        <v>1821</v>
      </c>
      <c r="M910" s="2" t="s">
        <v>1822</v>
      </c>
      <c r="N910">
        <v>44.77</v>
      </c>
      <c r="O910" s="1">
        <v>45820</v>
      </c>
      <c r="P910" s="1">
        <v>45826</v>
      </c>
      <c r="Q910" s="2" t="s">
        <v>25</v>
      </c>
      <c r="R910" s="2">
        <v>5445</v>
      </c>
    </row>
    <row r="911" spans="1:18" x14ac:dyDescent="0.25">
      <c r="A911" s="1">
        <v>45750</v>
      </c>
      <c r="B911" s="2" t="s">
        <v>35</v>
      </c>
      <c r="C911" s="2" t="s">
        <v>18</v>
      </c>
      <c r="D911">
        <v>12</v>
      </c>
      <c r="E911">
        <v>276</v>
      </c>
      <c r="F911" s="2" t="s">
        <v>46</v>
      </c>
      <c r="G911" s="2" t="s">
        <v>29</v>
      </c>
      <c r="H911">
        <v>0.15</v>
      </c>
      <c r="I911" s="2" t="s">
        <v>47</v>
      </c>
      <c r="J911" s="2" t="s">
        <v>22</v>
      </c>
      <c r="K911">
        <v>0</v>
      </c>
      <c r="L911" s="2" t="s">
        <v>1823</v>
      </c>
      <c r="M911" s="2" t="s">
        <v>1824</v>
      </c>
      <c r="N911">
        <v>30.57</v>
      </c>
      <c r="O911" s="1">
        <v>45750</v>
      </c>
      <c r="P911" s="1">
        <v>45759</v>
      </c>
      <c r="Q911" s="2" t="s">
        <v>39</v>
      </c>
      <c r="R911" s="2">
        <v>2815</v>
      </c>
    </row>
    <row r="912" spans="1:18" x14ac:dyDescent="0.25">
      <c r="A912" s="1">
        <v>44952</v>
      </c>
      <c r="B912" s="2" t="s">
        <v>40</v>
      </c>
      <c r="C912" s="2" t="s">
        <v>36</v>
      </c>
      <c r="D912">
        <v>7</v>
      </c>
      <c r="E912">
        <v>228</v>
      </c>
      <c r="F912" s="2" t="s">
        <v>46</v>
      </c>
      <c r="G912" s="2" t="s">
        <v>20</v>
      </c>
      <c r="H912">
        <v>0.15</v>
      </c>
      <c r="I912" s="2" t="s">
        <v>21</v>
      </c>
      <c r="J912" s="2" t="s">
        <v>56</v>
      </c>
      <c r="K912">
        <v>0</v>
      </c>
      <c r="L912" s="2" t="s">
        <v>1825</v>
      </c>
      <c r="M912" s="2" t="s">
        <v>1826</v>
      </c>
      <c r="N912">
        <v>22.16</v>
      </c>
      <c r="O912" s="1">
        <v>44952</v>
      </c>
      <c r="P912" s="1">
        <v>44956</v>
      </c>
      <c r="Q912" s="2" t="s">
        <v>45</v>
      </c>
      <c r="R912" s="2">
        <v>1357</v>
      </c>
    </row>
    <row r="913" spans="1:18" x14ac:dyDescent="0.25">
      <c r="A913" s="1">
        <v>44933</v>
      </c>
      <c r="B913" s="2" t="s">
        <v>40</v>
      </c>
      <c r="C913" s="2" t="s">
        <v>50</v>
      </c>
      <c r="D913">
        <v>1</v>
      </c>
      <c r="E913">
        <v>498</v>
      </c>
      <c r="F913" s="2" t="s">
        <v>28</v>
      </c>
      <c r="G913" s="2" t="s">
        <v>20</v>
      </c>
      <c r="H913">
        <v>0.1</v>
      </c>
      <c r="I913" s="2" t="s">
        <v>62</v>
      </c>
      <c r="J913" s="2" t="s">
        <v>31</v>
      </c>
      <c r="K913">
        <v>0</v>
      </c>
      <c r="L913" s="2" t="s">
        <v>1827</v>
      </c>
      <c r="M913" s="2" t="s">
        <v>1828</v>
      </c>
      <c r="N913">
        <v>25.55</v>
      </c>
      <c r="O913" s="1">
        <v>44933</v>
      </c>
      <c r="P913" s="1">
        <v>44937</v>
      </c>
      <c r="Q913" s="2" t="s">
        <v>45</v>
      </c>
      <c r="R913" s="2">
        <v>448</v>
      </c>
    </row>
    <row r="914" spans="1:18" x14ac:dyDescent="0.25">
      <c r="A914" s="1">
        <v>45672</v>
      </c>
      <c r="B914" s="2" t="s">
        <v>35</v>
      </c>
      <c r="C914" s="2" t="s">
        <v>36</v>
      </c>
      <c r="D914">
        <v>18</v>
      </c>
      <c r="E914">
        <v>376</v>
      </c>
      <c r="F914" s="2" t="s">
        <v>46</v>
      </c>
      <c r="G914" s="2" t="s">
        <v>29</v>
      </c>
      <c r="H914">
        <v>0.1</v>
      </c>
      <c r="I914" s="2" t="s">
        <v>47</v>
      </c>
      <c r="J914" s="2" t="s">
        <v>31</v>
      </c>
      <c r="K914">
        <v>0</v>
      </c>
      <c r="L914" s="2" t="s">
        <v>1829</v>
      </c>
      <c r="M914" s="2" t="s">
        <v>1830</v>
      </c>
      <c r="N914">
        <v>15.13</v>
      </c>
      <c r="O914" s="1">
        <v>45672</v>
      </c>
      <c r="P914" s="1">
        <v>45680</v>
      </c>
      <c r="Q914" s="2" t="s">
        <v>39</v>
      </c>
      <c r="R914" s="2">
        <v>6091</v>
      </c>
    </row>
    <row r="915" spans="1:18" x14ac:dyDescent="0.25">
      <c r="A915" s="1">
        <v>45626</v>
      </c>
      <c r="B915" s="2" t="s">
        <v>17</v>
      </c>
      <c r="C915" s="2" t="s">
        <v>41</v>
      </c>
      <c r="D915">
        <v>18</v>
      </c>
      <c r="E915">
        <v>130</v>
      </c>
      <c r="F915" s="2" t="s">
        <v>19</v>
      </c>
      <c r="G915" s="2" t="s">
        <v>20</v>
      </c>
      <c r="H915">
        <v>0</v>
      </c>
      <c r="I915" s="2" t="s">
        <v>52</v>
      </c>
      <c r="J915" s="2" t="s">
        <v>56</v>
      </c>
      <c r="K915">
        <v>0</v>
      </c>
      <c r="L915" s="2" t="s">
        <v>1831</v>
      </c>
      <c r="M915" s="2" t="s">
        <v>1832</v>
      </c>
      <c r="N915">
        <v>34.6</v>
      </c>
      <c r="O915" s="1">
        <v>45626</v>
      </c>
      <c r="P915" s="1">
        <v>45631</v>
      </c>
      <c r="Q915" s="2" t="s">
        <v>25</v>
      </c>
      <c r="R915" s="2">
        <v>2340</v>
      </c>
    </row>
    <row r="916" spans="1:18" x14ac:dyDescent="0.25">
      <c r="A916" s="1">
        <v>45348</v>
      </c>
      <c r="B916" s="2" t="s">
        <v>17</v>
      </c>
      <c r="C916" s="2" t="s">
        <v>50</v>
      </c>
      <c r="D916">
        <v>13</v>
      </c>
      <c r="E916">
        <v>586</v>
      </c>
      <c r="F916" s="2" t="s">
        <v>19</v>
      </c>
      <c r="G916" s="2" t="s">
        <v>29</v>
      </c>
      <c r="H916">
        <v>0.15</v>
      </c>
      <c r="I916" s="2" t="s">
        <v>47</v>
      </c>
      <c r="J916" s="2" t="s">
        <v>53</v>
      </c>
      <c r="K916">
        <v>0</v>
      </c>
      <c r="L916" s="2" t="s">
        <v>1833</v>
      </c>
      <c r="M916" s="2" t="s">
        <v>1834</v>
      </c>
      <c r="N916">
        <v>42.18</v>
      </c>
      <c r="O916" s="1">
        <v>45348</v>
      </c>
      <c r="P916" s="1">
        <v>45358</v>
      </c>
      <c r="Q916" s="2" t="s">
        <v>25</v>
      </c>
      <c r="R916" s="2">
        <v>6475</v>
      </c>
    </row>
    <row r="917" spans="1:18" x14ac:dyDescent="0.25">
      <c r="A917" s="1">
        <v>45819</v>
      </c>
      <c r="B917" s="2" t="s">
        <v>35</v>
      </c>
      <c r="C917" s="2" t="s">
        <v>36</v>
      </c>
      <c r="D917">
        <v>19</v>
      </c>
      <c r="E917">
        <v>278</v>
      </c>
      <c r="F917" s="2" t="s">
        <v>19</v>
      </c>
      <c r="G917" s="2" t="s">
        <v>29</v>
      </c>
      <c r="H917">
        <v>0.05</v>
      </c>
      <c r="I917" s="2" t="s">
        <v>62</v>
      </c>
      <c r="J917" s="2" t="s">
        <v>53</v>
      </c>
      <c r="K917">
        <v>0</v>
      </c>
      <c r="L917" s="2" t="s">
        <v>1835</v>
      </c>
      <c r="M917" s="2" t="s">
        <v>1836</v>
      </c>
      <c r="N917">
        <v>16.399999999999999</v>
      </c>
      <c r="O917" s="1">
        <v>45819</v>
      </c>
      <c r="P917" s="1">
        <v>45823</v>
      </c>
      <c r="Q917" s="2" t="s">
        <v>39</v>
      </c>
      <c r="R917" s="2">
        <v>5018</v>
      </c>
    </row>
    <row r="918" spans="1:18" x14ac:dyDescent="0.25">
      <c r="A918" s="1">
        <v>45259</v>
      </c>
      <c r="B918" s="2" t="s">
        <v>40</v>
      </c>
      <c r="C918" s="2" t="s">
        <v>27</v>
      </c>
      <c r="D918">
        <v>11</v>
      </c>
      <c r="E918">
        <v>268</v>
      </c>
      <c r="F918" s="2" t="s">
        <v>19</v>
      </c>
      <c r="G918" s="2" t="s">
        <v>29</v>
      </c>
      <c r="H918">
        <v>0</v>
      </c>
      <c r="I918" s="2" t="s">
        <v>21</v>
      </c>
      <c r="J918" s="2" t="s">
        <v>56</v>
      </c>
      <c r="K918">
        <v>0</v>
      </c>
      <c r="L918" s="2" t="s">
        <v>1837</v>
      </c>
      <c r="M918" s="2" t="s">
        <v>1838</v>
      </c>
      <c r="N918">
        <v>12.05</v>
      </c>
      <c r="O918" s="1">
        <v>45259</v>
      </c>
      <c r="P918" s="1">
        <v>45264</v>
      </c>
      <c r="Q918" s="2" t="s">
        <v>45</v>
      </c>
      <c r="R918" s="2">
        <v>2948</v>
      </c>
    </row>
    <row r="919" spans="1:18" x14ac:dyDescent="0.25">
      <c r="A919" s="1">
        <v>45470</v>
      </c>
      <c r="B919" s="2" t="s">
        <v>26</v>
      </c>
      <c r="C919" s="2" t="s">
        <v>41</v>
      </c>
      <c r="D919">
        <v>12</v>
      </c>
      <c r="E919">
        <v>370</v>
      </c>
      <c r="F919" s="2" t="s">
        <v>19</v>
      </c>
      <c r="G919" s="2" t="s">
        <v>29</v>
      </c>
      <c r="H919">
        <v>0.05</v>
      </c>
      <c r="I919" s="2" t="s">
        <v>52</v>
      </c>
      <c r="J919" s="2" t="s">
        <v>56</v>
      </c>
      <c r="K919">
        <v>1</v>
      </c>
      <c r="L919" s="2" t="s">
        <v>1839</v>
      </c>
      <c r="M919" s="2" t="s">
        <v>1840</v>
      </c>
      <c r="N919">
        <v>39.159999999999997</v>
      </c>
      <c r="O919" s="1">
        <v>45470</v>
      </c>
      <c r="P919" s="1">
        <v>45478</v>
      </c>
      <c r="Q919" s="2" t="s">
        <v>34</v>
      </c>
      <c r="R919" s="2">
        <v>4218</v>
      </c>
    </row>
    <row r="920" spans="1:18" x14ac:dyDescent="0.25">
      <c r="A920" s="1">
        <v>45432</v>
      </c>
      <c r="B920" s="2" t="s">
        <v>26</v>
      </c>
      <c r="C920" s="2" t="s">
        <v>50</v>
      </c>
      <c r="D920">
        <v>13</v>
      </c>
      <c r="E920">
        <v>284</v>
      </c>
      <c r="F920" s="2" t="s">
        <v>28</v>
      </c>
      <c r="G920" s="2" t="s">
        <v>20</v>
      </c>
      <c r="H920">
        <v>0.05</v>
      </c>
      <c r="I920" s="2" t="s">
        <v>62</v>
      </c>
      <c r="J920" s="2" t="s">
        <v>22</v>
      </c>
      <c r="K920">
        <v>0</v>
      </c>
      <c r="L920" s="2" t="s">
        <v>1841</v>
      </c>
      <c r="M920" s="2" t="s">
        <v>1842</v>
      </c>
      <c r="N920">
        <v>48.73</v>
      </c>
      <c r="O920" s="1">
        <v>45432</v>
      </c>
      <c r="P920" s="1">
        <v>45439</v>
      </c>
      <c r="Q920" s="2" t="s">
        <v>34</v>
      </c>
      <c r="R920" s="2">
        <v>3507</v>
      </c>
    </row>
    <row r="921" spans="1:18" x14ac:dyDescent="0.25">
      <c r="A921" s="1">
        <v>45094</v>
      </c>
      <c r="B921" s="2" t="s">
        <v>65</v>
      </c>
      <c r="C921" s="2" t="s">
        <v>41</v>
      </c>
      <c r="D921">
        <v>12</v>
      </c>
      <c r="E921">
        <v>427</v>
      </c>
      <c r="F921" s="2" t="s">
        <v>46</v>
      </c>
      <c r="G921" s="2" t="s">
        <v>29</v>
      </c>
      <c r="H921">
        <v>0</v>
      </c>
      <c r="I921" s="2" t="s">
        <v>47</v>
      </c>
      <c r="J921" s="2" t="s">
        <v>31</v>
      </c>
      <c r="K921">
        <v>1</v>
      </c>
      <c r="L921" s="2" t="s">
        <v>1843</v>
      </c>
      <c r="M921" s="2" t="s">
        <v>1844</v>
      </c>
      <c r="N921">
        <v>8.11</v>
      </c>
      <c r="O921" s="1">
        <v>45094</v>
      </c>
      <c r="P921" s="1">
        <v>45099</v>
      </c>
      <c r="Q921" s="2" t="s">
        <v>68</v>
      </c>
      <c r="R921" s="2">
        <v>5124</v>
      </c>
    </row>
    <row r="922" spans="1:18" x14ac:dyDescent="0.25">
      <c r="A922" s="1">
        <v>45602</v>
      </c>
      <c r="B922" s="2" t="s">
        <v>17</v>
      </c>
      <c r="C922" s="2" t="s">
        <v>50</v>
      </c>
      <c r="D922">
        <v>11</v>
      </c>
      <c r="E922">
        <v>200</v>
      </c>
      <c r="F922" s="2" t="s">
        <v>51</v>
      </c>
      <c r="G922" s="2" t="s">
        <v>29</v>
      </c>
      <c r="H922">
        <v>0.1</v>
      </c>
      <c r="I922" s="2" t="s">
        <v>21</v>
      </c>
      <c r="J922" s="2" t="s">
        <v>56</v>
      </c>
      <c r="K922">
        <v>1</v>
      </c>
      <c r="L922" s="2" t="s">
        <v>1845</v>
      </c>
      <c r="M922" s="2" t="s">
        <v>1846</v>
      </c>
      <c r="N922">
        <v>48.27</v>
      </c>
      <c r="O922" s="1">
        <v>45602</v>
      </c>
      <c r="P922" s="1">
        <v>45609</v>
      </c>
      <c r="Q922" s="2" t="s">
        <v>25</v>
      </c>
      <c r="R922" s="2">
        <v>1980</v>
      </c>
    </row>
    <row r="923" spans="1:18" x14ac:dyDescent="0.25">
      <c r="A923" s="1">
        <v>45700</v>
      </c>
      <c r="B923" s="2" t="s">
        <v>35</v>
      </c>
      <c r="C923" s="2" t="s">
        <v>126</v>
      </c>
      <c r="D923">
        <v>4</v>
      </c>
      <c r="E923">
        <v>76</v>
      </c>
      <c r="F923" s="2" t="s">
        <v>46</v>
      </c>
      <c r="G923" s="2" t="s">
        <v>29</v>
      </c>
      <c r="H923">
        <v>0.15</v>
      </c>
      <c r="I923" s="2" t="s">
        <v>47</v>
      </c>
      <c r="J923" s="2" t="s">
        <v>53</v>
      </c>
      <c r="K923">
        <v>0</v>
      </c>
      <c r="L923" s="2" t="s">
        <v>1847</v>
      </c>
      <c r="M923" s="2" t="s">
        <v>1848</v>
      </c>
      <c r="N923">
        <v>12.22</v>
      </c>
      <c r="O923" s="1">
        <v>45700</v>
      </c>
      <c r="P923" s="1">
        <v>45708</v>
      </c>
      <c r="Q923" s="2" t="s">
        <v>39</v>
      </c>
      <c r="R923" s="2">
        <v>258</v>
      </c>
    </row>
    <row r="924" spans="1:18" x14ac:dyDescent="0.25">
      <c r="A924" s="1">
        <v>45756</v>
      </c>
      <c r="B924" s="2" t="s">
        <v>35</v>
      </c>
      <c r="C924" s="2" t="s">
        <v>50</v>
      </c>
      <c r="D924">
        <v>4</v>
      </c>
      <c r="E924">
        <v>518</v>
      </c>
      <c r="F924" s="2" t="s">
        <v>28</v>
      </c>
      <c r="G924" s="2" t="s">
        <v>20</v>
      </c>
      <c r="H924">
        <v>0</v>
      </c>
      <c r="I924" s="2" t="s">
        <v>30</v>
      </c>
      <c r="J924" s="2" t="s">
        <v>22</v>
      </c>
      <c r="K924">
        <v>0</v>
      </c>
      <c r="L924" s="2" t="s">
        <v>1849</v>
      </c>
      <c r="M924" s="2" t="s">
        <v>1236</v>
      </c>
      <c r="N924">
        <v>30.86</v>
      </c>
      <c r="O924" s="1">
        <v>45756</v>
      </c>
      <c r="P924" s="1">
        <v>45761</v>
      </c>
      <c r="Q924" s="2" t="s">
        <v>39</v>
      </c>
      <c r="R924" s="2">
        <v>2072</v>
      </c>
    </row>
    <row r="925" spans="1:18" x14ac:dyDescent="0.25">
      <c r="A925" s="1">
        <v>45522</v>
      </c>
      <c r="B925" s="2" t="s">
        <v>35</v>
      </c>
      <c r="C925" s="2" t="s">
        <v>75</v>
      </c>
      <c r="D925">
        <v>19</v>
      </c>
      <c r="E925">
        <v>181</v>
      </c>
      <c r="F925" s="2" t="s">
        <v>28</v>
      </c>
      <c r="G925" s="2" t="s">
        <v>20</v>
      </c>
      <c r="H925">
        <v>0.05</v>
      </c>
      <c r="I925" s="2" t="s">
        <v>47</v>
      </c>
      <c r="J925" s="2" t="s">
        <v>53</v>
      </c>
      <c r="K925">
        <v>0</v>
      </c>
      <c r="L925" s="2" t="s">
        <v>1850</v>
      </c>
      <c r="M925" s="2" t="s">
        <v>1851</v>
      </c>
      <c r="N925">
        <v>12.04</v>
      </c>
      <c r="O925" s="1">
        <v>45522</v>
      </c>
      <c r="P925" s="1">
        <v>45530</v>
      </c>
      <c r="Q925" s="2" t="s">
        <v>39</v>
      </c>
      <c r="R925" s="2">
        <v>3267</v>
      </c>
    </row>
    <row r="926" spans="1:18" x14ac:dyDescent="0.25">
      <c r="A926" s="1">
        <v>44977</v>
      </c>
      <c r="B926" s="2" t="s">
        <v>40</v>
      </c>
      <c r="C926" s="2" t="s">
        <v>18</v>
      </c>
      <c r="D926">
        <v>3</v>
      </c>
      <c r="E926">
        <v>197</v>
      </c>
      <c r="F926" s="2" t="s">
        <v>28</v>
      </c>
      <c r="G926" s="2" t="s">
        <v>20</v>
      </c>
      <c r="H926">
        <v>0.05</v>
      </c>
      <c r="I926" s="2" t="s">
        <v>42</v>
      </c>
      <c r="J926" s="2" t="s">
        <v>31</v>
      </c>
      <c r="K926">
        <v>1</v>
      </c>
      <c r="L926" s="2" t="s">
        <v>1852</v>
      </c>
      <c r="M926" s="2" t="s">
        <v>1199</v>
      </c>
      <c r="N926">
        <v>30.29</v>
      </c>
      <c r="O926" s="1">
        <v>44977</v>
      </c>
      <c r="P926" s="1">
        <v>44980</v>
      </c>
      <c r="Q926" s="2" t="s">
        <v>45</v>
      </c>
      <c r="R926" s="2">
        <v>561</v>
      </c>
    </row>
    <row r="927" spans="1:18" x14ac:dyDescent="0.25">
      <c r="A927" s="1">
        <v>45775</v>
      </c>
      <c r="B927" s="2" t="s">
        <v>35</v>
      </c>
      <c r="C927" s="2" t="s">
        <v>18</v>
      </c>
      <c r="D927">
        <v>6</v>
      </c>
      <c r="E927">
        <v>82</v>
      </c>
      <c r="F927" s="2" t="s">
        <v>51</v>
      </c>
      <c r="G927" s="2" t="s">
        <v>20</v>
      </c>
      <c r="H927">
        <v>0.05</v>
      </c>
      <c r="I927" s="2" t="s">
        <v>52</v>
      </c>
      <c r="J927" s="2" t="s">
        <v>53</v>
      </c>
      <c r="K927">
        <v>0</v>
      </c>
      <c r="L927" s="2" t="s">
        <v>1853</v>
      </c>
      <c r="M927" s="2" t="s">
        <v>1854</v>
      </c>
      <c r="N927">
        <v>26.43</v>
      </c>
      <c r="O927" s="1">
        <v>45775</v>
      </c>
      <c r="P927" s="1">
        <v>45785</v>
      </c>
      <c r="Q927" s="2" t="s">
        <v>39</v>
      </c>
      <c r="R927" s="2">
        <v>467</v>
      </c>
    </row>
    <row r="928" spans="1:18" x14ac:dyDescent="0.25">
      <c r="A928" s="1">
        <v>45148</v>
      </c>
      <c r="B928" s="2" t="s">
        <v>40</v>
      </c>
      <c r="C928" s="2" t="s">
        <v>126</v>
      </c>
      <c r="D928">
        <v>3</v>
      </c>
      <c r="E928">
        <v>60</v>
      </c>
      <c r="F928" s="2" t="s">
        <v>46</v>
      </c>
      <c r="G928" s="2" t="s">
        <v>29</v>
      </c>
      <c r="H928">
        <v>0</v>
      </c>
      <c r="I928" s="2" t="s">
        <v>21</v>
      </c>
      <c r="J928" s="2" t="s">
        <v>22</v>
      </c>
      <c r="K928">
        <v>0</v>
      </c>
      <c r="L928" s="2" t="s">
        <v>1855</v>
      </c>
      <c r="M928" s="2" t="s">
        <v>1856</v>
      </c>
      <c r="N928">
        <v>46.98</v>
      </c>
      <c r="O928" s="1">
        <v>45148</v>
      </c>
      <c r="P928" s="1">
        <v>45151</v>
      </c>
      <c r="Q928" s="2" t="s">
        <v>45</v>
      </c>
      <c r="R928" s="2">
        <v>180</v>
      </c>
    </row>
    <row r="929" spans="1:18" x14ac:dyDescent="0.25">
      <c r="A929" s="1">
        <v>45467</v>
      </c>
      <c r="B929" s="2" t="s">
        <v>35</v>
      </c>
      <c r="C929" s="2" t="s">
        <v>75</v>
      </c>
      <c r="D929">
        <v>12</v>
      </c>
      <c r="E929">
        <v>212</v>
      </c>
      <c r="F929" s="2" t="s">
        <v>28</v>
      </c>
      <c r="G929" s="2" t="s">
        <v>20</v>
      </c>
      <c r="H929">
        <v>0.1</v>
      </c>
      <c r="I929" s="2" t="s">
        <v>47</v>
      </c>
      <c r="J929" s="2" t="s">
        <v>53</v>
      </c>
      <c r="K929">
        <v>0</v>
      </c>
      <c r="L929" s="2" t="s">
        <v>1857</v>
      </c>
      <c r="M929" s="2" t="s">
        <v>1858</v>
      </c>
      <c r="N929">
        <v>10.36</v>
      </c>
      <c r="O929" s="1">
        <v>45467</v>
      </c>
      <c r="P929" s="1">
        <v>45472</v>
      </c>
      <c r="Q929" s="2" t="s">
        <v>39</v>
      </c>
      <c r="R929" s="2">
        <v>2290</v>
      </c>
    </row>
    <row r="930" spans="1:18" x14ac:dyDescent="0.25">
      <c r="A930" s="1">
        <v>45144</v>
      </c>
      <c r="B930" s="2" t="s">
        <v>40</v>
      </c>
      <c r="C930" s="2" t="s">
        <v>126</v>
      </c>
      <c r="D930">
        <v>13</v>
      </c>
      <c r="E930">
        <v>70</v>
      </c>
      <c r="F930" s="2" t="s">
        <v>28</v>
      </c>
      <c r="G930" s="2" t="s">
        <v>20</v>
      </c>
      <c r="H930">
        <v>0.05</v>
      </c>
      <c r="I930" s="2" t="s">
        <v>30</v>
      </c>
      <c r="J930" s="2" t="s">
        <v>56</v>
      </c>
      <c r="K930">
        <v>0</v>
      </c>
      <c r="L930" s="2" t="s">
        <v>1859</v>
      </c>
      <c r="M930" s="2" t="s">
        <v>1860</v>
      </c>
      <c r="N930">
        <v>27.66</v>
      </c>
      <c r="O930" s="1">
        <v>45144</v>
      </c>
      <c r="P930" s="1">
        <v>45150</v>
      </c>
      <c r="Q930" s="2" t="s">
        <v>45</v>
      </c>
      <c r="R930" s="2">
        <v>864</v>
      </c>
    </row>
    <row r="931" spans="1:18" x14ac:dyDescent="0.25">
      <c r="A931" s="1">
        <v>45622</v>
      </c>
      <c r="B931" s="2" t="s">
        <v>17</v>
      </c>
      <c r="C931" s="2" t="s">
        <v>75</v>
      </c>
      <c r="D931">
        <v>7</v>
      </c>
      <c r="E931">
        <v>438</v>
      </c>
      <c r="F931" s="2" t="s">
        <v>46</v>
      </c>
      <c r="G931" s="2" t="s">
        <v>29</v>
      </c>
      <c r="H931">
        <v>0.1</v>
      </c>
      <c r="I931" s="2" t="s">
        <v>42</v>
      </c>
      <c r="J931" s="2" t="s">
        <v>59</v>
      </c>
      <c r="K931">
        <v>1</v>
      </c>
      <c r="L931" s="2" t="s">
        <v>1861</v>
      </c>
      <c r="M931" s="2" t="s">
        <v>1173</v>
      </c>
      <c r="N931">
        <v>11.57</v>
      </c>
      <c r="O931" s="1">
        <v>45622</v>
      </c>
      <c r="P931" s="1">
        <v>45626</v>
      </c>
      <c r="Q931" s="2" t="s">
        <v>25</v>
      </c>
      <c r="R931" s="2">
        <v>2759</v>
      </c>
    </row>
    <row r="932" spans="1:18" x14ac:dyDescent="0.25">
      <c r="A932" s="1">
        <v>45694</v>
      </c>
      <c r="B932" s="2" t="s">
        <v>17</v>
      </c>
      <c r="C932" s="2" t="s">
        <v>18</v>
      </c>
      <c r="D932">
        <v>7</v>
      </c>
      <c r="E932">
        <v>242</v>
      </c>
      <c r="F932" s="2" t="s">
        <v>46</v>
      </c>
      <c r="G932" s="2" t="s">
        <v>20</v>
      </c>
      <c r="H932">
        <v>0.1</v>
      </c>
      <c r="I932" s="2" t="s">
        <v>30</v>
      </c>
      <c r="J932" s="2" t="s">
        <v>56</v>
      </c>
      <c r="K932">
        <v>0</v>
      </c>
      <c r="L932" s="2" t="s">
        <v>1862</v>
      </c>
      <c r="M932" s="2" t="s">
        <v>1863</v>
      </c>
      <c r="N932">
        <v>32.94</v>
      </c>
      <c r="O932" s="1">
        <v>45694</v>
      </c>
      <c r="P932" s="1">
        <v>45698</v>
      </c>
      <c r="Q932" s="2" t="s">
        <v>25</v>
      </c>
      <c r="R932" s="2">
        <v>1525</v>
      </c>
    </row>
    <row r="933" spans="1:18" x14ac:dyDescent="0.25">
      <c r="A933" s="1">
        <v>45736</v>
      </c>
      <c r="B933" s="2" t="s">
        <v>17</v>
      </c>
      <c r="C933" s="2" t="s">
        <v>36</v>
      </c>
      <c r="D933">
        <v>3</v>
      </c>
      <c r="E933">
        <v>467</v>
      </c>
      <c r="F933" s="2" t="s">
        <v>28</v>
      </c>
      <c r="G933" s="2" t="s">
        <v>29</v>
      </c>
      <c r="H933">
        <v>0.15</v>
      </c>
      <c r="I933" s="2" t="s">
        <v>62</v>
      </c>
      <c r="J933" s="2" t="s">
        <v>22</v>
      </c>
      <c r="K933">
        <v>0</v>
      </c>
      <c r="L933" s="2" t="s">
        <v>1864</v>
      </c>
      <c r="M933" s="2" t="s">
        <v>1865</v>
      </c>
      <c r="N933">
        <v>30.33</v>
      </c>
      <c r="O933" s="1">
        <v>45736</v>
      </c>
      <c r="P933" s="1">
        <v>45742</v>
      </c>
      <c r="Q933" s="2" t="s">
        <v>25</v>
      </c>
      <c r="R933" s="2">
        <v>1191</v>
      </c>
    </row>
    <row r="934" spans="1:18" x14ac:dyDescent="0.25">
      <c r="A934" s="1">
        <v>45545</v>
      </c>
      <c r="B934" s="2" t="s">
        <v>26</v>
      </c>
      <c r="C934" s="2" t="s">
        <v>50</v>
      </c>
      <c r="D934">
        <v>9</v>
      </c>
      <c r="E934">
        <v>473</v>
      </c>
      <c r="F934" s="2" t="s">
        <v>51</v>
      </c>
      <c r="G934" s="2" t="s">
        <v>29</v>
      </c>
      <c r="H934">
        <v>0.05</v>
      </c>
      <c r="I934" s="2" t="s">
        <v>30</v>
      </c>
      <c r="J934" s="2" t="s">
        <v>53</v>
      </c>
      <c r="K934">
        <v>0</v>
      </c>
      <c r="L934" s="2" t="s">
        <v>1866</v>
      </c>
      <c r="M934" s="2" t="s">
        <v>1867</v>
      </c>
      <c r="N934">
        <v>48.13</v>
      </c>
      <c r="O934" s="1">
        <v>45545</v>
      </c>
      <c r="P934" s="1">
        <v>45547</v>
      </c>
      <c r="Q934" s="2" t="s">
        <v>34</v>
      </c>
      <c r="R934" s="2">
        <v>4044</v>
      </c>
    </row>
    <row r="935" spans="1:18" x14ac:dyDescent="0.25">
      <c r="A935" s="1">
        <v>45708</v>
      </c>
      <c r="B935" s="2" t="s">
        <v>26</v>
      </c>
      <c r="C935" s="2" t="s">
        <v>41</v>
      </c>
      <c r="D935">
        <v>19</v>
      </c>
      <c r="E935">
        <v>586</v>
      </c>
      <c r="F935" s="2" t="s">
        <v>28</v>
      </c>
      <c r="G935" s="2" t="s">
        <v>20</v>
      </c>
      <c r="H935">
        <v>0.1</v>
      </c>
      <c r="I935" s="2" t="s">
        <v>21</v>
      </c>
      <c r="J935" s="2" t="s">
        <v>59</v>
      </c>
      <c r="K935">
        <v>0</v>
      </c>
      <c r="L935" s="2" t="s">
        <v>1868</v>
      </c>
      <c r="M935" s="2" t="s">
        <v>1869</v>
      </c>
      <c r="N935">
        <v>19.850000000000001</v>
      </c>
      <c r="O935" s="1">
        <v>45708</v>
      </c>
      <c r="P935" s="1">
        <v>45718</v>
      </c>
      <c r="Q935" s="2" t="s">
        <v>34</v>
      </c>
      <c r="R935" s="2">
        <v>10021</v>
      </c>
    </row>
    <row r="936" spans="1:18" x14ac:dyDescent="0.25">
      <c r="A936" s="1">
        <v>44946</v>
      </c>
      <c r="B936" s="2" t="s">
        <v>17</v>
      </c>
      <c r="C936" s="2" t="s">
        <v>41</v>
      </c>
      <c r="D936">
        <v>15</v>
      </c>
      <c r="E936">
        <v>463</v>
      </c>
      <c r="F936" s="2" t="s">
        <v>28</v>
      </c>
      <c r="G936" s="2" t="s">
        <v>29</v>
      </c>
      <c r="H936">
        <v>0.15</v>
      </c>
      <c r="I936" s="2" t="s">
        <v>52</v>
      </c>
      <c r="J936" s="2" t="s">
        <v>53</v>
      </c>
      <c r="K936">
        <v>0</v>
      </c>
      <c r="L936" s="2" t="s">
        <v>1870</v>
      </c>
      <c r="M936" s="2" t="s">
        <v>1871</v>
      </c>
      <c r="N936">
        <v>46.12</v>
      </c>
      <c r="O936" s="1">
        <v>44946</v>
      </c>
      <c r="P936" s="1">
        <v>44952</v>
      </c>
      <c r="Q936" s="2" t="s">
        <v>25</v>
      </c>
      <c r="R936" s="2">
        <v>5903</v>
      </c>
    </row>
    <row r="937" spans="1:18" x14ac:dyDescent="0.25">
      <c r="A937" s="1">
        <v>45354</v>
      </c>
      <c r="B937" s="2" t="s">
        <v>17</v>
      </c>
      <c r="C937" s="2" t="s">
        <v>18</v>
      </c>
      <c r="D937">
        <v>1</v>
      </c>
      <c r="E937">
        <v>176</v>
      </c>
      <c r="F937" s="2" t="s">
        <v>46</v>
      </c>
      <c r="G937" s="2" t="s">
        <v>29</v>
      </c>
      <c r="H937">
        <v>0.05</v>
      </c>
      <c r="I937" s="2" t="s">
        <v>30</v>
      </c>
      <c r="J937" s="2" t="s">
        <v>56</v>
      </c>
      <c r="K937">
        <v>1</v>
      </c>
      <c r="L937" s="2" t="s">
        <v>1872</v>
      </c>
      <c r="M937" s="2" t="s">
        <v>1873</v>
      </c>
      <c r="N937">
        <v>35.770000000000003</v>
      </c>
      <c r="O937" s="1">
        <v>45354</v>
      </c>
      <c r="P937" s="1">
        <v>45357</v>
      </c>
      <c r="Q937" s="2" t="s">
        <v>25</v>
      </c>
      <c r="R937" s="2">
        <v>167</v>
      </c>
    </row>
    <row r="938" spans="1:18" x14ac:dyDescent="0.25">
      <c r="A938" s="1">
        <v>45257</v>
      </c>
      <c r="B938" s="2" t="s">
        <v>65</v>
      </c>
      <c r="C938" s="2" t="s">
        <v>126</v>
      </c>
      <c r="D938">
        <v>1</v>
      </c>
      <c r="E938">
        <v>71</v>
      </c>
      <c r="F938" s="2" t="s">
        <v>28</v>
      </c>
      <c r="G938" s="2" t="s">
        <v>29</v>
      </c>
      <c r="H938">
        <v>0.1</v>
      </c>
      <c r="I938" s="2" t="s">
        <v>47</v>
      </c>
      <c r="J938" s="2" t="s">
        <v>56</v>
      </c>
      <c r="K938">
        <v>1</v>
      </c>
      <c r="L938" s="2" t="s">
        <v>1874</v>
      </c>
      <c r="M938" s="2" t="s">
        <v>1875</v>
      </c>
      <c r="N938">
        <v>43.69</v>
      </c>
      <c r="O938" s="1">
        <v>45257</v>
      </c>
      <c r="P938" s="1">
        <v>45263</v>
      </c>
      <c r="Q938" s="2" t="s">
        <v>68</v>
      </c>
      <c r="R938" s="2">
        <v>64</v>
      </c>
    </row>
    <row r="939" spans="1:18" x14ac:dyDescent="0.25">
      <c r="A939" s="1">
        <v>45606</v>
      </c>
      <c r="B939" s="2" t="s">
        <v>17</v>
      </c>
      <c r="C939" s="2" t="s">
        <v>18</v>
      </c>
      <c r="D939">
        <v>6</v>
      </c>
      <c r="E939">
        <v>62</v>
      </c>
      <c r="F939" s="2" t="s">
        <v>28</v>
      </c>
      <c r="G939" s="2" t="s">
        <v>20</v>
      </c>
      <c r="H939">
        <v>0</v>
      </c>
      <c r="I939" s="2" t="s">
        <v>52</v>
      </c>
      <c r="J939" s="2" t="s">
        <v>31</v>
      </c>
      <c r="K939">
        <v>0</v>
      </c>
      <c r="L939" s="2" t="s">
        <v>1876</v>
      </c>
      <c r="M939" s="2" t="s">
        <v>1877</v>
      </c>
      <c r="N939">
        <v>17.850000000000001</v>
      </c>
      <c r="O939" s="1">
        <v>45606</v>
      </c>
      <c r="P939" s="1">
        <v>45614</v>
      </c>
      <c r="Q939" s="2" t="s">
        <v>25</v>
      </c>
      <c r="R939" s="2">
        <v>372</v>
      </c>
    </row>
    <row r="940" spans="1:18" x14ac:dyDescent="0.25">
      <c r="A940" s="1">
        <v>45692</v>
      </c>
      <c r="B940" s="2" t="s">
        <v>40</v>
      </c>
      <c r="C940" s="2" t="s">
        <v>75</v>
      </c>
      <c r="D940">
        <v>7</v>
      </c>
      <c r="E940">
        <v>570</v>
      </c>
      <c r="F940" s="2" t="s">
        <v>51</v>
      </c>
      <c r="G940" s="2" t="s">
        <v>20</v>
      </c>
      <c r="H940">
        <v>0.1</v>
      </c>
      <c r="I940" s="2" t="s">
        <v>30</v>
      </c>
      <c r="J940" s="2" t="s">
        <v>59</v>
      </c>
      <c r="K940">
        <v>0</v>
      </c>
      <c r="L940" s="2" t="s">
        <v>1878</v>
      </c>
      <c r="M940" s="2" t="s">
        <v>1879</v>
      </c>
      <c r="N940">
        <v>26.81</v>
      </c>
      <c r="O940" s="1">
        <v>45692</v>
      </c>
      <c r="P940" s="1">
        <v>45696</v>
      </c>
      <c r="Q940" s="2" t="s">
        <v>45</v>
      </c>
      <c r="R940" s="2">
        <v>3591</v>
      </c>
    </row>
    <row r="941" spans="1:18" x14ac:dyDescent="0.25">
      <c r="A941" s="1">
        <v>45343</v>
      </c>
      <c r="B941" s="2" t="s">
        <v>17</v>
      </c>
      <c r="C941" s="2" t="s">
        <v>36</v>
      </c>
      <c r="D941">
        <v>5</v>
      </c>
      <c r="E941">
        <v>34</v>
      </c>
      <c r="F941" s="2" t="s">
        <v>51</v>
      </c>
      <c r="G941" s="2" t="s">
        <v>20</v>
      </c>
      <c r="H941">
        <v>0.05</v>
      </c>
      <c r="I941" s="2" t="s">
        <v>52</v>
      </c>
      <c r="J941" s="2" t="s">
        <v>31</v>
      </c>
      <c r="K941">
        <v>0</v>
      </c>
      <c r="L941" s="2" t="s">
        <v>1880</v>
      </c>
      <c r="M941" s="2" t="s">
        <v>1881</v>
      </c>
      <c r="N941">
        <v>19.72</v>
      </c>
      <c r="O941" s="1">
        <v>45343</v>
      </c>
      <c r="P941" s="1">
        <v>45353</v>
      </c>
      <c r="Q941" s="2" t="s">
        <v>25</v>
      </c>
      <c r="R941" s="2">
        <v>162</v>
      </c>
    </row>
    <row r="942" spans="1:18" x14ac:dyDescent="0.25">
      <c r="A942" s="1">
        <v>45009</v>
      </c>
      <c r="B942" s="2" t="s">
        <v>17</v>
      </c>
      <c r="C942" s="2" t="s">
        <v>36</v>
      </c>
      <c r="D942">
        <v>17</v>
      </c>
      <c r="E942">
        <v>503</v>
      </c>
      <c r="F942" s="2" t="s">
        <v>28</v>
      </c>
      <c r="G942" s="2" t="s">
        <v>20</v>
      </c>
      <c r="H942">
        <v>0.1</v>
      </c>
      <c r="I942" s="2" t="s">
        <v>42</v>
      </c>
      <c r="J942" s="2" t="s">
        <v>59</v>
      </c>
      <c r="K942">
        <v>0</v>
      </c>
      <c r="L942" s="2" t="s">
        <v>1882</v>
      </c>
      <c r="M942" s="2" t="s">
        <v>1883</v>
      </c>
      <c r="N942">
        <v>15.38</v>
      </c>
      <c r="O942" s="1">
        <v>45009</v>
      </c>
      <c r="P942" s="1">
        <v>45014</v>
      </c>
      <c r="Q942" s="2" t="s">
        <v>25</v>
      </c>
      <c r="R942" s="2">
        <v>7696</v>
      </c>
    </row>
    <row r="943" spans="1:18" x14ac:dyDescent="0.25">
      <c r="A943" s="1">
        <v>45417</v>
      </c>
      <c r="B943" s="2" t="s">
        <v>26</v>
      </c>
      <c r="C943" s="2" t="s">
        <v>126</v>
      </c>
      <c r="D943">
        <v>3</v>
      </c>
      <c r="E943">
        <v>90</v>
      </c>
      <c r="F943" s="2" t="s">
        <v>51</v>
      </c>
      <c r="G943" s="2" t="s">
        <v>20</v>
      </c>
      <c r="H943">
        <v>0.1</v>
      </c>
      <c r="I943" s="2" t="s">
        <v>30</v>
      </c>
      <c r="J943" s="2" t="s">
        <v>31</v>
      </c>
      <c r="K943">
        <v>0</v>
      </c>
      <c r="L943" s="2" t="s">
        <v>1884</v>
      </c>
      <c r="M943" s="2" t="s">
        <v>1885</v>
      </c>
      <c r="N943">
        <v>32.67</v>
      </c>
      <c r="O943" s="1">
        <v>45417</v>
      </c>
      <c r="P943" s="1">
        <v>45425</v>
      </c>
      <c r="Q943" s="2" t="s">
        <v>34</v>
      </c>
      <c r="R943" s="2">
        <v>243</v>
      </c>
    </row>
    <row r="944" spans="1:18" x14ac:dyDescent="0.25">
      <c r="A944" s="1">
        <v>45569</v>
      </c>
      <c r="B944" s="2" t="s">
        <v>26</v>
      </c>
      <c r="C944" s="2" t="s">
        <v>18</v>
      </c>
      <c r="D944">
        <v>18</v>
      </c>
      <c r="E944">
        <v>404</v>
      </c>
      <c r="F944" s="2" t="s">
        <v>51</v>
      </c>
      <c r="G944" s="2" t="s">
        <v>20</v>
      </c>
      <c r="H944">
        <v>0.1</v>
      </c>
      <c r="I944" s="2" t="s">
        <v>30</v>
      </c>
      <c r="J944" s="2" t="s">
        <v>22</v>
      </c>
      <c r="K944">
        <v>0</v>
      </c>
      <c r="L944" s="2" t="s">
        <v>1886</v>
      </c>
      <c r="M944" s="2" t="s">
        <v>1887</v>
      </c>
      <c r="N944">
        <v>35.729999999999997</v>
      </c>
      <c r="O944" s="1">
        <v>45569</v>
      </c>
      <c r="P944" s="1">
        <v>45572</v>
      </c>
      <c r="Q944" s="2" t="s">
        <v>34</v>
      </c>
      <c r="R944" s="2">
        <v>6545</v>
      </c>
    </row>
    <row r="945" spans="1:18" x14ac:dyDescent="0.25">
      <c r="A945" s="1">
        <v>45661</v>
      </c>
      <c r="B945" s="2" t="s">
        <v>26</v>
      </c>
      <c r="C945" s="2" t="s">
        <v>41</v>
      </c>
      <c r="D945">
        <v>2</v>
      </c>
      <c r="E945">
        <v>195</v>
      </c>
      <c r="F945" s="2" t="s">
        <v>28</v>
      </c>
      <c r="G945" s="2" t="s">
        <v>29</v>
      </c>
      <c r="H945">
        <v>0</v>
      </c>
      <c r="I945" s="2" t="s">
        <v>52</v>
      </c>
      <c r="J945" s="2" t="s">
        <v>53</v>
      </c>
      <c r="K945">
        <v>0</v>
      </c>
      <c r="L945" s="2" t="s">
        <v>1888</v>
      </c>
      <c r="M945" s="2" t="s">
        <v>823</v>
      </c>
      <c r="N945">
        <v>9.89</v>
      </c>
      <c r="O945" s="1">
        <v>45661</v>
      </c>
      <c r="P945" s="1">
        <v>45671</v>
      </c>
      <c r="Q945" s="2" t="s">
        <v>34</v>
      </c>
      <c r="R945" s="2">
        <v>390</v>
      </c>
    </row>
    <row r="946" spans="1:18" x14ac:dyDescent="0.25">
      <c r="A946" s="1">
        <v>45649</v>
      </c>
      <c r="B946" s="2" t="s">
        <v>40</v>
      </c>
      <c r="C946" s="2" t="s">
        <v>126</v>
      </c>
      <c r="D946">
        <v>12</v>
      </c>
      <c r="E946">
        <v>172</v>
      </c>
      <c r="F946" s="2" t="s">
        <v>19</v>
      </c>
      <c r="G946" s="2" t="s">
        <v>29</v>
      </c>
      <c r="H946">
        <v>0.05</v>
      </c>
      <c r="I946" s="2" t="s">
        <v>21</v>
      </c>
      <c r="J946" s="2" t="s">
        <v>53</v>
      </c>
      <c r="K946">
        <v>0</v>
      </c>
      <c r="L946" s="2" t="s">
        <v>1889</v>
      </c>
      <c r="M946" s="2" t="s">
        <v>1890</v>
      </c>
      <c r="N946">
        <v>34.36</v>
      </c>
      <c r="O946" s="1">
        <v>45649</v>
      </c>
      <c r="P946" s="1">
        <v>45659</v>
      </c>
      <c r="Q946" s="2" t="s">
        <v>45</v>
      </c>
      <c r="R946" s="2">
        <v>1961</v>
      </c>
    </row>
    <row r="947" spans="1:18" x14ac:dyDescent="0.25">
      <c r="A947" s="1">
        <v>44955</v>
      </c>
      <c r="B947" s="2" t="s">
        <v>40</v>
      </c>
      <c r="C947" s="2" t="s">
        <v>18</v>
      </c>
      <c r="D947">
        <v>17</v>
      </c>
      <c r="E947">
        <v>536</v>
      </c>
      <c r="F947" s="2" t="s">
        <v>28</v>
      </c>
      <c r="G947" s="2" t="s">
        <v>20</v>
      </c>
      <c r="H947">
        <v>0.05</v>
      </c>
      <c r="I947" s="2" t="s">
        <v>62</v>
      </c>
      <c r="J947" s="2" t="s">
        <v>31</v>
      </c>
      <c r="K947">
        <v>0</v>
      </c>
      <c r="L947" s="2" t="s">
        <v>1891</v>
      </c>
      <c r="M947" s="2" t="s">
        <v>1892</v>
      </c>
      <c r="N947">
        <v>26.12</v>
      </c>
      <c r="O947" s="1">
        <v>44955</v>
      </c>
      <c r="P947" s="1">
        <v>44965</v>
      </c>
      <c r="Q947" s="2" t="s">
        <v>45</v>
      </c>
      <c r="R947" s="2">
        <v>8656</v>
      </c>
    </row>
    <row r="948" spans="1:18" x14ac:dyDescent="0.25">
      <c r="A948" s="1">
        <v>45515</v>
      </c>
      <c r="B948" s="2" t="s">
        <v>65</v>
      </c>
      <c r="C948" s="2" t="s">
        <v>41</v>
      </c>
      <c r="D948">
        <v>12</v>
      </c>
      <c r="E948">
        <v>248</v>
      </c>
      <c r="F948" s="2" t="s">
        <v>28</v>
      </c>
      <c r="G948" s="2" t="s">
        <v>29</v>
      </c>
      <c r="H948">
        <v>0.05</v>
      </c>
      <c r="I948" s="2" t="s">
        <v>30</v>
      </c>
      <c r="J948" s="2" t="s">
        <v>59</v>
      </c>
      <c r="K948">
        <v>0</v>
      </c>
      <c r="L948" s="2" t="s">
        <v>1893</v>
      </c>
      <c r="M948" s="2" t="s">
        <v>1894</v>
      </c>
      <c r="N948">
        <v>26.03</v>
      </c>
      <c r="O948" s="1">
        <v>45515</v>
      </c>
      <c r="P948" s="1">
        <v>45521</v>
      </c>
      <c r="Q948" s="2" t="s">
        <v>68</v>
      </c>
      <c r="R948" s="2">
        <v>2827</v>
      </c>
    </row>
    <row r="949" spans="1:18" x14ac:dyDescent="0.25">
      <c r="A949" s="1">
        <v>45255</v>
      </c>
      <c r="B949" s="2" t="s">
        <v>35</v>
      </c>
      <c r="C949" s="2" t="s">
        <v>27</v>
      </c>
      <c r="D949">
        <v>2</v>
      </c>
      <c r="E949">
        <v>482</v>
      </c>
      <c r="F949" s="2" t="s">
        <v>46</v>
      </c>
      <c r="G949" s="2" t="s">
        <v>29</v>
      </c>
      <c r="H949">
        <v>0</v>
      </c>
      <c r="I949" s="2" t="s">
        <v>47</v>
      </c>
      <c r="J949" s="2" t="s">
        <v>22</v>
      </c>
      <c r="K949">
        <v>0</v>
      </c>
      <c r="L949" s="2" t="s">
        <v>1895</v>
      </c>
      <c r="M949" s="2" t="s">
        <v>1896</v>
      </c>
      <c r="N949">
        <v>45.35</v>
      </c>
      <c r="O949" s="1">
        <v>45255</v>
      </c>
      <c r="P949" s="1">
        <v>45260</v>
      </c>
      <c r="Q949" s="2" t="s">
        <v>39</v>
      </c>
      <c r="R949" s="2">
        <v>964</v>
      </c>
    </row>
    <row r="950" spans="1:18" x14ac:dyDescent="0.25">
      <c r="A950" s="1">
        <v>45720</v>
      </c>
      <c r="B950" s="2" t="s">
        <v>35</v>
      </c>
      <c r="C950" s="2" t="s">
        <v>50</v>
      </c>
      <c r="D950">
        <v>18</v>
      </c>
      <c r="E950">
        <v>382</v>
      </c>
      <c r="F950" s="2" t="s">
        <v>51</v>
      </c>
      <c r="G950" s="2" t="s">
        <v>20</v>
      </c>
      <c r="H950">
        <v>0.1</v>
      </c>
      <c r="I950" s="2" t="s">
        <v>30</v>
      </c>
      <c r="J950" s="2" t="s">
        <v>22</v>
      </c>
      <c r="K950">
        <v>0</v>
      </c>
      <c r="L950" s="2" t="s">
        <v>1897</v>
      </c>
      <c r="M950" s="2" t="s">
        <v>1898</v>
      </c>
      <c r="N950">
        <v>36.549999999999997</v>
      </c>
      <c r="O950" s="1">
        <v>45720</v>
      </c>
      <c r="P950" s="1">
        <v>45724</v>
      </c>
      <c r="Q950" s="2" t="s">
        <v>39</v>
      </c>
      <c r="R950" s="2">
        <v>6188</v>
      </c>
    </row>
    <row r="951" spans="1:18" x14ac:dyDescent="0.25">
      <c r="A951" s="1">
        <v>45709</v>
      </c>
      <c r="B951" s="2" t="s">
        <v>35</v>
      </c>
      <c r="C951" s="2" t="s">
        <v>27</v>
      </c>
      <c r="D951">
        <v>13</v>
      </c>
      <c r="E951">
        <v>136</v>
      </c>
      <c r="F951" s="2" t="s">
        <v>46</v>
      </c>
      <c r="G951" s="2" t="s">
        <v>20</v>
      </c>
      <c r="H951">
        <v>0</v>
      </c>
      <c r="I951" s="2" t="s">
        <v>42</v>
      </c>
      <c r="J951" s="2" t="s">
        <v>22</v>
      </c>
      <c r="K951">
        <v>0</v>
      </c>
      <c r="L951" s="2" t="s">
        <v>1899</v>
      </c>
      <c r="M951" s="2" t="s">
        <v>1587</v>
      </c>
      <c r="N951">
        <v>28.35</v>
      </c>
      <c r="O951" s="1">
        <v>45709</v>
      </c>
      <c r="P951" s="1">
        <v>45717</v>
      </c>
      <c r="Q951" s="2" t="s">
        <v>39</v>
      </c>
      <c r="R951" s="2">
        <v>1768</v>
      </c>
    </row>
    <row r="952" spans="1:18" x14ac:dyDescent="0.25">
      <c r="A952" s="1">
        <v>45714</v>
      </c>
      <c r="B952" s="2" t="s">
        <v>17</v>
      </c>
      <c r="C952" s="2" t="s">
        <v>36</v>
      </c>
      <c r="D952">
        <v>9</v>
      </c>
      <c r="E952">
        <v>563</v>
      </c>
      <c r="F952" s="2" t="s">
        <v>28</v>
      </c>
      <c r="G952" s="2" t="s">
        <v>20</v>
      </c>
      <c r="H952">
        <v>0</v>
      </c>
      <c r="I952" s="2" t="s">
        <v>30</v>
      </c>
      <c r="J952" s="2" t="s">
        <v>53</v>
      </c>
      <c r="K952">
        <v>0</v>
      </c>
      <c r="L952" s="2" t="s">
        <v>1900</v>
      </c>
      <c r="M952" s="2" t="s">
        <v>1901</v>
      </c>
      <c r="N952">
        <v>30.27</v>
      </c>
      <c r="O952" s="1">
        <v>45714</v>
      </c>
      <c r="P952" s="1">
        <v>45716</v>
      </c>
      <c r="Q952" s="2" t="s">
        <v>25</v>
      </c>
      <c r="R952" s="2">
        <v>5067</v>
      </c>
    </row>
    <row r="953" spans="1:18" x14ac:dyDescent="0.25">
      <c r="A953" s="1">
        <v>45380</v>
      </c>
      <c r="B953" s="2" t="s">
        <v>17</v>
      </c>
      <c r="C953" s="2" t="s">
        <v>50</v>
      </c>
      <c r="D953">
        <v>6</v>
      </c>
      <c r="E953">
        <v>509</v>
      </c>
      <c r="F953" s="2" t="s">
        <v>19</v>
      </c>
      <c r="G953" s="2" t="s">
        <v>20</v>
      </c>
      <c r="H953">
        <v>0</v>
      </c>
      <c r="I953" s="2" t="s">
        <v>30</v>
      </c>
      <c r="J953" s="2" t="s">
        <v>56</v>
      </c>
      <c r="K953">
        <v>0</v>
      </c>
      <c r="L953" s="2" t="s">
        <v>1902</v>
      </c>
      <c r="M953" s="2" t="s">
        <v>1903</v>
      </c>
      <c r="N953">
        <v>35.92</v>
      </c>
      <c r="O953" s="1">
        <v>45380</v>
      </c>
      <c r="P953" s="1">
        <v>45388</v>
      </c>
      <c r="Q953" s="2" t="s">
        <v>25</v>
      </c>
      <c r="R953" s="2">
        <v>3054</v>
      </c>
    </row>
    <row r="954" spans="1:18" x14ac:dyDescent="0.25">
      <c r="A954" s="1">
        <v>45805</v>
      </c>
      <c r="B954" s="2" t="s">
        <v>65</v>
      </c>
      <c r="C954" s="2" t="s">
        <v>36</v>
      </c>
      <c r="D954">
        <v>3</v>
      </c>
      <c r="E954">
        <v>470</v>
      </c>
      <c r="F954" s="2" t="s">
        <v>19</v>
      </c>
      <c r="G954" s="2" t="s">
        <v>20</v>
      </c>
      <c r="H954">
        <v>0</v>
      </c>
      <c r="I954" s="2" t="s">
        <v>21</v>
      </c>
      <c r="J954" s="2" t="s">
        <v>31</v>
      </c>
      <c r="K954">
        <v>0</v>
      </c>
      <c r="L954" s="2" t="s">
        <v>1904</v>
      </c>
      <c r="M954" s="2" t="s">
        <v>1905</v>
      </c>
      <c r="N954">
        <v>38.29</v>
      </c>
      <c r="O954" s="1">
        <v>45805</v>
      </c>
      <c r="P954" s="1">
        <v>45809</v>
      </c>
      <c r="Q954" s="2" t="s">
        <v>68</v>
      </c>
      <c r="R954" s="2">
        <v>1410</v>
      </c>
    </row>
    <row r="955" spans="1:18" x14ac:dyDescent="0.25">
      <c r="A955" s="1">
        <v>45436</v>
      </c>
      <c r="B955" s="2" t="s">
        <v>65</v>
      </c>
      <c r="C955" s="2" t="s">
        <v>126</v>
      </c>
      <c r="D955">
        <v>10</v>
      </c>
      <c r="E955">
        <v>281</v>
      </c>
      <c r="F955" s="2" t="s">
        <v>46</v>
      </c>
      <c r="G955" s="2" t="s">
        <v>29</v>
      </c>
      <c r="H955">
        <v>0</v>
      </c>
      <c r="I955" s="2" t="s">
        <v>30</v>
      </c>
      <c r="J955" s="2" t="s">
        <v>53</v>
      </c>
      <c r="K955">
        <v>0</v>
      </c>
      <c r="L955" s="2" t="s">
        <v>1906</v>
      </c>
      <c r="M955" s="2" t="s">
        <v>1907</v>
      </c>
      <c r="N955">
        <v>49.98</v>
      </c>
      <c r="O955" s="1">
        <v>45436</v>
      </c>
      <c r="P955" s="1">
        <v>45442</v>
      </c>
      <c r="Q955" s="2" t="s">
        <v>68</v>
      </c>
      <c r="R955" s="2">
        <v>2810</v>
      </c>
    </row>
    <row r="956" spans="1:18" x14ac:dyDescent="0.25">
      <c r="A956" s="1">
        <v>45058</v>
      </c>
      <c r="B956" s="2" t="s">
        <v>26</v>
      </c>
      <c r="C956" s="2" t="s">
        <v>41</v>
      </c>
      <c r="D956">
        <v>9</v>
      </c>
      <c r="E956">
        <v>251</v>
      </c>
      <c r="F956" s="2" t="s">
        <v>46</v>
      </c>
      <c r="G956" s="2" t="s">
        <v>29</v>
      </c>
      <c r="H956">
        <v>0.1</v>
      </c>
      <c r="I956" s="2" t="s">
        <v>42</v>
      </c>
      <c r="J956" s="2" t="s">
        <v>53</v>
      </c>
      <c r="K956">
        <v>0</v>
      </c>
      <c r="L956" s="2" t="s">
        <v>1908</v>
      </c>
      <c r="M956" s="2" t="s">
        <v>1909</v>
      </c>
      <c r="N956">
        <v>22.57</v>
      </c>
      <c r="O956" s="1">
        <v>45058</v>
      </c>
      <c r="P956" s="1">
        <v>45063</v>
      </c>
      <c r="Q956" s="2" t="s">
        <v>34</v>
      </c>
      <c r="R956" s="2">
        <v>2033</v>
      </c>
    </row>
    <row r="957" spans="1:18" x14ac:dyDescent="0.25">
      <c r="A957" s="1">
        <v>45210</v>
      </c>
      <c r="B957" s="2" t="s">
        <v>26</v>
      </c>
      <c r="C957" s="2" t="s">
        <v>27</v>
      </c>
      <c r="D957">
        <v>4</v>
      </c>
      <c r="E957">
        <v>408</v>
      </c>
      <c r="F957" s="2" t="s">
        <v>28</v>
      </c>
      <c r="G957" s="2" t="s">
        <v>29</v>
      </c>
      <c r="H957">
        <v>0.15</v>
      </c>
      <c r="I957" s="2" t="s">
        <v>30</v>
      </c>
      <c r="J957" s="2" t="s">
        <v>59</v>
      </c>
      <c r="K957">
        <v>0</v>
      </c>
      <c r="L957" s="2" t="s">
        <v>1910</v>
      </c>
      <c r="M957" s="2" t="s">
        <v>1449</v>
      </c>
      <c r="N957">
        <v>5.38</v>
      </c>
      <c r="O957" s="1">
        <v>45210</v>
      </c>
      <c r="P957" s="1">
        <v>45214</v>
      </c>
      <c r="Q957" s="2" t="s">
        <v>34</v>
      </c>
      <c r="R957" s="2">
        <v>1387</v>
      </c>
    </row>
    <row r="958" spans="1:18" x14ac:dyDescent="0.25">
      <c r="A958" s="1">
        <v>45316</v>
      </c>
      <c r="B958" s="2" t="s">
        <v>35</v>
      </c>
      <c r="C958" s="2" t="s">
        <v>126</v>
      </c>
      <c r="D958">
        <v>2</v>
      </c>
      <c r="E958">
        <v>27</v>
      </c>
      <c r="F958" s="2" t="s">
        <v>19</v>
      </c>
      <c r="G958" s="2" t="s">
        <v>29</v>
      </c>
      <c r="H958">
        <v>0.15</v>
      </c>
      <c r="I958" s="2" t="s">
        <v>42</v>
      </c>
      <c r="J958" s="2" t="s">
        <v>22</v>
      </c>
      <c r="K958">
        <v>0</v>
      </c>
      <c r="L958" s="2" t="s">
        <v>1911</v>
      </c>
      <c r="M958" s="2" t="s">
        <v>1912</v>
      </c>
      <c r="N958">
        <v>6.15</v>
      </c>
      <c r="O958" s="1">
        <v>45316</v>
      </c>
      <c r="P958" s="1">
        <v>45323</v>
      </c>
      <c r="Q958" s="2" t="s">
        <v>39</v>
      </c>
      <c r="R958" s="2">
        <v>46</v>
      </c>
    </row>
    <row r="959" spans="1:18" x14ac:dyDescent="0.25">
      <c r="A959" s="1">
        <v>44960</v>
      </c>
      <c r="B959" s="2" t="s">
        <v>17</v>
      </c>
      <c r="C959" s="2" t="s">
        <v>27</v>
      </c>
      <c r="D959">
        <v>11</v>
      </c>
      <c r="E959">
        <v>322</v>
      </c>
      <c r="F959" s="2" t="s">
        <v>28</v>
      </c>
      <c r="G959" s="2" t="s">
        <v>29</v>
      </c>
      <c r="H959">
        <v>0.1</v>
      </c>
      <c r="I959" s="2" t="s">
        <v>47</v>
      </c>
      <c r="J959" s="2" t="s">
        <v>22</v>
      </c>
      <c r="K959">
        <v>1</v>
      </c>
      <c r="L959" s="2" t="s">
        <v>1913</v>
      </c>
      <c r="M959" s="2" t="s">
        <v>1914</v>
      </c>
      <c r="N959">
        <v>17.940000000000001</v>
      </c>
      <c r="O959" s="1">
        <v>44960</v>
      </c>
      <c r="P959" s="1">
        <v>44963</v>
      </c>
      <c r="Q959" s="2" t="s">
        <v>25</v>
      </c>
      <c r="R959" s="2">
        <v>3188</v>
      </c>
    </row>
    <row r="960" spans="1:18" x14ac:dyDescent="0.25">
      <c r="A960" s="1">
        <v>45481</v>
      </c>
      <c r="B960" s="2" t="s">
        <v>35</v>
      </c>
      <c r="C960" s="2" t="s">
        <v>36</v>
      </c>
      <c r="D960">
        <v>5</v>
      </c>
      <c r="E960">
        <v>186</v>
      </c>
      <c r="F960" s="2" t="s">
        <v>28</v>
      </c>
      <c r="G960" s="2" t="s">
        <v>20</v>
      </c>
      <c r="H960">
        <v>0.1</v>
      </c>
      <c r="I960" s="2" t="s">
        <v>47</v>
      </c>
      <c r="J960" s="2" t="s">
        <v>31</v>
      </c>
      <c r="K960">
        <v>0</v>
      </c>
      <c r="L960" s="2" t="s">
        <v>1915</v>
      </c>
      <c r="M960" s="2" t="s">
        <v>300</v>
      </c>
      <c r="N960">
        <v>17.09</v>
      </c>
      <c r="O960" s="1">
        <v>45481</v>
      </c>
      <c r="P960" s="1">
        <v>45487</v>
      </c>
      <c r="Q960" s="2" t="s">
        <v>39</v>
      </c>
      <c r="R960" s="2">
        <v>837</v>
      </c>
    </row>
    <row r="961" spans="1:18" x14ac:dyDescent="0.25">
      <c r="A961" s="1">
        <v>45808</v>
      </c>
      <c r="B961" s="2" t="s">
        <v>26</v>
      </c>
      <c r="C961" s="2" t="s">
        <v>50</v>
      </c>
      <c r="D961">
        <v>3</v>
      </c>
      <c r="E961">
        <v>390</v>
      </c>
      <c r="F961" s="2" t="s">
        <v>19</v>
      </c>
      <c r="G961" s="2" t="s">
        <v>29</v>
      </c>
      <c r="H961">
        <v>0</v>
      </c>
      <c r="I961" s="2" t="s">
        <v>42</v>
      </c>
      <c r="J961" s="2" t="s">
        <v>22</v>
      </c>
      <c r="K961">
        <v>1</v>
      </c>
      <c r="L961" s="2" t="s">
        <v>1916</v>
      </c>
      <c r="M961" s="2" t="s">
        <v>1917</v>
      </c>
      <c r="N961">
        <v>45.22</v>
      </c>
      <c r="O961" s="1">
        <v>45808</v>
      </c>
      <c r="P961" s="1">
        <v>45818</v>
      </c>
      <c r="Q961" s="2" t="s">
        <v>34</v>
      </c>
      <c r="R961" s="2">
        <v>1170</v>
      </c>
    </row>
    <row r="962" spans="1:18" x14ac:dyDescent="0.25">
      <c r="A962" s="1">
        <v>45239</v>
      </c>
      <c r="B962" s="2" t="s">
        <v>26</v>
      </c>
      <c r="C962" s="2" t="s">
        <v>50</v>
      </c>
      <c r="D962">
        <v>13</v>
      </c>
      <c r="E962">
        <v>175</v>
      </c>
      <c r="F962" s="2" t="s">
        <v>28</v>
      </c>
      <c r="G962" s="2" t="s">
        <v>20</v>
      </c>
      <c r="H962">
        <v>0.15</v>
      </c>
      <c r="I962" s="2" t="s">
        <v>47</v>
      </c>
      <c r="J962" s="2" t="s">
        <v>22</v>
      </c>
      <c r="K962">
        <v>0</v>
      </c>
      <c r="L962" s="2" t="s">
        <v>1918</v>
      </c>
      <c r="M962" s="2" t="s">
        <v>1919</v>
      </c>
      <c r="N962">
        <v>31.26</v>
      </c>
      <c r="O962" s="1">
        <v>45239</v>
      </c>
      <c r="P962" s="1">
        <v>45242</v>
      </c>
      <c r="Q962" s="2" t="s">
        <v>34</v>
      </c>
      <c r="R962" s="2">
        <v>1934</v>
      </c>
    </row>
    <row r="963" spans="1:18" x14ac:dyDescent="0.25">
      <c r="A963" s="1">
        <v>45113</v>
      </c>
      <c r="B963" s="2" t="s">
        <v>35</v>
      </c>
      <c r="C963" s="2" t="s">
        <v>41</v>
      </c>
      <c r="D963">
        <v>8</v>
      </c>
      <c r="E963">
        <v>419</v>
      </c>
      <c r="F963" s="2" t="s">
        <v>28</v>
      </c>
      <c r="G963" s="2" t="s">
        <v>29</v>
      </c>
      <c r="H963">
        <v>0.1</v>
      </c>
      <c r="I963" s="2" t="s">
        <v>30</v>
      </c>
      <c r="J963" s="2" t="s">
        <v>22</v>
      </c>
      <c r="K963">
        <v>1</v>
      </c>
      <c r="L963" s="2" t="s">
        <v>1920</v>
      </c>
      <c r="M963" s="2" t="s">
        <v>1921</v>
      </c>
      <c r="N963">
        <v>11.02</v>
      </c>
      <c r="O963" s="1">
        <v>45113</v>
      </c>
      <c r="P963" s="1">
        <v>45117</v>
      </c>
      <c r="Q963" s="2" t="s">
        <v>39</v>
      </c>
      <c r="R963" s="2">
        <v>3017</v>
      </c>
    </row>
    <row r="964" spans="1:18" x14ac:dyDescent="0.25">
      <c r="A964" s="1">
        <v>45121</v>
      </c>
      <c r="B964" s="2" t="s">
        <v>35</v>
      </c>
      <c r="C964" s="2" t="s">
        <v>41</v>
      </c>
      <c r="D964">
        <v>12</v>
      </c>
      <c r="E964">
        <v>117</v>
      </c>
      <c r="F964" s="2" t="s">
        <v>51</v>
      </c>
      <c r="G964" s="2" t="s">
        <v>20</v>
      </c>
      <c r="H964">
        <v>0</v>
      </c>
      <c r="I964" s="2" t="s">
        <v>30</v>
      </c>
      <c r="J964" s="2" t="s">
        <v>31</v>
      </c>
      <c r="K964">
        <v>0</v>
      </c>
      <c r="L964" s="2" t="s">
        <v>1922</v>
      </c>
      <c r="M964" s="2" t="s">
        <v>1923</v>
      </c>
      <c r="N964">
        <v>22.04</v>
      </c>
      <c r="O964" s="1">
        <v>45121</v>
      </c>
      <c r="P964" s="1">
        <v>45129</v>
      </c>
      <c r="Q964" s="2" t="s">
        <v>39</v>
      </c>
      <c r="R964" s="2">
        <v>1404</v>
      </c>
    </row>
    <row r="965" spans="1:18" x14ac:dyDescent="0.25">
      <c r="A965" s="1">
        <v>45243</v>
      </c>
      <c r="B965" s="2" t="s">
        <v>65</v>
      </c>
      <c r="C965" s="2" t="s">
        <v>41</v>
      </c>
      <c r="D965">
        <v>11</v>
      </c>
      <c r="E965">
        <v>324</v>
      </c>
      <c r="F965" s="2" t="s">
        <v>28</v>
      </c>
      <c r="G965" s="2" t="s">
        <v>20</v>
      </c>
      <c r="H965">
        <v>0.1</v>
      </c>
      <c r="I965" s="2" t="s">
        <v>62</v>
      </c>
      <c r="J965" s="2" t="s">
        <v>31</v>
      </c>
      <c r="K965">
        <v>0</v>
      </c>
      <c r="L965" s="2" t="s">
        <v>1924</v>
      </c>
      <c r="M965" s="2" t="s">
        <v>1925</v>
      </c>
      <c r="N965">
        <v>7.52</v>
      </c>
      <c r="O965" s="1">
        <v>45243</v>
      </c>
      <c r="P965" s="1">
        <v>45245</v>
      </c>
      <c r="Q965" s="2" t="s">
        <v>68</v>
      </c>
      <c r="R965" s="2">
        <v>3208</v>
      </c>
    </row>
    <row r="966" spans="1:18" x14ac:dyDescent="0.25">
      <c r="A966" s="1">
        <v>45690</v>
      </c>
      <c r="B966" s="2" t="s">
        <v>65</v>
      </c>
      <c r="C966" s="2" t="s">
        <v>75</v>
      </c>
      <c r="D966">
        <v>11</v>
      </c>
      <c r="E966">
        <v>155</v>
      </c>
      <c r="F966" s="2" t="s">
        <v>51</v>
      </c>
      <c r="G966" s="2" t="s">
        <v>29</v>
      </c>
      <c r="H966">
        <v>0.05</v>
      </c>
      <c r="I966" s="2" t="s">
        <v>42</v>
      </c>
      <c r="J966" s="2" t="s">
        <v>59</v>
      </c>
      <c r="K966">
        <v>0</v>
      </c>
      <c r="L966" s="2" t="s">
        <v>1926</v>
      </c>
      <c r="M966" s="2" t="s">
        <v>1927</v>
      </c>
      <c r="N966">
        <v>47.01</v>
      </c>
      <c r="O966" s="1">
        <v>45690</v>
      </c>
      <c r="P966" s="1">
        <v>45700</v>
      </c>
      <c r="Q966" s="2" t="s">
        <v>68</v>
      </c>
      <c r="R966" s="2">
        <v>1620</v>
      </c>
    </row>
    <row r="967" spans="1:18" x14ac:dyDescent="0.25">
      <c r="A967" s="1">
        <v>45418</v>
      </c>
      <c r="B967" s="2" t="s">
        <v>26</v>
      </c>
      <c r="C967" s="2" t="s">
        <v>126</v>
      </c>
      <c r="D967">
        <v>20</v>
      </c>
      <c r="E967">
        <v>270</v>
      </c>
      <c r="F967" s="2" t="s">
        <v>28</v>
      </c>
      <c r="G967" s="2" t="s">
        <v>20</v>
      </c>
      <c r="H967">
        <v>0</v>
      </c>
      <c r="I967" s="2" t="s">
        <v>52</v>
      </c>
      <c r="J967" s="2" t="s">
        <v>53</v>
      </c>
      <c r="K967">
        <v>0</v>
      </c>
      <c r="L967" s="2" t="s">
        <v>1928</v>
      </c>
      <c r="M967" s="2" t="s">
        <v>1929</v>
      </c>
      <c r="N967">
        <v>6.8</v>
      </c>
      <c r="O967" s="1">
        <v>45418</v>
      </c>
      <c r="P967" s="1">
        <v>45427</v>
      </c>
      <c r="Q967" s="2" t="s">
        <v>34</v>
      </c>
      <c r="R967" s="2">
        <v>5400</v>
      </c>
    </row>
    <row r="968" spans="1:18" x14ac:dyDescent="0.25">
      <c r="A968" s="1">
        <v>45582</v>
      </c>
      <c r="B968" s="2" t="s">
        <v>26</v>
      </c>
      <c r="C968" s="2" t="s">
        <v>126</v>
      </c>
      <c r="D968">
        <v>15</v>
      </c>
      <c r="E968">
        <v>482</v>
      </c>
      <c r="F968" s="2" t="s">
        <v>51</v>
      </c>
      <c r="G968" s="2" t="s">
        <v>29</v>
      </c>
      <c r="H968">
        <v>0.1</v>
      </c>
      <c r="I968" s="2" t="s">
        <v>21</v>
      </c>
      <c r="J968" s="2" t="s">
        <v>56</v>
      </c>
      <c r="K968">
        <v>1</v>
      </c>
      <c r="L968" s="2" t="s">
        <v>1930</v>
      </c>
      <c r="M968" s="2" t="s">
        <v>1252</v>
      </c>
      <c r="N968">
        <v>13.35</v>
      </c>
      <c r="O968" s="1">
        <v>45582</v>
      </c>
      <c r="P968" s="1">
        <v>45584</v>
      </c>
      <c r="Q968" s="2" t="s">
        <v>34</v>
      </c>
      <c r="R968" s="2">
        <v>6507</v>
      </c>
    </row>
    <row r="969" spans="1:18" x14ac:dyDescent="0.25">
      <c r="A969" s="1">
        <v>45686</v>
      </c>
      <c r="B969" s="2" t="s">
        <v>35</v>
      </c>
      <c r="C969" s="2" t="s">
        <v>18</v>
      </c>
      <c r="D969">
        <v>11</v>
      </c>
      <c r="E969">
        <v>432</v>
      </c>
      <c r="F969" s="2" t="s">
        <v>46</v>
      </c>
      <c r="G969" s="2" t="s">
        <v>20</v>
      </c>
      <c r="H969">
        <v>0.1</v>
      </c>
      <c r="I969" s="2" t="s">
        <v>47</v>
      </c>
      <c r="J969" s="2" t="s">
        <v>56</v>
      </c>
      <c r="K969">
        <v>0</v>
      </c>
      <c r="L969" s="2" t="s">
        <v>1931</v>
      </c>
      <c r="M969" s="2" t="s">
        <v>1932</v>
      </c>
      <c r="N969">
        <v>22.83</v>
      </c>
      <c r="O969" s="1">
        <v>45686</v>
      </c>
      <c r="P969" s="1">
        <v>45693</v>
      </c>
      <c r="Q969" s="2" t="s">
        <v>39</v>
      </c>
      <c r="R969" s="2">
        <v>4277</v>
      </c>
    </row>
    <row r="970" spans="1:18" x14ac:dyDescent="0.25">
      <c r="A970" s="1">
        <v>45739</v>
      </c>
      <c r="B970" s="2" t="s">
        <v>40</v>
      </c>
      <c r="C970" s="2" t="s">
        <v>41</v>
      </c>
      <c r="D970">
        <v>5</v>
      </c>
      <c r="E970">
        <v>303</v>
      </c>
      <c r="F970" s="2" t="s">
        <v>51</v>
      </c>
      <c r="G970" s="2" t="s">
        <v>20</v>
      </c>
      <c r="H970">
        <v>0</v>
      </c>
      <c r="I970" s="2" t="s">
        <v>47</v>
      </c>
      <c r="J970" s="2" t="s">
        <v>31</v>
      </c>
      <c r="K970">
        <v>1</v>
      </c>
      <c r="L970" s="2" t="s">
        <v>1933</v>
      </c>
      <c r="M970" s="2" t="s">
        <v>1934</v>
      </c>
      <c r="N970">
        <v>46.69</v>
      </c>
      <c r="O970" s="1">
        <v>45739</v>
      </c>
      <c r="P970" s="1">
        <v>45745</v>
      </c>
      <c r="Q970" s="2" t="s">
        <v>45</v>
      </c>
      <c r="R970" s="2">
        <v>1515</v>
      </c>
    </row>
    <row r="971" spans="1:18" x14ac:dyDescent="0.25">
      <c r="A971" s="1">
        <v>45393</v>
      </c>
      <c r="B971" s="2" t="s">
        <v>65</v>
      </c>
      <c r="C971" s="2" t="s">
        <v>41</v>
      </c>
      <c r="D971">
        <v>19</v>
      </c>
      <c r="E971">
        <v>345</v>
      </c>
      <c r="F971" s="2" t="s">
        <v>46</v>
      </c>
      <c r="G971" s="2" t="s">
        <v>20</v>
      </c>
      <c r="H971">
        <v>0</v>
      </c>
      <c r="I971" s="2" t="s">
        <v>21</v>
      </c>
      <c r="J971" s="2" t="s">
        <v>59</v>
      </c>
      <c r="K971">
        <v>0</v>
      </c>
      <c r="L971" s="2" t="s">
        <v>1935</v>
      </c>
      <c r="M971" s="2" t="s">
        <v>1936</v>
      </c>
      <c r="N971">
        <v>6.91</v>
      </c>
      <c r="O971" s="1">
        <v>45393</v>
      </c>
      <c r="P971" s="1">
        <v>45402</v>
      </c>
      <c r="Q971" s="2" t="s">
        <v>68</v>
      </c>
      <c r="R971" s="2">
        <v>6555</v>
      </c>
    </row>
    <row r="972" spans="1:18" x14ac:dyDescent="0.25">
      <c r="A972" s="1">
        <v>45415</v>
      </c>
      <c r="B972" s="2" t="s">
        <v>40</v>
      </c>
      <c r="C972" s="2" t="s">
        <v>41</v>
      </c>
      <c r="D972">
        <v>7</v>
      </c>
      <c r="E972">
        <v>511</v>
      </c>
      <c r="F972" s="2" t="s">
        <v>46</v>
      </c>
      <c r="G972" s="2" t="s">
        <v>29</v>
      </c>
      <c r="H972">
        <v>0.1</v>
      </c>
      <c r="I972" s="2" t="s">
        <v>21</v>
      </c>
      <c r="J972" s="2" t="s">
        <v>59</v>
      </c>
      <c r="K972">
        <v>0</v>
      </c>
      <c r="L972" s="2" t="s">
        <v>1937</v>
      </c>
      <c r="M972" s="2" t="s">
        <v>1938</v>
      </c>
      <c r="N972">
        <v>19.2</v>
      </c>
      <c r="O972" s="1">
        <v>45415</v>
      </c>
      <c r="P972" s="1">
        <v>45424</v>
      </c>
      <c r="Q972" s="2" t="s">
        <v>45</v>
      </c>
      <c r="R972" s="2">
        <v>3219</v>
      </c>
    </row>
    <row r="973" spans="1:18" x14ac:dyDescent="0.25">
      <c r="A973" s="1">
        <v>45579</v>
      </c>
      <c r="B973" s="2" t="s">
        <v>17</v>
      </c>
      <c r="C973" s="2" t="s">
        <v>50</v>
      </c>
      <c r="D973">
        <v>7</v>
      </c>
      <c r="E973">
        <v>151</v>
      </c>
      <c r="F973" s="2" t="s">
        <v>28</v>
      </c>
      <c r="G973" s="2" t="s">
        <v>20</v>
      </c>
      <c r="H973">
        <v>0.15</v>
      </c>
      <c r="I973" s="2" t="s">
        <v>62</v>
      </c>
      <c r="J973" s="2" t="s">
        <v>59</v>
      </c>
      <c r="K973">
        <v>1</v>
      </c>
      <c r="L973" s="2" t="s">
        <v>1939</v>
      </c>
      <c r="M973" s="2" t="s">
        <v>1940</v>
      </c>
      <c r="N973">
        <v>15.52</v>
      </c>
      <c r="O973" s="1">
        <v>45579</v>
      </c>
      <c r="P973" s="1">
        <v>45586</v>
      </c>
      <c r="Q973" s="2" t="s">
        <v>25</v>
      </c>
      <c r="R973" s="2">
        <v>898</v>
      </c>
    </row>
    <row r="974" spans="1:18" x14ac:dyDescent="0.25">
      <c r="A974" s="1">
        <v>45330</v>
      </c>
      <c r="B974" s="2" t="s">
        <v>65</v>
      </c>
      <c r="C974" s="2" t="s">
        <v>27</v>
      </c>
      <c r="D974">
        <v>8</v>
      </c>
      <c r="E974">
        <v>158</v>
      </c>
      <c r="F974" s="2" t="s">
        <v>46</v>
      </c>
      <c r="G974" s="2" t="s">
        <v>20</v>
      </c>
      <c r="H974">
        <v>0.15</v>
      </c>
      <c r="I974" s="2" t="s">
        <v>52</v>
      </c>
      <c r="J974" s="2" t="s">
        <v>53</v>
      </c>
      <c r="K974">
        <v>0</v>
      </c>
      <c r="L974" s="2" t="s">
        <v>1941</v>
      </c>
      <c r="M974" s="2" t="s">
        <v>1942</v>
      </c>
      <c r="N974">
        <v>47.43</v>
      </c>
      <c r="O974" s="1">
        <v>45330</v>
      </c>
      <c r="P974" s="1">
        <v>45335</v>
      </c>
      <c r="Q974" s="2" t="s">
        <v>68</v>
      </c>
      <c r="R974" s="2">
        <v>1074</v>
      </c>
    </row>
    <row r="975" spans="1:18" x14ac:dyDescent="0.25">
      <c r="A975" s="1">
        <v>45056</v>
      </c>
      <c r="B975" s="2" t="s">
        <v>40</v>
      </c>
      <c r="C975" s="2" t="s">
        <v>75</v>
      </c>
      <c r="D975">
        <v>2</v>
      </c>
      <c r="E975">
        <v>536</v>
      </c>
      <c r="F975" s="2" t="s">
        <v>19</v>
      </c>
      <c r="G975" s="2" t="s">
        <v>29</v>
      </c>
      <c r="H975">
        <v>0.1</v>
      </c>
      <c r="I975" s="2" t="s">
        <v>42</v>
      </c>
      <c r="J975" s="2" t="s">
        <v>53</v>
      </c>
      <c r="K975">
        <v>0</v>
      </c>
      <c r="L975" s="2" t="s">
        <v>1943</v>
      </c>
      <c r="M975" s="2" t="s">
        <v>1944</v>
      </c>
      <c r="N975">
        <v>34.75</v>
      </c>
      <c r="O975" s="1">
        <v>45056</v>
      </c>
      <c r="P975" s="1">
        <v>45059</v>
      </c>
      <c r="Q975" s="2" t="s">
        <v>45</v>
      </c>
      <c r="R975" s="2">
        <v>965</v>
      </c>
    </row>
    <row r="976" spans="1:18" x14ac:dyDescent="0.25">
      <c r="A976" s="1">
        <v>44988</v>
      </c>
      <c r="B976" s="2" t="s">
        <v>35</v>
      </c>
      <c r="C976" s="2" t="s">
        <v>41</v>
      </c>
      <c r="D976">
        <v>16</v>
      </c>
      <c r="E976">
        <v>571</v>
      </c>
      <c r="F976" s="2" t="s">
        <v>46</v>
      </c>
      <c r="G976" s="2" t="s">
        <v>20</v>
      </c>
      <c r="H976">
        <v>0.15</v>
      </c>
      <c r="I976" s="2" t="s">
        <v>62</v>
      </c>
      <c r="J976" s="2" t="s">
        <v>31</v>
      </c>
      <c r="K976">
        <v>0</v>
      </c>
      <c r="L976" s="2" t="s">
        <v>1945</v>
      </c>
      <c r="M976" s="2" t="s">
        <v>1946</v>
      </c>
      <c r="N976">
        <v>6.13</v>
      </c>
      <c r="O976" s="1">
        <v>44988</v>
      </c>
      <c r="P976" s="1">
        <v>44997</v>
      </c>
      <c r="Q976" s="2" t="s">
        <v>39</v>
      </c>
      <c r="R976" s="2">
        <v>7766</v>
      </c>
    </row>
    <row r="977" spans="1:18" x14ac:dyDescent="0.25">
      <c r="A977" s="1">
        <v>45798</v>
      </c>
      <c r="B977" s="2" t="s">
        <v>40</v>
      </c>
      <c r="C977" s="2" t="s">
        <v>75</v>
      </c>
      <c r="D977">
        <v>12</v>
      </c>
      <c r="E977">
        <v>134</v>
      </c>
      <c r="F977" s="2" t="s">
        <v>51</v>
      </c>
      <c r="G977" s="2" t="s">
        <v>29</v>
      </c>
      <c r="H977">
        <v>0.1</v>
      </c>
      <c r="I977" s="2" t="s">
        <v>52</v>
      </c>
      <c r="J977" s="2" t="s">
        <v>31</v>
      </c>
      <c r="K977">
        <v>0</v>
      </c>
      <c r="L977" s="2" t="s">
        <v>1947</v>
      </c>
      <c r="M977" s="2" t="s">
        <v>1510</v>
      </c>
      <c r="N977">
        <v>33.979999999999997</v>
      </c>
      <c r="O977" s="1">
        <v>45798</v>
      </c>
      <c r="P977" s="1">
        <v>45804</v>
      </c>
      <c r="Q977" s="2" t="s">
        <v>45</v>
      </c>
      <c r="R977" s="2">
        <v>1447</v>
      </c>
    </row>
    <row r="978" spans="1:18" x14ac:dyDescent="0.25">
      <c r="A978" s="1">
        <v>45777</v>
      </c>
      <c r="B978" s="2" t="s">
        <v>40</v>
      </c>
      <c r="C978" s="2" t="s">
        <v>18</v>
      </c>
      <c r="D978">
        <v>5</v>
      </c>
      <c r="E978">
        <v>564</v>
      </c>
      <c r="F978" s="2" t="s">
        <v>28</v>
      </c>
      <c r="G978" s="2" t="s">
        <v>29</v>
      </c>
      <c r="H978">
        <v>0</v>
      </c>
      <c r="I978" s="2" t="s">
        <v>62</v>
      </c>
      <c r="J978" s="2" t="s">
        <v>22</v>
      </c>
      <c r="K978">
        <v>0</v>
      </c>
      <c r="L978" s="2" t="s">
        <v>1948</v>
      </c>
      <c r="M978" s="2" t="s">
        <v>1949</v>
      </c>
      <c r="N978">
        <v>29.28</v>
      </c>
      <c r="O978" s="1">
        <v>45777</v>
      </c>
      <c r="P978" s="1">
        <v>45784</v>
      </c>
      <c r="Q978" s="2" t="s">
        <v>45</v>
      </c>
      <c r="R978" s="2">
        <v>2820</v>
      </c>
    </row>
    <row r="979" spans="1:18" x14ac:dyDescent="0.25">
      <c r="A979" s="1">
        <v>45018</v>
      </c>
      <c r="B979" s="2" t="s">
        <v>35</v>
      </c>
      <c r="C979" s="2" t="s">
        <v>27</v>
      </c>
      <c r="D979">
        <v>11</v>
      </c>
      <c r="E979">
        <v>547</v>
      </c>
      <c r="F979" s="2" t="s">
        <v>51</v>
      </c>
      <c r="G979" s="2" t="s">
        <v>29</v>
      </c>
      <c r="H979">
        <v>0.15</v>
      </c>
      <c r="I979" s="2" t="s">
        <v>62</v>
      </c>
      <c r="J979" s="2" t="s">
        <v>53</v>
      </c>
      <c r="K979">
        <v>1</v>
      </c>
      <c r="L979" s="2" t="s">
        <v>1950</v>
      </c>
      <c r="M979" s="2" t="s">
        <v>1951</v>
      </c>
      <c r="N979">
        <v>24.77</v>
      </c>
      <c r="O979" s="1">
        <v>45018</v>
      </c>
      <c r="P979" s="1">
        <v>45020</v>
      </c>
      <c r="Q979" s="2" t="s">
        <v>39</v>
      </c>
      <c r="R979" s="2">
        <v>5114</v>
      </c>
    </row>
    <row r="980" spans="1:18" x14ac:dyDescent="0.25">
      <c r="A980" s="1">
        <v>45530</v>
      </c>
      <c r="B980" s="2" t="s">
        <v>35</v>
      </c>
      <c r="C980" s="2" t="s">
        <v>50</v>
      </c>
      <c r="D980">
        <v>9</v>
      </c>
      <c r="E980">
        <v>365</v>
      </c>
      <c r="F980" s="2" t="s">
        <v>46</v>
      </c>
      <c r="G980" s="2" t="s">
        <v>20</v>
      </c>
      <c r="H980">
        <v>0.05</v>
      </c>
      <c r="I980" s="2" t="s">
        <v>62</v>
      </c>
      <c r="J980" s="2" t="s">
        <v>59</v>
      </c>
      <c r="K980">
        <v>0</v>
      </c>
      <c r="L980" s="2" t="s">
        <v>1952</v>
      </c>
      <c r="M980" s="2" t="s">
        <v>616</v>
      </c>
      <c r="N980">
        <v>40.26</v>
      </c>
      <c r="O980" s="1">
        <v>45530</v>
      </c>
      <c r="P980" s="1">
        <v>45540</v>
      </c>
      <c r="Q980" s="2" t="s">
        <v>39</v>
      </c>
      <c r="R980" s="2">
        <v>3121</v>
      </c>
    </row>
    <row r="981" spans="1:18" x14ac:dyDescent="0.25">
      <c r="A981" s="1">
        <v>45240</v>
      </c>
      <c r="B981" s="2" t="s">
        <v>26</v>
      </c>
      <c r="C981" s="2" t="s">
        <v>50</v>
      </c>
      <c r="D981">
        <v>7</v>
      </c>
      <c r="E981">
        <v>368</v>
      </c>
      <c r="F981" s="2" t="s">
        <v>46</v>
      </c>
      <c r="G981" s="2" t="s">
        <v>20</v>
      </c>
      <c r="H981">
        <v>0.15</v>
      </c>
      <c r="I981" s="2" t="s">
        <v>47</v>
      </c>
      <c r="J981" s="2" t="s">
        <v>22</v>
      </c>
      <c r="K981">
        <v>0</v>
      </c>
      <c r="L981" s="2" t="s">
        <v>1953</v>
      </c>
      <c r="M981" s="2" t="s">
        <v>1954</v>
      </c>
      <c r="N981">
        <v>28.98</v>
      </c>
      <c r="O981" s="1">
        <v>45240</v>
      </c>
      <c r="P981" s="1">
        <v>45250</v>
      </c>
      <c r="Q981" s="2" t="s">
        <v>34</v>
      </c>
      <c r="R981" s="2">
        <v>2190</v>
      </c>
    </row>
    <row r="982" spans="1:18" x14ac:dyDescent="0.25">
      <c r="A982" s="1">
        <v>45684</v>
      </c>
      <c r="B982" s="2" t="s">
        <v>40</v>
      </c>
      <c r="C982" s="2" t="s">
        <v>126</v>
      </c>
      <c r="D982">
        <v>20</v>
      </c>
      <c r="E982">
        <v>537</v>
      </c>
      <c r="F982" s="2" t="s">
        <v>46</v>
      </c>
      <c r="G982" s="2" t="s">
        <v>20</v>
      </c>
      <c r="H982">
        <v>0</v>
      </c>
      <c r="I982" s="2" t="s">
        <v>42</v>
      </c>
      <c r="J982" s="2" t="s">
        <v>22</v>
      </c>
      <c r="K982">
        <v>1</v>
      </c>
      <c r="L982" s="2" t="s">
        <v>1955</v>
      </c>
      <c r="M982" s="2" t="s">
        <v>1956</v>
      </c>
      <c r="N982">
        <v>15.6</v>
      </c>
      <c r="O982" s="1">
        <v>45684</v>
      </c>
      <c r="P982" s="1">
        <v>45690</v>
      </c>
      <c r="Q982" s="2" t="s">
        <v>45</v>
      </c>
      <c r="R982" s="2">
        <v>10740</v>
      </c>
    </row>
    <row r="983" spans="1:18" x14ac:dyDescent="0.25">
      <c r="A983" s="1">
        <v>45408</v>
      </c>
      <c r="B983" s="2" t="s">
        <v>26</v>
      </c>
      <c r="C983" s="2" t="s">
        <v>27</v>
      </c>
      <c r="D983">
        <v>3</v>
      </c>
      <c r="E983">
        <v>103</v>
      </c>
      <c r="F983" s="2" t="s">
        <v>51</v>
      </c>
      <c r="G983" s="2" t="s">
        <v>20</v>
      </c>
      <c r="H983">
        <v>0</v>
      </c>
      <c r="I983" s="2" t="s">
        <v>47</v>
      </c>
      <c r="J983" s="2" t="s">
        <v>31</v>
      </c>
      <c r="K983">
        <v>1</v>
      </c>
      <c r="L983" s="2" t="s">
        <v>1957</v>
      </c>
      <c r="M983" s="2" t="s">
        <v>1958</v>
      </c>
      <c r="N983">
        <v>46.47</v>
      </c>
      <c r="O983" s="1">
        <v>45408</v>
      </c>
      <c r="P983" s="1">
        <v>45412</v>
      </c>
      <c r="Q983" s="2" t="s">
        <v>34</v>
      </c>
      <c r="R983" s="2">
        <v>309</v>
      </c>
    </row>
    <row r="984" spans="1:18" x14ac:dyDescent="0.25">
      <c r="A984" s="1">
        <v>45257</v>
      </c>
      <c r="B984" s="2" t="s">
        <v>17</v>
      </c>
      <c r="C984" s="2" t="s">
        <v>75</v>
      </c>
      <c r="D984">
        <v>9</v>
      </c>
      <c r="E984">
        <v>98</v>
      </c>
      <c r="F984" s="2" t="s">
        <v>28</v>
      </c>
      <c r="G984" s="2" t="s">
        <v>20</v>
      </c>
      <c r="H984">
        <v>0</v>
      </c>
      <c r="I984" s="2" t="s">
        <v>30</v>
      </c>
      <c r="J984" s="2" t="s">
        <v>22</v>
      </c>
      <c r="K984">
        <v>0</v>
      </c>
      <c r="L984" s="2" t="s">
        <v>1959</v>
      </c>
      <c r="M984" s="2" t="s">
        <v>1960</v>
      </c>
      <c r="N984">
        <v>48.84</v>
      </c>
      <c r="O984" s="1">
        <v>45257</v>
      </c>
      <c r="P984" s="1">
        <v>45261</v>
      </c>
      <c r="Q984" s="2" t="s">
        <v>25</v>
      </c>
      <c r="R984" s="2">
        <v>882</v>
      </c>
    </row>
    <row r="985" spans="1:18" x14ac:dyDescent="0.25">
      <c r="A985" s="1">
        <v>45015</v>
      </c>
      <c r="B985" s="2" t="s">
        <v>40</v>
      </c>
      <c r="C985" s="2" t="s">
        <v>75</v>
      </c>
      <c r="D985">
        <v>10</v>
      </c>
      <c r="E985">
        <v>339</v>
      </c>
      <c r="F985" s="2" t="s">
        <v>28</v>
      </c>
      <c r="G985" s="2" t="s">
        <v>20</v>
      </c>
      <c r="H985">
        <v>0.15</v>
      </c>
      <c r="I985" s="2" t="s">
        <v>47</v>
      </c>
      <c r="J985" s="2" t="s">
        <v>59</v>
      </c>
      <c r="K985">
        <v>1</v>
      </c>
      <c r="L985" s="2" t="s">
        <v>1961</v>
      </c>
      <c r="M985" s="2" t="s">
        <v>1962</v>
      </c>
      <c r="N985">
        <v>36.56</v>
      </c>
      <c r="O985" s="1">
        <v>45015</v>
      </c>
      <c r="P985" s="1">
        <v>45022</v>
      </c>
      <c r="Q985" s="2" t="s">
        <v>45</v>
      </c>
      <c r="R985" s="2">
        <v>2882</v>
      </c>
    </row>
    <row r="986" spans="1:18" x14ac:dyDescent="0.25">
      <c r="A986" s="1">
        <v>45355</v>
      </c>
      <c r="B986" s="2" t="s">
        <v>35</v>
      </c>
      <c r="C986" s="2" t="s">
        <v>36</v>
      </c>
      <c r="D986">
        <v>2</v>
      </c>
      <c r="E986">
        <v>239</v>
      </c>
      <c r="F986" s="2" t="s">
        <v>28</v>
      </c>
      <c r="G986" s="2" t="s">
        <v>20</v>
      </c>
      <c r="H986">
        <v>0</v>
      </c>
      <c r="I986" s="2" t="s">
        <v>62</v>
      </c>
      <c r="J986" s="2" t="s">
        <v>56</v>
      </c>
      <c r="K986">
        <v>1</v>
      </c>
      <c r="L986" s="2" t="s">
        <v>1963</v>
      </c>
      <c r="M986" s="2" t="s">
        <v>1964</v>
      </c>
      <c r="N986">
        <v>43.84</v>
      </c>
      <c r="O986" s="1">
        <v>45355</v>
      </c>
      <c r="P986" s="1">
        <v>45362</v>
      </c>
      <c r="Q986" s="2" t="s">
        <v>39</v>
      </c>
      <c r="R986" s="2">
        <v>478</v>
      </c>
    </row>
    <row r="987" spans="1:18" x14ac:dyDescent="0.25">
      <c r="A987" s="1">
        <v>45118</v>
      </c>
      <c r="B987" s="2" t="s">
        <v>26</v>
      </c>
      <c r="C987" s="2" t="s">
        <v>18</v>
      </c>
      <c r="D987">
        <v>14</v>
      </c>
      <c r="E987">
        <v>362</v>
      </c>
      <c r="F987" s="2" t="s">
        <v>46</v>
      </c>
      <c r="G987" s="2" t="s">
        <v>20</v>
      </c>
      <c r="H987">
        <v>0.1</v>
      </c>
      <c r="I987" s="2" t="s">
        <v>62</v>
      </c>
      <c r="J987" s="2" t="s">
        <v>59</v>
      </c>
      <c r="K987">
        <v>0</v>
      </c>
      <c r="L987" s="2" t="s">
        <v>1965</v>
      </c>
      <c r="M987" s="2" t="s">
        <v>1966</v>
      </c>
      <c r="N987">
        <v>36.729999999999997</v>
      </c>
      <c r="O987" s="1">
        <v>45118</v>
      </c>
      <c r="P987" s="1">
        <v>45122</v>
      </c>
      <c r="Q987" s="2" t="s">
        <v>34</v>
      </c>
      <c r="R987" s="2">
        <v>4561</v>
      </c>
    </row>
    <row r="988" spans="1:18" x14ac:dyDescent="0.25">
      <c r="A988" s="1">
        <v>45555</v>
      </c>
      <c r="B988" s="2" t="s">
        <v>65</v>
      </c>
      <c r="C988" s="2" t="s">
        <v>50</v>
      </c>
      <c r="D988">
        <v>6</v>
      </c>
      <c r="E988">
        <v>551</v>
      </c>
      <c r="F988" s="2" t="s">
        <v>51</v>
      </c>
      <c r="G988" s="2" t="s">
        <v>29</v>
      </c>
      <c r="H988">
        <v>0</v>
      </c>
      <c r="I988" s="2" t="s">
        <v>47</v>
      </c>
      <c r="J988" s="2" t="s">
        <v>31</v>
      </c>
      <c r="K988">
        <v>0</v>
      </c>
      <c r="L988" s="2" t="s">
        <v>1967</v>
      </c>
      <c r="M988" s="2" t="s">
        <v>1968</v>
      </c>
      <c r="N988">
        <v>14.67</v>
      </c>
      <c r="O988" s="1">
        <v>45555</v>
      </c>
      <c r="P988" s="1">
        <v>45564</v>
      </c>
      <c r="Q988" s="2" t="s">
        <v>68</v>
      </c>
      <c r="R988" s="2">
        <v>3306</v>
      </c>
    </row>
    <row r="989" spans="1:18" x14ac:dyDescent="0.25">
      <c r="A989" s="1">
        <v>45706</v>
      </c>
      <c r="B989" s="2" t="s">
        <v>65</v>
      </c>
      <c r="C989" s="2" t="s">
        <v>18</v>
      </c>
      <c r="D989">
        <v>1</v>
      </c>
      <c r="E989">
        <v>82</v>
      </c>
      <c r="F989" s="2" t="s">
        <v>51</v>
      </c>
      <c r="G989" s="2" t="s">
        <v>29</v>
      </c>
      <c r="H989">
        <v>0.1</v>
      </c>
      <c r="I989" s="2" t="s">
        <v>21</v>
      </c>
      <c r="J989" s="2" t="s">
        <v>53</v>
      </c>
      <c r="K989">
        <v>0</v>
      </c>
      <c r="L989" s="2" t="s">
        <v>1969</v>
      </c>
      <c r="M989" s="2" t="s">
        <v>1970</v>
      </c>
      <c r="N989">
        <v>11.11</v>
      </c>
      <c r="O989" s="1">
        <v>45706</v>
      </c>
      <c r="P989" s="1">
        <v>45712</v>
      </c>
      <c r="Q989" s="2" t="s">
        <v>68</v>
      </c>
      <c r="R989" s="2">
        <v>74</v>
      </c>
    </row>
    <row r="990" spans="1:18" x14ac:dyDescent="0.25">
      <c r="A990" s="1">
        <v>45489</v>
      </c>
      <c r="B990" s="2" t="s">
        <v>17</v>
      </c>
      <c r="C990" s="2" t="s">
        <v>75</v>
      </c>
      <c r="D990">
        <v>7</v>
      </c>
      <c r="E990">
        <v>498</v>
      </c>
      <c r="F990" s="2" t="s">
        <v>46</v>
      </c>
      <c r="G990" s="2" t="s">
        <v>20</v>
      </c>
      <c r="H990">
        <v>0.15</v>
      </c>
      <c r="I990" s="2" t="s">
        <v>47</v>
      </c>
      <c r="J990" s="2" t="s">
        <v>31</v>
      </c>
      <c r="K990">
        <v>0</v>
      </c>
      <c r="L990" s="2" t="s">
        <v>1971</v>
      </c>
      <c r="M990" s="2" t="s">
        <v>1972</v>
      </c>
      <c r="N990">
        <v>42.72</v>
      </c>
      <c r="O990" s="1">
        <v>45489</v>
      </c>
      <c r="P990" s="1">
        <v>45493</v>
      </c>
      <c r="Q990" s="2" t="s">
        <v>25</v>
      </c>
      <c r="R990" s="2">
        <v>2963</v>
      </c>
    </row>
    <row r="991" spans="1:18" x14ac:dyDescent="0.25">
      <c r="A991" s="1">
        <v>45253</v>
      </c>
      <c r="B991" s="2" t="s">
        <v>17</v>
      </c>
      <c r="C991" s="2" t="s">
        <v>41</v>
      </c>
      <c r="D991">
        <v>2</v>
      </c>
      <c r="E991">
        <v>253</v>
      </c>
      <c r="F991" s="2" t="s">
        <v>51</v>
      </c>
      <c r="G991" s="2" t="s">
        <v>29</v>
      </c>
      <c r="H991">
        <v>0.1</v>
      </c>
      <c r="I991" s="2" t="s">
        <v>42</v>
      </c>
      <c r="J991" s="2" t="s">
        <v>59</v>
      </c>
      <c r="K991">
        <v>0</v>
      </c>
      <c r="L991" s="2" t="s">
        <v>1973</v>
      </c>
      <c r="M991" s="2" t="s">
        <v>1974</v>
      </c>
      <c r="N991">
        <v>49.64</v>
      </c>
      <c r="O991" s="1">
        <v>45253</v>
      </c>
      <c r="P991" s="1">
        <v>45255</v>
      </c>
      <c r="Q991" s="2" t="s">
        <v>25</v>
      </c>
      <c r="R991" s="2">
        <v>455</v>
      </c>
    </row>
    <row r="992" spans="1:18" x14ac:dyDescent="0.25">
      <c r="A992" s="1">
        <v>45176</v>
      </c>
      <c r="B992" s="2" t="s">
        <v>26</v>
      </c>
      <c r="C992" s="2" t="s">
        <v>27</v>
      </c>
      <c r="D992">
        <v>16</v>
      </c>
      <c r="E992">
        <v>144</v>
      </c>
      <c r="F992" s="2" t="s">
        <v>51</v>
      </c>
      <c r="G992" s="2" t="s">
        <v>20</v>
      </c>
      <c r="H992">
        <v>0.1</v>
      </c>
      <c r="I992" s="2" t="s">
        <v>21</v>
      </c>
      <c r="J992" s="2" t="s">
        <v>56</v>
      </c>
      <c r="K992">
        <v>0</v>
      </c>
      <c r="L992" s="2" t="s">
        <v>1975</v>
      </c>
      <c r="M992" s="2" t="s">
        <v>1976</v>
      </c>
      <c r="N992">
        <v>7.33</v>
      </c>
      <c r="O992" s="1">
        <v>45176</v>
      </c>
      <c r="P992" s="1">
        <v>45178</v>
      </c>
      <c r="Q992" s="2" t="s">
        <v>34</v>
      </c>
      <c r="R992" s="2">
        <v>2074</v>
      </c>
    </row>
    <row r="993" spans="1:18" x14ac:dyDescent="0.25">
      <c r="A993" s="1">
        <v>45323</v>
      </c>
      <c r="B993" s="2" t="s">
        <v>65</v>
      </c>
      <c r="C993" s="2" t="s">
        <v>50</v>
      </c>
      <c r="D993">
        <v>11</v>
      </c>
      <c r="E993">
        <v>201</v>
      </c>
      <c r="F993" s="2" t="s">
        <v>46</v>
      </c>
      <c r="G993" s="2" t="s">
        <v>29</v>
      </c>
      <c r="H993">
        <v>0.15</v>
      </c>
      <c r="I993" s="2" t="s">
        <v>47</v>
      </c>
      <c r="J993" s="2" t="s">
        <v>59</v>
      </c>
      <c r="K993">
        <v>1</v>
      </c>
      <c r="L993" s="2" t="s">
        <v>1977</v>
      </c>
      <c r="M993" s="2" t="s">
        <v>1978</v>
      </c>
      <c r="N993">
        <v>48.42</v>
      </c>
      <c r="O993" s="1">
        <v>45323</v>
      </c>
      <c r="P993" s="1">
        <v>45326</v>
      </c>
      <c r="Q993" s="2" t="s">
        <v>68</v>
      </c>
      <c r="R993" s="2">
        <v>1879</v>
      </c>
    </row>
    <row r="994" spans="1:18" x14ac:dyDescent="0.25">
      <c r="A994" s="1">
        <v>45785</v>
      </c>
      <c r="B994" s="2" t="s">
        <v>26</v>
      </c>
      <c r="C994" s="2" t="s">
        <v>41</v>
      </c>
      <c r="D994">
        <v>11</v>
      </c>
      <c r="E994">
        <v>585</v>
      </c>
      <c r="F994" s="2" t="s">
        <v>51</v>
      </c>
      <c r="G994" s="2" t="s">
        <v>20</v>
      </c>
      <c r="H994">
        <v>0.1</v>
      </c>
      <c r="I994" s="2" t="s">
        <v>30</v>
      </c>
      <c r="J994" s="2" t="s">
        <v>53</v>
      </c>
      <c r="K994">
        <v>0</v>
      </c>
      <c r="L994" s="2" t="s">
        <v>1979</v>
      </c>
      <c r="M994" s="2" t="s">
        <v>1980</v>
      </c>
      <c r="N994">
        <v>36.590000000000003</v>
      </c>
      <c r="O994" s="1">
        <v>45785</v>
      </c>
      <c r="P994" s="1">
        <v>45789</v>
      </c>
      <c r="Q994" s="2" t="s">
        <v>34</v>
      </c>
      <c r="R994" s="2">
        <v>5792</v>
      </c>
    </row>
    <row r="995" spans="1:18" x14ac:dyDescent="0.25">
      <c r="A995" s="1">
        <v>45674</v>
      </c>
      <c r="B995" s="2" t="s">
        <v>35</v>
      </c>
      <c r="C995" s="2" t="s">
        <v>18</v>
      </c>
      <c r="D995">
        <v>3</v>
      </c>
      <c r="E995">
        <v>449</v>
      </c>
      <c r="F995" s="2" t="s">
        <v>28</v>
      </c>
      <c r="G995" s="2" t="s">
        <v>29</v>
      </c>
      <c r="H995">
        <v>0</v>
      </c>
      <c r="I995" s="2" t="s">
        <v>30</v>
      </c>
      <c r="J995" s="2" t="s">
        <v>22</v>
      </c>
      <c r="K995">
        <v>0</v>
      </c>
      <c r="L995" s="2" t="s">
        <v>1981</v>
      </c>
      <c r="M995" s="2" t="s">
        <v>1240</v>
      </c>
      <c r="N995">
        <v>28.5</v>
      </c>
      <c r="O995" s="1">
        <v>45674</v>
      </c>
      <c r="P995" s="1">
        <v>45681</v>
      </c>
      <c r="Q995" s="2" t="s">
        <v>39</v>
      </c>
      <c r="R995" s="2">
        <v>1347</v>
      </c>
    </row>
    <row r="996" spans="1:18" x14ac:dyDescent="0.25">
      <c r="A996" s="1">
        <v>45171</v>
      </c>
      <c r="B996" s="2" t="s">
        <v>17</v>
      </c>
      <c r="C996" s="2" t="s">
        <v>50</v>
      </c>
      <c r="D996">
        <v>9</v>
      </c>
      <c r="E996">
        <v>184</v>
      </c>
      <c r="F996" s="2" t="s">
        <v>51</v>
      </c>
      <c r="G996" s="2" t="s">
        <v>20</v>
      </c>
      <c r="H996">
        <v>0</v>
      </c>
      <c r="I996" s="2" t="s">
        <v>47</v>
      </c>
      <c r="J996" s="2" t="s">
        <v>22</v>
      </c>
      <c r="K996">
        <v>0</v>
      </c>
      <c r="L996" s="2" t="s">
        <v>1982</v>
      </c>
      <c r="M996" s="2" t="s">
        <v>1983</v>
      </c>
      <c r="N996">
        <v>30.78</v>
      </c>
      <c r="O996" s="1">
        <v>45171</v>
      </c>
      <c r="P996" s="1">
        <v>45177</v>
      </c>
      <c r="Q996" s="2" t="s">
        <v>25</v>
      </c>
      <c r="R996" s="2">
        <v>1656</v>
      </c>
    </row>
    <row r="997" spans="1:18" x14ac:dyDescent="0.25">
      <c r="A997" s="1">
        <v>45100</v>
      </c>
      <c r="B997" s="2" t="s">
        <v>40</v>
      </c>
      <c r="C997" s="2" t="s">
        <v>18</v>
      </c>
      <c r="D997">
        <v>16</v>
      </c>
      <c r="E997">
        <v>594</v>
      </c>
      <c r="F997" s="2" t="s">
        <v>51</v>
      </c>
      <c r="G997" s="2" t="s">
        <v>29</v>
      </c>
      <c r="H997">
        <v>0</v>
      </c>
      <c r="I997" s="2" t="s">
        <v>62</v>
      </c>
      <c r="J997" s="2" t="s">
        <v>31</v>
      </c>
      <c r="K997">
        <v>0</v>
      </c>
      <c r="L997" s="2" t="s">
        <v>1984</v>
      </c>
      <c r="M997" s="2" t="s">
        <v>1985</v>
      </c>
      <c r="N997">
        <v>18.2</v>
      </c>
      <c r="O997" s="1">
        <v>45100</v>
      </c>
      <c r="P997" s="1">
        <v>45108</v>
      </c>
      <c r="Q997" s="2" t="s">
        <v>45</v>
      </c>
      <c r="R997" s="2">
        <v>9504</v>
      </c>
    </row>
    <row r="998" spans="1:18" x14ac:dyDescent="0.25">
      <c r="A998" s="1">
        <v>45311</v>
      </c>
      <c r="B998" s="2" t="s">
        <v>17</v>
      </c>
      <c r="C998" s="2" t="s">
        <v>18</v>
      </c>
      <c r="D998">
        <v>19</v>
      </c>
      <c r="E998">
        <v>482</v>
      </c>
      <c r="F998" s="2" t="s">
        <v>19</v>
      </c>
      <c r="G998" s="2" t="s">
        <v>20</v>
      </c>
      <c r="H998">
        <v>0.1</v>
      </c>
      <c r="I998" s="2" t="s">
        <v>62</v>
      </c>
      <c r="J998" s="2" t="s">
        <v>53</v>
      </c>
      <c r="K998">
        <v>0</v>
      </c>
      <c r="L998" s="2" t="s">
        <v>1986</v>
      </c>
      <c r="M998" s="2" t="s">
        <v>1987</v>
      </c>
      <c r="N998">
        <v>25.96</v>
      </c>
      <c r="O998" s="1">
        <v>45311</v>
      </c>
      <c r="P998" s="1">
        <v>45317</v>
      </c>
      <c r="Q998" s="2" t="s">
        <v>25</v>
      </c>
      <c r="R998" s="2">
        <v>8242</v>
      </c>
    </row>
    <row r="999" spans="1:18" x14ac:dyDescent="0.25">
      <c r="A999" s="1">
        <v>45469</v>
      </c>
      <c r="B999" s="2" t="s">
        <v>17</v>
      </c>
      <c r="C999" s="2" t="s">
        <v>41</v>
      </c>
      <c r="D999">
        <v>20</v>
      </c>
      <c r="E999">
        <v>75</v>
      </c>
      <c r="F999" s="2" t="s">
        <v>19</v>
      </c>
      <c r="G999" s="2" t="s">
        <v>20</v>
      </c>
      <c r="H999">
        <v>0.05</v>
      </c>
      <c r="I999" s="2" t="s">
        <v>21</v>
      </c>
      <c r="J999" s="2" t="s">
        <v>53</v>
      </c>
      <c r="K999">
        <v>0</v>
      </c>
      <c r="L999" s="2" t="s">
        <v>1988</v>
      </c>
      <c r="M999" s="2" t="s">
        <v>270</v>
      </c>
      <c r="N999">
        <v>44.77</v>
      </c>
      <c r="O999" s="1">
        <v>45469</v>
      </c>
      <c r="P999" s="1">
        <v>45479</v>
      </c>
      <c r="Q999" s="2" t="s">
        <v>25</v>
      </c>
      <c r="R999" s="2">
        <v>1425</v>
      </c>
    </row>
    <row r="1000" spans="1:18" x14ac:dyDescent="0.25">
      <c r="A1000" s="1">
        <v>45638</v>
      </c>
      <c r="B1000" s="2" t="s">
        <v>40</v>
      </c>
      <c r="C1000" s="2" t="s">
        <v>50</v>
      </c>
      <c r="D1000">
        <v>2</v>
      </c>
      <c r="E1000">
        <v>494</v>
      </c>
      <c r="F1000" s="2" t="s">
        <v>46</v>
      </c>
      <c r="G1000" s="2" t="s">
        <v>29</v>
      </c>
      <c r="H1000">
        <v>0.1</v>
      </c>
      <c r="I1000" s="2" t="s">
        <v>47</v>
      </c>
      <c r="J1000" s="2" t="s">
        <v>31</v>
      </c>
      <c r="K1000">
        <v>0</v>
      </c>
      <c r="L1000" s="2" t="s">
        <v>1989</v>
      </c>
      <c r="M1000" s="2" t="s">
        <v>1990</v>
      </c>
      <c r="N1000">
        <v>13.45</v>
      </c>
      <c r="O1000" s="1">
        <v>45638</v>
      </c>
      <c r="P1000" s="1">
        <v>45643</v>
      </c>
      <c r="Q1000" s="2" t="s">
        <v>45</v>
      </c>
      <c r="R1000" s="2">
        <v>889</v>
      </c>
    </row>
    <row r="1001" spans="1:18" x14ac:dyDescent="0.25">
      <c r="A1001" s="1">
        <v>45343</v>
      </c>
      <c r="B1001" s="2" t="s">
        <v>17</v>
      </c>
      <c r="C1001" s="2" t="s">
        <v>18</v>
      </c>
      <c r="D1001">
        <v>15</v>
      </c>
      <c r="E1001">
        <v>113</v>
      </c>
      <c r="F1001" s="2" t="s">
        <v>19</v>
      </c>
      <c r="G1001" s="2" t="s">
        <v>20</v>
      </c>
      <c r="H1001">
        <v>0.05</v>
      </c>
      <c r="I1001" s="2" t="s">
        <v>42</v>
      </c>
      <c r="J1001" s="2" t="s">
        <v>53</v>
      </c>
      <c r="K1001">
        <v>0</v>
      </c>
      <c r="L1001" s="2" t="s">
        <v>1991</v>
      </c>
      <c r="M1001" s="2" t="s">
        <v>1992</v>
      </c>
      <c r="N1001">
        <v>18.21</v>
      </c>
      <c r="O1001" s="1">
        <v>45343</v>
      </c>
      <c r="P1001" s="1">
        <v>45352</v>
      </c>
      <c r="Q1001" s="2" t="s">
        <v>25</v>
      </c>
      <c r="R1001" s="2">
        <v>1610</v>
      </c>
    </row>
    <row r="1002" spans="1:18" x14ac:dyDescent="0.25">
      <c r="A1002" s="1">
        <v>45125</v>
      </c>
      <c r="B1002" s="2" t="s">
        <v>17</v>
      </c>
      <c r="C1002" s="2" t="s">
        <v>36</v>
      </c>
      <c r="D1002">
        <v>3</v>
      </c>
      <c r="E1002">
        <v>122</v>
      </c>
      <c r="F1002" s="2" t="s">
        <v>51</v>
      </c>
      <c r="G1002" s="2" t="s">
        <v>20</v>
      </c>
      <c r="H1002">
        <v>0</v>
      </c>
      <c r="I1002" s="2" t="s">
        <v>21</v>
      </c>
      <c r="J1002" s="2" t="s">
        <v>56</v>
      </c>
      <c r="K1002">
        <v>0</v>
      </c>
      <c r="L1002" s="2" t="s">
        <v>1993</v>
      </c>
      <c r="M1002" s="2" t="s">
        <v>1994</v>
      </c>
      <c r="N1002">
        <v>29.06</v>
      </c>
      <c r="O1002" s="1">
        <v>45125</v>
      </c>
      <c r="P1002" s="1">
        <v>45132</v>
      </c>
      <c r="Q1002" s="2" t="s">
        <v>25</v>
      </c>
      <c r="R1002" s="2">
        <v>366</v>
      </c>
    </row>
    <row r="1003" spans="1:18" x14ac:dyDescent="0.25">
      <c r="A1003" s="1">
        <v>45567</v>
      </c>
      <c r="B1003" s="2" t="s">
        <v>35</v>
      </c>
      <c r="C1003" s="2" t="s">
        <v>36</v>
      </c>
      <c r="D1003">
        <v>12</v>
      </c>
      <c r="E1003">
        <v>466</v>
      </c>
      <c r="F1003" s="2" t="s">
        <v>51</v>
      </c>
      <c r="G1003" s="2" t="s">
        <v>20</v>
      </c>
      <c r="H1003">
        <v>0</v>
      </c>
      <c r="I1003" s="2" t="s">
        <v>30</v>
      </c>
      <c r="J1003" s="2" t="s">
        <v>53</v>
      </c>
      <c r="K1003">
        <v>0</v>
      </c>
      <c r="L1003" s="2" t="s">
        <v>1995</v>
      </c>
      <c r="M1003" s="2" t="s">
        <v>1996</v>
      </c>
      <c r="N1003">
        <v>34.159999999999997</v>
      </c>
      <c r="O1003" s="1">
        <v>45567</v>
      </c>
      <c r="P1003" s="1">
        <v>45571</v>
      </c>
      <c r="Q1003" s="2" t="s">
        <v>39</v>
      </c>
      <c r="R1003" s="2">
        <v>5592</v>
      </c>
    </row>
    <row r="1004" spans="1:18" x14ac:dyDescent="0.25">
      <c r="A1004" s="1">
        <v>45627</v>
      </c>
      <c r="B1004" s="2" t="s">
        <v>65</v>
      </c>
      <c r="C1004" s="2" t="s">
        <v>27</v>
      </c>
      <c r="D1004">
        <v>12</v>
      </c>
      <c r="E1004">
        <v>188</v>
      </c>
      <c r="F1004" s="2" t="s">
        <v>51</v>
      </c>
      <c r="G1004" s="2" t="s">
        <v>20</v>
      </c>
      <c r="H1004">
        <v>0.15</v>
      </c>
      <c r="I1004" s="2" t="s">
        <v>52</v>
      </c>
      <c r="J1004" s="2" t="s">
        <v>22</v>
      </c>
      <c r="K1004">
        <v>0</v>
      </c>
      <c r="L1004" s="2" t="s">
        <v>1997</v>
      </c>
      <c r="M1004" s="2" t="s">
        <v>1998</v>
      </c>
      <c r="N1004">
        <v>17.739999999999998</v>
      </c>
      <c r="O1004" s="1">
        <v>45627</v>
      </c>
      <c r="P1004" s="1">
        <v>45630</v>
      </c>
      <c r="Q1004" s="2" t="s">
        <v>68</v>
      </c>
      <c r="R1004" s="2">
        <v>1918</v>
      </c>
    </row>
    <row r="1005" spans="1:18" x14ac:dyDescent="0.25">
      <c r="A1005" s="1">
        <v>45538</v>
      </c>
      <c r="B1005" s="2" t="s">
        <v>17</v>
      </c>
      <c r="C1005" s="2" t="s">
        <v>36</v>
      </c>
      <c r="D1005">
        <v>1</v>
      </c>
      <c r="E1005">
        <v>561</v>
      </c>
      <c r="F1005" s="2" t="s">
        <v>51</v>
      </c>
      <c r="G1005" s="2" t="s">
        <v>29</v>
      </c>
      <c r="H1005">
        <v>0.15</v>
      </c>
      <c r="I1005" s="2" t="s">
        <v>42</v>
      </c>
      <c r="J1005" s="2" t="s">
        <v>31</v>
      </c>
      <c r="K1005">
        <v>0</v>
      </c>
      <c r="L1005" s="2" t="s">
        <v>1999</v>
      </c>
      <c r="M1005" s="2" t="s">
        <v>2000</v>
      </c>
      <c r="N1005">
        <v>5.19</v>
      </c>
      <c r="O1005" s="1">
        <v>45538</v>
      </c>
      <c r="P1005" s="1">
        <v>45547</v>
      </c>
      <c r="Q1005" s="2" t="s">
        <v>25</v>
      </c>
      <c r="R1005" s="2">
        <v>477</v>
      </c>
    </row>
    <row r="1006" spans="1:18" x14ac:dyDescent="0.25">
      <c r="A1006" s="1">
        <v>45710</v>
      </c>
      <c r="B1006" s="2" t="s">
        <v>65</v>
      </c>
      <c r="C1006" s="2" t="s">
        <v>126</v>
      </c>
      <c r="D1006">
        <v>7</v>
      </c>
      <c r="E1006">
        <v>178</v>
      </c>
      <c r="F1006" s="2" t="s">
        <v>46</v>
      </c>
      <c r="G1006" s="2" t="s">
        <v>29</v>
      </c>
      <c r="H1006">
        <v>0.15</v>
      </c>
      <c r="I1006" s="2" t="s">
        <v>62</v>
      </c>
      <c r="J1006" s="2" t="s">
        <v>22</v>
      </c>
      <c r="K1006">
        <v>0</v>
      </c>
      <c r="L1006" s="2" t="s">
        <v>2001</v>
      </c>
      <c r="M1006" s="2" t="s">
        <v>2002</v>
      </c>
      <c r="N1006">
        <v>44.91</v>
      </c>
      <c r="O1006" s="1">
        <v>45710</v>
      </c>
      <c r="P1006" s="1">
        <v>45717</v>
      </c>
      <c r="Q1006" s="2" t="s">
        <v>68</v>
      </c>
      <c r="R1006" s="2">
        <v>1059</v>
      </c>
    </row>
    <row r="1007" spans="1:18" x14ac:dyDescent="0.25">
      <c r="A1007" s="1">
        <v>45788</v>
      </c>
      <c r="B1007" s="2" t="s">
        <v>65</v>
      </c>
      <c r="C1007" s="2" t="s">
        <v>50</v>
      </c>
      <c r="D1007">
        <v>20</v>
      </c>
      <c r="E1007">
        <v>553</v>
      </c>
      <c r="F1007" s="2" t="s">
        <v>51</v>
      </c>
      <c r="G1007" s="2" t="s">
        <v>29</v>
      </c>
      <c r="H1007">
        <v>0.15</v>
      </c>
      <c r="I1007" s="2" t="s">
        <v>21</v>
      </c>
      <c r="J1007" s="2" t="s">
        <v>22</v>
      </c>
      <c r="K1007">
        <v>1</v>
      </c>
      <c r="L1007" s="2" t="s">
        <v>2003</v>
      </c>
      <c r="M1007" s="2" t="s">
        <v>2004</v>
      </c>
      <c r="N1007">
        <v>20.5</v>
      </c>
      <c r="O1007" s="1">
        <v>45788</v>
      </c>
      <c r="P1007" s="1">
        <v>45790</v>
      </c>
      <c r="Q1007" s="2" t="s">
        <v>68</v>
      </c>
      <c r="R1007" s="2">
        <v>9401</v>
      </c>
    </row>
    <row r="1008" spans="1:18" x14ac:dyDescent="0.25">
      <c r="A1008" s="1">
        <v>45646</v>
      </c>
      <c r="B1008" s="2" t="s">
        <v>40</v>
      </c>
      <c r="C1008" s="2" t="s">
        <v>75</v>
      </c>
      <c r="D1008">
        <v>2</v>
      </c>
      <c r="E1008">
        <v>458</v>
      </c>
      <c r="F1008" s="2" t="s">
        <v>19</v>
      </c>
      <c r="G1008" s="2" t="s">
        <v>20</v>
      </c>
      <c r="H1008">
        <v>0</v>
      </c>
      <c r="I1008" s="2" t="s">
        <v>21</v>
      </c>
      <c r="J1008" s="2" t="s">
        <v>31</v>
      </c>
      <c r="K1008">
        <v>0</v>
      </c>
      <c r="L1008" s="2" t="s">
        <v>2005</v>
      </c>
      <c r="M1008" s="2" t="s">
        <v>2006</v>
      </c>
      <c r="N1008">
        <v>25.94</v>
      </c>
      <c r="O1008" s="1">
        <v>45646</v>
      </c>
      <c r="P1008" s="1">
        <v>45655</v>
      </c>
      <c r="Q1008" s="2" t="s">
        <v>45</v>
      </c>
      <c r="R1008" s="2">
        <v>916</v>
      </c>
    </row>
    <row r="1009" spans="1:18" x14ac:dyDescent="0.25">
      <c r="A1009" s="1">
        <v>45034</v>
      </c>
      <c r="B1009" s="2" t="s">
        <v>17</v>
      </c>
      <c r="C1009" s="2" t="s">
        <v>18</v>
      </c>
      <c r="D1009">
        <v>2</v>
      </c>
      <c r="E1009">
        <v>129</v>
      </c>
      <c r="F1009" s="2" t="s">
        <v>51</v>
      </c>
      <c r="G1009" s="2" t="s">
        <v>29</v>
      </c>
      <c r="H1009">
        <v>0.05</v>
      </c>
      <c r="I1009" s="2" t="s">
        <v>30</v>
      </c>
      <c r="J1009" s="2" t="s">
        <v>56</v>
      </c>
      <c r="K1009">
        <v>0</v>
      </c>
      <c r="L1009" s="2" t="s">
        <v>2007</v>
      </c>
      <c r="M1009" s="2" t="s">
        <v>2008</v>
      </c>
      <c r="N1009">
        <v>6.91</v>
      </c>
      <c r="O1009" s="1">
        <v>45034</v>
      </c>
      <c r="P1009" s="1">
        <v>45037</v>
      </c>
      <c r="Q1009" s="2" t="s">
        <v>25</v>
      </c>
      <c r="R1009" s="2">
        <v>245</v>
      </c>
    </row>
    <row r="1010" spans="1:18" x14ac:dyDescent="0.25">
      <c r="A1010" s="1">
        <v>45533</v>
      </c>
      <c r="B1010" s="2" t="s">
        <v>17</v>
      </c>
      <c r="C1010" s="2" t="s">
        <v>126</v>
      </c>
      <c r="D1010">
        <v>19</v>
      </c>
      <c r="E1010">
        <v>448</v>
      </c>
      <c r="F1010" s="2" t="s">
        <v>46</v>
      </c>
      <c r="G1010" s="2" t="s">
        <v>20</v>
      </c>
      <c r="H1010">
        <v>0.1</v>
      </c>
      <c r="I1010" s="2" t="s">
        <v>30</v>
      </c>
      <c r="J1010" s="2" t="s">
        <v>56</v>
      </c>
      <c r="K1010">
        <v>0</v>
      </c>
      <c r="L1010" s="2" t="s">
        <v>2009</v>
      </c>
      <c r="M1010" s="2" t="s">
        <v>972</v>
      </c>
      <c r="N1010">
        <v>30.71</v>
      </c>
      <c r="O1010" s="1">
        <v>45533</v>
      </c>
      <c r="P1010" s="1">
        <v>45538</v>
      </c>
      <c r="Q1010" s="2" t="s">
        <v>25</v>
      </c>
      <c r="R1010" s="2">
        <v>7661</v>
      </c>
    </row>
    <row r="1011" spans="1:18" x14ac:dyDescent="0.25">
      <c r="A1011" s="1">
        <v>45172</v>
      </c>
      <c r="B1011" s="2" t="s">
        <v>35</v>
      </c>
      <c r="C1011" s="2" t="s">
        <v>36</v>
      </c>
      <c r="D1011">
        <v>16</v>
      </c>
      <c r="E1011">
        <v>440</v>
      </c>
      <c r="F1011" s="2" t="s">
        <v>19</v>
      </c>
      <c r="G1011" s="2" t="s">
        <v>29</v>
      </c>
      <c r="H1011">
        <v>0.05</v>
      </c>
      <c r="I1011" s="2" t="s">
        <v>42</v>
      </c>
      <c r="J1011" s="2" t="s">
        <v>59</v>
      </c>
      <c r="K1011">
        <v>1</v>
      </c>
      <c r="L1011" s="2" t="s">
        <v>2010</v>
      </c>
      <c r="M1011" s="2" t="s">
        <v>2011</v>
      </c>
      <c r="N1011">
        <v>26.87</v>
      </c>
      <c r="O1011" s="1">
        <v>45172</v>
      </c>
      <c r="P1011" s="1">
        <v>45179</v>
      </c>
      <c r="Q1011" s="2" t="s">
        <v>39</v>
      </c>
      <c r="R1011" s="2">
        <v>6688</v>
      </c>
    </row>
    <row r="1012" spans="1:18" x14ac:dyDescent="0.25">
      <c r="A1012" s="1">
        <v>45796</v>
      </c>
      <c r="B1012" s="2" t="s">
        <v>17</v>
      </c>
      <c r="C1012" s="2" t="s">
        <v>18</v>
      </c>
      <c r="D1012">
        <v>8</v>
      </c>
      <c r="E1012">
        <v>263</v>
      </c>
      <c r="F1012" s="2" t="s">
        <v>46</v>
      </c>
      <c r="G1012" s="2" t="s">
        <v>20</v>
      </c>
      <c r="H1012">
        <v>0</v>
      </c>
      <c r="I1012" s="2" t="s">
        <v>30</v>
      </c>
      <c r="J1012" s="2" t="s">
        <v>59</v>
      </c>
      <c r="K1012">
        <v>1</v>
      </c>
      <c r="L1012" s="2" t="s">
        <v>2012</v>
      </c>
      <c r="M1012" s="2" t="s">
        <v>2013</v>
      </c>
      <c r="N1012">
        <v>36.729999999999997</v>
      </c>
      <c r="O1012" s="1">
        <v>45796</v>
      </c>
      <c r="P1012" s="1">
        <v>45801</v>
      </c>
      <c r="Q1012" s="2" t="s">
        <v>25</v>
      </c>
      <c r="R1012" s="2">
        <v>2104</v>
      </c>
    </row>
    <row r="1013" spans="1:18" x14ac:dyDescent="0.25">
      <c r="A1013" s="1">
        <v>45095</v>
      </c>
      <c r="B1013" s="2" t="s">
        <v>17</v>
      </c>
      <c r="C1013" s="2" t="s">
        <v>75</v>
      </c>
      <c r="D1013">
        <v>15</v>
      </c>
      <c r="E1013">
        <v>125</v>
      </c>
      <c r="F1013" s="2" t="s">
        <v>28</v>
      </c>
      <c r="G1013" s="2" t="s">
        <v>20</v>
      </c>
      <c r="H1013">
        <v>0.1</v>
      </c>
      <c r="I1013" s="2" t="s">
        <v>21</v>
      </c>
      <c r="J1013" s="2" t="s">
        <v>31</v>
      </c>
      <c r="K1013">
        <v>0</v>
      </c>
      <c r="L1013" s="2" t="s">
        <v>2014</v>
      </c>
      <c r="M1013" s="2" t="s">
        <v>2015</v>
      </c>
      <c r="N1013">
        <v>31.95</v>
      </c>
      <c r="O1013" s="1">
        <v>45095</v>
      </c>
      <c r="P1013" s="1">
        <v>45103</v>
      </c>
      <c r="Q1013" s="2" t="s">
        <v>25</v>
      </c>
      <c r="R1013" s="2">
        <v>1688</v>
      </c>
    </row>
    <row r="1014" spans="1:18" x14ac:dyDescent="0.25">
      <c r="A1014" s="1">
        <v>45826</v>
      </c>
      <c r="B1014" s="2" t="s">
        <v>65</v>
      </c>
      <c r="C1014" s="2" t="s">
        <v>50</v>
      </c>
      <c r="D1014">
        <v>9</v>
      </c>
      <c r="E1014">
        <v>391</v>
      </c>
      <c r="F1014" s="2" t="s">
        <v>51</v>
      </c>
      <c r="G1014" s="2" t="s">
        <v>20</v>
      </c>
      <c r="H1014">
        <v>0.1</v>
      </c>
      <c r="I1014" s="2" t="s">
        <v>21</v>
      </c>
      <c r="J1014" s="2" t="s">
        <v>56</v>
      </c>
      <c r="K1014">
        <v>0</v>
      </c>
      <c r="L1014" s="2" t="s">
        <v>2016</v>
      </c>
      <c r="M1014" s="2" t="s">
        <v>2017</v>
      </c>
      <c r="N1014">
        <v>46.76</v>
      </c>
      <c r="O1014" s="1">
        <v>45826</v>
      </c>
      <c r="P1014" s="1">
        <v>45830</v>
      </c>
      <c r="Q1014" s="2" t="s">
        <v>68</v>
      </c>
      <c r="R1014" s="2">
        <v>3167</v>
      </c>
    </row>
    <row r="1015" spans="1:18" x14ac:dyDescent="0.25">
      <c r="A1015" s="1">
        <v>45564</v>
      </c>
      <c r="B1015" s="2" t="s">
        <v>26</v>
      </c>
      <c r="C1015" s="2" t="s">
        <v>18</v>
      </c>
      <c r="D1015">
        <v>12</v>
      </c>
      <c r="E1015">
        <v>204</v>
      </c>
      <c r="F1015" s="2" t="s">
        <v>46</v>
      </c>
      <c r="G1015" s="2" t="s">
        <v>29</v>
      </c>
      <c r="H1015">
        <v>0.05</v>
      </c>
      <c r="I1015" s="2" t="s">
        <v>30</v>
      </c>
      <c r="J1015" s="2" t="s">
        <v>56</v>
      </c>
      <c r="K1015">
        <v>1</v>
      </c>
      <c r="L1015" s="2" t="s">
        <v>2018</v>
      </c>
      <c r="M1015" s="2" t="s">
        <v>2019</v>
      </c>
      <c r="N1015">
        <v>26.4</v>
      </c>
      <c r="O1015" s="1">
        <v>45564</v>
      </c>
      <c r="P1015" s="1">
        <v>45572</v>
      </c>
      <c r="Q1015" s="2" t="s">
        <v>34</v>
      </c>
      <c r="R1015" s="2">
        <v>2326</v>
      </c>
    </row>
    <row r="1016" spans="1:18" x14ac:dyDescent="0.25">
      <c r="A1016" s="1">
        <v>45347</v>
      </c>
      <c r="B1016" s="2" t="s">
        <v>17</v>
      </c>
      <c r="C1016" s="2" t="s">
        <v>18</v>
      </c>
      <c r="D1016">
        <v>20</v>
      </c>
      <c r="E1016">
        <v>14</v>
      </c>
      <c r="F1016" s="2" t="s">
        <v>46</v>
      </c>
      <c r="G1016" s="2" t="s">
        <v>29</v>
      </c>
      <c r="H1016">
        <v>0.15</v>
      </c>
      <c r="I1016" s="2" t="s">
        <v>42</v>
      </c>
      <c r="J1016" s="2" t="s">
        <v>53</v>
      </c>
      <c r="K1016">
        <v>0</v>
      </c>
      <c r="L1016" s="2" t="s">
        <v>2020</v>
      </c>
      <c r="M1016" s="2" t="s">
        <v>2021</v>
      </c>
      <c r="N1016">
        <v>33.6</v>
      </c>
      <c r="O1016" s="1">
        <v>45347</v>
      </c>
      <c r="P1016" s="1">
        <v>45355</v>
      </c>
      <c r="Q1016" s="2" t="s">
        <v>25</v>
      </c>
      <c r="R1016" s="2">
        <v>238</v>
      </c>
    </row>
    <row r="1017" spans="1:18" x14ac:dyDescent="0.25">
      <c r="A1017" s="1">
        <v>45372</v>
      </c>
      <c r="B1017" s="2" t="s">
        <v>35</v>
      </c>
      <c r="C1017" s="2" t="s">
        <v>126</v>
      </c>
      <c r="D1017">
        <v>14</v>
      </c>
      <c r="E1017">
        <v>525</v>
      </c>
      <c r="F1017" s="2" t="s">
        <v>46</v>
      </c>
      <c r="G1017" s="2" t="s">
        <v>20</v>
      </c>
      <c r="H1017">
        <v>0.05</v>
      </c>
      <c r="I1017" s="2" t="s">
        <v>30</v>
      </c>
      <c r="J1017" s="2" t="s">
        <v>59</v>
      </c>
      <c r="K1017">
        <v>1</v>
      </c>
      <c r="L1017" s="2" t="s">
        <v>2022</v>
      </c>
      <c r="M1017" s="2" t="s">
        <v>2023</v>
      </c>
      <c r="N1017">
        <v>20.23</v>
      </c>
      <c r="O1017" s="1">
        <v>45372</v>
      </c>
      <c r="P1017" s="1">
        <v>45381</v>
      </c>
      <c r="Q1017" s="2" t="s">
        <v>39</v>
      </c>
      <c r="R1017" s="2">
        <v>6982</v>
      </c>
    </row>
    <row r="1018" spans="1:18" x14ac:dyDescent="0.25">
      <c r="A1018" s="1">
        <v>45325</v>
      </c>
      <c r="B1018" s="2" t="s">
        <v>35</v>
      </c>
      <c r="C1018" s="2" t="s">
        <v>18</v>
      </c>
      <c r="D1018">
        <v>8</v>
      </c>
      <c r="E1018">
        <v>144</v>
      </c>
      <c r="F1018" s="2" t="s">
        <v>19</v>
      </c>
      <c r="G1018" s="2" t="s">
        <v>29</v>
      </c>
      <c r="H1018">
        <v>0.1</v>
      </c>
      <c r="I1018" s="2" t="s">
        <v>52</v>
      </c>
      <c r="J1018" s="2" t="s">
        <v>59</v>
      </c>
      <c r="K1018">
        <v>0</v>
      </c>
      <c r="L1018" s="2" t="s">
        <v>2024</v>
      </c>
      <c r="M1018" s="2" t="s">
        <v>2025</v>
      </c>
      <c r="N1018">
        <v>28.09</v>
      </c>
      <c r="O1018" s="1">
        <v>45325</v>
      </c>
      <c r="P1018" s="1">
        <v>45331</v>
      </c>
      <c r="Q1018" s="2" t="s">
        <v>39</v>
      </c>
      <c r="R1018" s="2">
        <v>1037</v>
      </c>
    </row>
    <row r="1019" spans="1:18" x14ac:dyDescent="0.25">
      <c r="A1019" s="1">
        <v>45251</v>
      </c>
      <c r="B1019" s="2" t="s">
        <v>26</v>
      </c>
      <c r="C1019" s="2" t="s">
        <v>18</v>
      </c>
      <c r="D1019">
        <v>2</v>
      </c>
      <c r="E1019">
        <v>577</v>
      </c>
      <c r="F1019" s="2" t="s">
        <v>51</v>
      </c>
      <c r="G1019" s="2" t="s">
        <v>29</v>
      </c>
      <c r="H1019">
        <v>0.1</v>
      </c>
      <c r="I1019" s="2" t="s">
        <v>42</v>
      </c>
      <c r="J1019" s="2" t="s">
        <v>53</v>
      </c>
      <c r="K1019">
        <v>0</v>
      </c>
      <c r="L1019" s="2" t="s">
        <v>2026</v>
      </c>
      <c r="M1019" s="2" t="s">
        <v>2027</v>
      </c>
      <c r="N1019">
        <v>43.32</v>
      </c>
      <c r="O1019" s="1">
        <v>45251</v>
      </c>
      <c r="P1019" s="1">
        <v>45254</v>
      </c>
      <c r="Q1019" s="2" t="s">
        <v>34</v>
      </c>
      <c r="R1019" s="2">
        <v>1039</v>
      </c>
    </row>
    <row r="1020" spans="1:18" x14ac:dyDescent="0.25">
      <c r="A1020" s="1">
        <v>44936</v>
      </c>
      <c r="B1020" s="2" t="s">
        <v>65</v>
      </c>
      <c r="C1020" s="2" t="s">
        <v>41</v>
      </c>
      <c r="D1020">
        <v>14</v>
      </c>
      <c r="E1020">
        <v>251</v>
      </c>
      <c r="F1020" s="2" t="s">
        <v>46</v>
      </c>
      <c r="G1020" s="2" t="s">
        <v>29</v>
      </c>
      <c r="H1020">
        <v>0</v>
      </c>
      <c r="I1020" s="2" t="s">
        <v>21</v>
      </c>
      <c r="J1020" s="2" t="s">
        <v>56</v>
      </c>
      <c r="K1020">
        <v>0</v>
      </c>
      <c r="L1020" s="2" t="s">
        <v>2028</v>
      </c>
      <c r="M1020" s="2" t="s">
        <v>2029</v>
      </c>
      <c r="N1020">
        <v>14.94</v>
      </c>
      <c r="O1020" s="1">
        <v>44936</v>
      </c>
      <c r="P1020" s="1">
        <v>44944</v>
      </c>
      <c r="Q1020" s="2" t="s">
        <v>68</v>
      </c>
      <c r="R1020" s="2">
        <v>3514</v>
      </c>
    </row>
    <row r="1021" spans="1:18" x14ac:dyDescent="0.25">
      <c r="A1021" s="1">
        <v>44963</v>
      </c>
      <c r="B1021" s="2" t="s">
        <v>40</v>
      </c>
      <c r="C1021" s="2" t="s">
        <v>27</v>
      </c>
      <c r="D1021">
        <v>7</v>
      </c>
      <c r="E1021">
        <v>335</v>
      </c>
      <c r="F1021" s="2" t="s">
        <v>46</v>
      </c>
      <c r="G1021" s="2" t="s">
        <v>29</v>
      </c>
      <c r="H1021">
        <v>0</v>
      </c>
      <c r="I1021" s="2" t="s">
        <v>62</v>
      </c>
      <c r="J1021" s="2" t="s">
        <v>22</v>
      </c>
      <c r="K1021">
        <v>0</v>
      </c>
      <c r="L1021" s="2" t="s">
        <v>2030</v>
      </c>
      <c r="M1021" s="2" t="s">
        <v>595</v>
      </c>
      <c r="N1021">
        <v>18.91</v>
      </c>
      <c r="O1021" s="1">
        <v>44963</v>
      </c>
      <c r="P1021" s="1">
        <v>44967</v>
      </c>
      <c r="Q1021" s="2" t="s">
        <v>45</v>
      </c>
      <c r="R1021" s="2">
        <v>2345</v>
      </c>
    </row>
    <row r="1022" spans="1:18" x14ac:dyDescent="0.25">
      <c r="A1022" s="1">
        <v>45757</v>
      </c>
      <c r="B1022" s="2" t="s">
        <v>35</v>
      </c>
      <c r="C1022" s="2" t="s">
        <v>126</v>
      </c>
      <c r="D1022">
        <v>11</v>
      </c>
      <c r="E1022">
        <v>204</v>
      </c>
      <c r="F1022" s="2" t="s">
        <v>28</v>
      </c>
      <c r="G1022" s="2" t="s">
        <v>29</v>
      </c>
      <c r="H1022">
        <v>0</v>
      </c>
      <c r="I1022" s="2" t="s">
        <v>21</v>
      </c>
      <c r="J1022" s="2" t="s">
        <v>56</v>
      </c>
      <c r="K1022">
        <v>0</v>
      </c>
      <c r="L1022" s="2" t="s">
        <v>2031</v>
      </c>
      <c r="M1022" s="2" t="s">
        <v>1822</v>
      </c>
      <c r="N1022">
        <v>13.82</v>
      </c>
      <c r="O1022" s="1">
        <v>45757</v>
      </c>
      <c r="P1022" s="1">
        <v>45767</v>
      </c>
      <c r="Q1022" s="2" t="s">
        <v>39</v>
      </c>
      <c r="R1022" s="2">
        <v>2244</v>
      </c>
    </row>
    <row r="1023" spans="1:18" x14ac:dyDescent="0.25">
      <c r="A1023" s="1">
        <v>45336</v>
      </c>
      <c r="B1023" s="2" t="s">
        <v>17</v>
      </c>
      <c r="C1023" s="2" t="s">
        <v>75</v>
      </c>
      <c r="D1023">
        <v>1</v>
      </c>
      <c r="E1023">
        <v>543</v>
      </c>
      <c r="F1023" s="2" t="s">
        <v>28</v>
      </c>
      <c r="G1023" s="2" t="s">
        <v>29</v>
      </c>
      <c r="H1023">
        <v>0.05</v>
      </c>
      <c r="I1023" s="2" t="s">
        <v>47</v>
      </c>
      <c r="J1023" s="2" t="s">
        <v>53</v>
      </c>
      <c r="K1023">
        <v>0</v>
      </c>
      <c r="L1023" s="2" t="s">
        <v>2032</v>
      </c>
      <c r="M1023" s="2" t="s">
        <v>2033</v>
      </c>
      <c r="N1023">
        <v>33.200000000000003</v>
      </c>
      <c r="O1023" s="1">
        <v>45336</v>
      </c>
      <c r="P1023" s="1">
        <v>45343</v>
      </c>
      <c r="Q1023" s="2" t="s">
        <v>25</v>
      </c>
      <c r="R1023" s="2">
        <v>516</v>
      </c>
    </row>
    <row r="1024" spans="1:18" x14ac:dyDescent="0.25">
      <c r="A1024" s="1">
        <v>45803</v>
      </c>
      <c r="B1024" s="2" t="s">
        <v>17</v>
      </c>
      <c r="C1024" s="2" t="s">
        <v>27</v>
      </c>
      <c r="D1024">
        <v>1</v>
      </c>
      <c r="E1024">
        <v>205</v>
      </c>
      <c r="F1024" s="2" t="s">
        <v>51</v>
      </c>
      <c r="G1024" s="2" t="s">
        <v>29</v>
      </c>
      <c r="H1024">
        <v>0.1</v>
      </c>
      <c r="I1024" s="2" t="s">
        <v>47</v>
      </c>
      <c r="J1024" s="2" t="s">
        <v>22</v>
      </c>
      <c r="K1024">
        <v>1</v>
      </c>
      <c r="L1024" s="2" t="s">
        <v>2034</v>
      </c>
      <c r="M1024" s="2" t="s">
        <v>2035</v>
      </c>
      <c r="N1024">
        <v>17.760000000000002</v>
      </c>
      <c r="O1024" s="1">
        <v>45803</v>
      </c>
      <c r="P1024" s="1">
        <v>45806</v>
      </c>
      <c r="Q1024" s="2" t="s">
        <v>25</v>
      </c>
      <c r="R1024" s="2">
        <v>184</v>
      </c>
    </row>
    <row r="1025" spans="1:18" x14ac:dyDescent="0.25">
      <c r="A1025" s="1">
        <v>45181</v>
      </c>
      <c r="B1025" s="2" t="s">
        <v>65</v>
      </c>
      <c r="C1025" s="2" t="s">
        <v>41</v>
      </c>
      <c r="D1025">
        <v>10</v>
      </c>
      <c r="E1025">
        <v>420</v>
      </c>
      <c r="F1025" s="2" t="s">
        <v>28</v>
      </c>
      <c r="G1025" s="2" t="s">
        <v>20</v>
      </c>
      <c r="H1025">
        <v>0.15</v>
      </c>
      <c r="I1025" s="2" t="s">
        <v>21</v>
      </c>
      <c r="J1025" s="2" t="s">
        <v>56</v>
      </c>
      <c r="K1025">
        <v>0</v>
      </c>
      <c r="L1025" s="2" t="s">
        <v>2036</v>
      </c>
      <c r="M1025" s="2" t="s">
        <v>1599</v>
      </c>
      <c r="N1025">
        <v>13.09</v>
      </c>
      <c r="O1025" s="1">
        <v>45181</v>
      </c>
      <c r="P1025" s="1">
        <v>45188</v>
      </c>
      <c r="Q1025" s="2" t="s">
        <v>68</v>
      </c>
      <c r="R1025" s="2">
        <v>3570</v>
      </c>
    </row>
    <row r="1026" spans="1:18" x14ac:dyDescent="0.25">
      <c r="A1026" s="1">
        <v>45063</v>
      </c>
      <c r="B1026" s="2" t="s">
        <v>17</v>
      </c>
      <c r="C1026" s="2" t="s">
        <v>36</v>
      </c>
      <c r="D1026">
        <v>7</v>
      </c>
      <c r="E1026">
        <v>88</v>
      </c>
      <c r="F1026" s="2" t="s">
        <v>46</v>
      </c>
      <c r="G1026" s="2" t="s">
        <v>20</v>
      </c>
      <c r="H1026">
        <v>0.15</v>
      </c>
      <c r="I1026" s="2" t="s">
        <v>30</v>
      </c>
      <c r="J1026" s="2" t="s">
        <v>22</v>
      </c>
      <c r="K1026">
        <v>1</v>
      </c>
      <c r="L1026" s="2" t="s">
        <v>2037</v>
      </c>
      <c r="M1026" s="2" t="s">
        <v>2038</v>
      </c>
      <c r="N1026">
        <v>22.2</v>
      </c>
      <c r="O1026" s="1">
        <v>45063</v>
      </c>
      <c r="P1026" s="1">
        <v>45072</v>
      </c>
      <c r="Q1026" s="2" t="s">
        <v>25</v>
      </c>
      <c r="R1026" s="2">
        <v>524</v>
      </c>
    </row>
    <row r="1027" spans="1:18" x14ac:dyDescent="0.25">
      <c r="A1027" s="1">
        <v>45320</v>
      </c>
      <c r="B1027" s="2" t="s">
        <v>65</v>
      </c>
      <c r="C1027" s="2" t="s">
        <v>126</v>
      </c>
      <c r="D1027">
        <v>7</v>
      </c>
      <c r="E1027">
        <v>387</v>
      </c>
      <c r="F1027" s="2" t="s">
        <v>19</v>
      </c>
      <c r="G1027" s="2" t="s">
        <v>20</v>
      </c>
      <c r="H1027">
        <v>0.05</v>
      </c>
      <c r="I1027" s="2" t="s">
        <v>47</v>
      </c>
      <c r="J1027" s="2" t="s">
        <v>59</v>
      </c>
      <c r="K1027">
        <v>0</v>
      </c>
      <c r="L1027" s="2" t="s">
        <v>2039</v>
      </c>
      <c r="M1027" s="2" t="s">
        <v>2040</v>
      </c>
      <c r="N1027">
        <v>38.46</v>
      </c>
      <c r="O1027" s="1">
        <v>45320</v>
      </c>
      <c r="P1027" s="1">
        <v>45322</v>
      </c>
      <c r="Q1027" s="2" t="s">
        <v>68</v>
      </c>
      <c r="R1027" s="2">
        <v>2574</v>
      </c>
    </row>
    <row r="1028" spans="1:18" x14ac:dyDescent="0.25">
      <c r="A1028" s="1">
        <v>45786</v>
      </c>
      <c r="B1028" s="2" t="s">
        <v>35</v>
      </c>
      <c r="C1028" s="2" t="s">
        <v>36</v>
      </c>
      <c r="D1028">
        <v>4</v>
      </c>
      <c r="E1028">
        <v>243</v>
      </c>
      <c r="F1028" s="2" t="s">
        <v>51</v>
      </c>
      <c r="G1028" s="2" t="s">
        <v>20</v>
      </c>
      <c r="H1028">
        <v>0.05</v>
      </c>
      <c r="I1028" s="2" t="s">
        <v>52</v>
      </c>
      <c r="J1028" s="2" t="s">
        <v>56</v>
      </c>
      <c r="K1028">
        <v>0</v>
      </c>
      <c r="L1028" s="2" t="s">
        <v>2041</v>
      </c>
      <c r="M1028" s="2" t="s">
        <v>2042</v>
      </c>
      <c r="N1028">
        <v>30.03</v>
      </c>
      <c r="O1028" s="1">
        <v>45786</v>
      </c>
      <c r="P1028" s="1">
        <v>45795</v>
      </c>
      <c r="Q1028" s="2" t="s">
        <v>39</v>
      </c>
      <c r="R1028" s="2">
        <v>923</v>
      </c>
    </row>
    <row r="1029" spans="1:18" x14ac:dyDescent="0.25">
      <c r="A1029" s="1">
        <v>45387</v>
      </c>
      <c r="B1029" s="2" t="s">
        <v>17</v>
      </c>
      <c r="C1029" s="2" t="s">
        <v>126</v>
      </c>
      <c r="D1029">
        <v>4</v>
      </c>
      <c r="E1029">
        <v>411</v>
      </c>
      <c r="F1029" s="2" t="s">
        <v>28</v>
      </c>
      <c r="G1029" s="2" t="s">
        <v>29</v>
      </c>
      <c r="H1029">
        <v>0</v>
      </c>
      <c r="I1029" s="2" t="s">
        <v>21</v>
      </c>
      <c r="J1029" s="2" t="s">
        <v>59</v>
      </c>
      <c r="K1029">
        <v>0</v>
      </c>
      <c r="L1029" s="2" t="s">
        <v>2043</v>
      </c>
      <c r="M1029" s="2" t="s">
        <v>2044</v>
      </c>
      <c r="N1029">
        <v>17.36</v>
      </c>
      <c r="O1029" s="1">
        <v>45387</v>
      </c>
      <c r="P1029" s="1">
        <v>45391</v>
      </c>
      <c r="Q1029" s="2" t="s">
        <v>25</v>
      </c>
      <c r="R1029" s="2">
        <v>1644</v>
      </c>
    </row>
    <row r="1030" spans="1:18" x14ac:dyDescent="0.25">
      <c r="A1030" s="1">
        <v>45505</v>
      </c>
      <c r="B1030" s="2" t="s">
        <v>26</v>
      </c>
      <c r="C1030" s="2" t="s">
        <v>41</v>
      </c>
      <c r="D1030">
        <v>3</v>
      </c>
      <c r="E1030">
        <v>11</v>
      </c>
      <c r="F1030" s="2" t="s">
        <v>51</v>
      </c>
      <c r="G1030" s="2" t="s">
        <v>20</v>
      </c>
      <c r="H1030">
        <v>0.15</v>
      </c>
      <c r="I1030" s="2" t="s">
        <v>21</v>
      </c>
      <c r="J1030" s="2" t="s">
        <v>59</v>
      </c>
      <c r="K1030">
        <v>0</v>
      </c>
      <c r="L1030" s="2" t="s">
        <v>2045</v>
      </c>
      <c r="M1030" s="2" t="s">
        <v>2046</v>
      </c>
      <c r="N1030">
        <v>19.010000000000002</v>
      </c>
      <c r="O1030" s="1">
        <v>45505</v>
      </c>
      <c r="P1030" s="1">
        <v>45514</v>
      </c>
      <c r="Q1030" s="2" t="s">
        <v>34</v>
      </c>
      <c r="R1030" s="2">
        <v>28</v>
      </c>
    </row>
    <row r="1031" spans="1:18" x14ac:dyDescent="0.25">
      <c r="A1031" s="1">
        <v>45483</v>
      </c>
      <c r="B1031" s="2" t="s">
        <v>26</v>
      </c>
      <c r="C1031" s="2" t="s">
        <v>41</v>
      </c>
      <c r="D1031">
        <v>20</v>
      </c>
      <c r="E1031">
        <v>150</v>
      </c>
      <c r="F1031" s="2" t="s">
        <v>46</v>
      </c>
      <c r="G1031" s="2" t="s">
        <v>20</v>
      </c>
      <c r="H1031">
        <v>0</v>
      </c>
      <c r="I1031" s="2" t="s">
        <v>62</v>
      </c>
      <c r="J1031" s="2" t="s">
        <v>59</v>
      </c>
      <c r="K1031">
        <v>0</v>
      </c>
      <c r="L1031" s="2" t="s">
        <v>2047</v>
      </c>
      <c r="M1031" s="2" t="s">
        <v>2048</v>
      </c>
      <c r="N1031">
        <v>41.66</v>
      </c>
      <c r="O1031" s="1">
        <v>45483</v>
      </c>
      <c r="P1031" s="1">
        <v>45485</v>
      </c>
      <c r="Q1031" s="2" t="s">
        <v>34</v>
      </c>
      <c r="R1031" s="2">
        <v>3000</v>
      </c>
    </row>
    <row r="1032" spans="1:18" x14ac:dyDescent="0.25">
      <c r="A1032" s="1">
        <v>45458</v>
      </c>
      <c r="B1032" s="2" t="s">
        <v>17</v>
      </c>
      <c r="C1032" s="2" t="s">
        <v>41</v>
      </c>
      <c r="D1032">
        <v>1</v>
      </c>
      <c r="E1032">
        <v>394</v>
      </c>
      <c r="F1032" s="2" t="s">
        <v>19</v>
      </c>
      <c r="G1032" s="2" t="s">
        <v>29</v>
      </c>
      <c r="H1032">
        <v>0.1</v>
      </c>
      <c r="I1032" s="2" t="s">
        <v>30</v>
      </c>
      <c r="J1032" s="2" t="s">
        <v>31</v>
      </c>
      <c r="K1032">
        <v>0</v>
      </c>
      <c r="L1032" s="2" t="s">
        <v>2049</v>
      </c>
      <c r="M1032" s="2" t="s">
        <v>2050</v>
      </c>
      <c r="N1032">
        <v>6.37</v>
      </c>
      <c r="O1032" s="1">
        <v>45458</v>
      </c>
      <c r="P1032" s="1">
        <v>45463</v>
      </c>
      <c r="Q1032" s="2" t="s">
        <v>25</v>
      </c>
      <c r="R1032" s="2">
        <v>355</v>
      </c>
    </row>
    <row r="1033" spans="1:18" x14ac:dyDescent="0.25">
      <c r="A1033" s="1">
        <v>45434</v>
      </c>
      <c r="B1033" s="2" t="s">
        <v>17</v>
      </c>
      <c r="C1033" s="2" t="s">
        <v>50</v>
      </c>
      <c r="D1033">
        <v>6</v>
      </c>
      <c r="E1033">
        <v>535</v>
      </c>
      <c r="F1033" s="2" t="s">
        <v>46</v>
      </c>
      <c r="G1033" s="2" t="s">
        <v>20</v>
      </c>
      <c r="H1033">
        <v>0.15</v>
      </c>
      <c r="I1033" s="2" t="s">
        <v>30</v>
      </c>
      <c r="J1033" s="2" t="s">
        <v>22</v>
      </c>
      <c r="K1033">
        <v>0</v>
      </c>
      <c r="L1033" s="2" t="s">
        <v>2051</v>
      </c>
      <c r="M1033" s="2" t="s">
        <v>2052</v>
      </c>
      <c r="N1033">
        <v>48.66</v>
      </c>
      <c r="O1033" s="1">
        <v>45434</v>
      </c>
      <c r="P1033" s="1">
        <v>45441</v>
      </c>
      <c r="Q1033" s="2" t="s">
        <v>25</v>
      </c>
      <c r="R1033" s="2">
        <v>2728</v>
      </c>
    </row>
    <row r="1034" spans="1:18" x14ac:dyDescent="0.25">
      <c r="A1034" s="1">
        <v>45305</v>
      </c>
      <c r="B1034" s="2" t="s">
        <v>17</v>
      </c>
      <c r="C1034" s="2" t="s">
        <v>50</v>
      </c>
      <c r="D1034">
        <v>19</v>
      </c>
      <c r="E1034">
        <v>408</v>
      </c>
      <c r="F1034" s="2" t="s">
        <v>51</v>
      </c>
      <c r="G1034" s="2" t="s">
        <v>29</v>
      </c>
      <c r="H1034">
        <v>0.05</v>
      </c>
      <c r="I1034" s="2" t="s">
        <v>52</v>
      </c>
      <c r="J1034" s="2" t="s">
        <v>31</v>
      </c>
      <c r="K1034">
        <v>0</v>
      </c>
      <c r="L1034" s="2" t="s">
        <v>2053</v>
      </c>
      <c r="M1034" s="2" t="s">
        <v>2054</v>
      </c>
      <c r="N1034">
        <v>38.979999999999997</v>
      </c>
      <c r="O1034" s="1">
        <v>45305</v>
      </c>
      <c r="P1034" s="1">
        <v>45309</v>
      </c>
      <c r="Q1034" s="2" t="s">
        <v>25</v>
      </c>
      <c r="R1034" s="2">
        <v>7364</v>
      </c>
    </row>
    <row r="1035" spans="1:18" x14ac:dyDescent="0.25">
      <c r="A1035" s="1">
        <v>45596</v>
      </c>
      <c r="B1035" s="2" t="s">
        <v>35</v>
      </c>
      <c r="C1035" s="2" t="s">
        <v>75</v>
      </c>
      <c r="D1035">
        <v>16</v>
      </c>
      <c r="E1035">
        <v>121</v>
      </c>
      <c r="F1035" s="2" t="s">
        <v>19</v>
      </c>
      <c r="G1035" s="2" t="s">
        <v>29</v>
      </c>
      <c r="H1035">
        <v>0.05</v>
      </c>
      <c r="I1035" s="2" t="s">
        <v>47</v>
      </c>
      <c r="J1035" s="2" t="s">
        <v>59</v>
      </c>
      <c r="K1035">
        <v>1</v>
      </c>
      <c r="L1035" s="2" t="s">
        <v>2055</v>
      </c>
      <c r="M1035" s="2" t="s">
        <v>889</v>
      </c>
      <c r="N1035">
        <v>39.64</v>
      </c>
      <c r="O1035" s="1">
        <v>45596</v>
      </c>
      <c r="P1035" s="1">
        <v>45598</v>
      </c>
      <c r="Q1035" s="2" t="s">
        <v>39</v>
      </c>
      <c r="R1035" s="2">
        <v>1839</v>
      </c>
    </row>
    <row r="1036" spans="1:18" x14ac:dyDescent="0.25">
      <c r="A1036" s="1">
        <v>45405</v>
      </c>
      <c r="B1036" s="2" t="s">
        <v>65</v>
      </c>
      <c r="C1036" s="2" t="s">
        <v>126</v>
      </c>
      <c r="D1036">
        <v>7</v>
      </c>
      <c r="E1036">
        <v>40</v>
      </c>
      <c r="F1036" s="2" t="s">
        <v>51</v>
      </c>
      <c r="G1036" s="2" t="s">
        <v>29</v>
      </c>
      <c r="H1036">
        <v>0.1</v>
      </c>
      <c r="I1036" s="2" t="s">
        <v>47</v>
      </c>
      <c r="J1036" s="2" t="s">
        <v>56</v>
      </c>
      <c r="K1036">
        <v>0</v>
      </c>
      <c r="L1036" s="2" t="s">
        <v>2056</v>
      </c>
      <c r="M1036" s="2" t="s">
        <v>2057</v>
      </c>
      <c r="N1036">
        <v>18.16</v>
      </c>
      <c r="O1036" s="1">
        <v>45405</v>
      </c>
      <c r="P1036" s="1">
        <v>45411</v>
      </c>
      <c r="Q1036" s="2" t="s">
        <v>68</v>
      </c>
      <c r="R1036" s="2">
        <v>252</v>
      </c>
    </row>
    <row r="1037" spans="1:18" x14ac:dyDescent="0.25">
      <c r="A1037" s="1">
        <v>45091</v>
      </c>
      <c r="B1037" s="2" t="s">
        <v>26</v>
      </c>
      <c r="C1037" s="2" t="s">
        <v>75</v>
      </c>
      <c r="D1037">
        <v>2</v>
      </c>
      <c r="E1037">
        <v>224</v>
      </c>
      <c r="F1037" s="2" t="s">
        <v>28</v>
      </c>
      <c r="G1037" s="2" t="s">
        <v>29</v>
      </c>
      <c r="H1037">
        <v>0.05</v>
      </c>
      <c r="I1037" s="2" t="s">
        <v>42</v>
      </c>
      <c r="J1037" s="2" t="s">
        <v>53</v>
      </c>
      <c r="K1037">
        <v>0</v>
      </c>
      <c r="L1037" s="2" t="s">
        <v>2058</v>
      </c>
      <c r="M1037" s="2" t="s">
        <v>2059</v>
      </c>
      <c r="N1037">
        <v>47.35</v>
      </c>
      <c r="O1037" s="1">
        <v>45091</v>
      </c>
      <c r="P1037" s="1">
        <v>45097</v>
      </c>
      <c r="Q1037" s="2" t="s">
        <v>34</v>
      </c>
      <c r="R1037" s="2">
        <v>426</v>
      </c>
    </row>
    <row r="1038" spans="1:18" x14ac:dyDescent="0.25">
      <c r="A1038" s="1">
        <v>45350</v>
      </c>
      <c r="B1038" s="2" t="s">
        <v>35</v>
      </c>
      <c r="C1038" s="2" t="s">
        <v>126</v>
      </c>
      <c r="D1038">
        <v>11</v>
      </c>
      <c r="E1038">
        <v>382</v>
      </c>
      <c r="F1038" s="2" t="s">
        <v>51</v>
      </c>
      <c r="G1038" s="2" t="s">
        <v>20</v>
      </c>
      <c r="H1038">
        <v>0.05</v>
      </c>
      <c r="I1038" s="2" t="s">
        <v>42</v>
      </c>
      <c r="J1038" s="2" t="s">
        <v>59</v>
      </c>
      <c r="K1038">
        <v>0</v>
      </c>
      <c r="L1038" s="2" t="s">
        <v>2060</v>
      </c>
      <c r="M1038" s="2" t="s">
        <v>2061</v>
      </c>
      <c r="N1038">
        <v>5.95</v>
      </c>
      <c r="O1038" s="1">
        <v>45350</v>
      </c>
      <c r="P1038" s="1">
        <v>45353</v>
      </c>
      <c r="Q1038" s="2" t="s">
        <v>39</v>
      </c>
      <c r="R1038" s="2">
        <v>3992</v>
      </c>
    </row>
    <row r="1039" spans="1:18" x14ac:dyDescent="0.25">
      <c r="A1039" s="1">
        <v>45462</v>
      </c>
      <c r="B1039" s="2" t="s">
        <v>26</v>
      </c>
      <c r="C1039" s="2" t="s">
        <v>126</v>
      </c>
      <c r="D1039">
        <v>9</v>
      </c>
      <c r="E1039">
        <v>88</v>
      </c>
      <c r="F1039" s="2" t="s">
        <v>51</v>
      </c>
      <c r="G1039" s="2" t="s">
        <v>20</v>
      </c>
      <c r="H1039">
        <v>0.05</v>
      </c>
      <c r="I1039" s="2" t="s">
        <v>52</v>
      </c>
      <c r="J1039" s="2" t="s">
        <v>22</v>
      </c>
      <c r="K1039">
        <v>0</v>
      </c>
      <c r="L1039" s="2" t="s">
        <v>2062</v>
      </c>
      <c r="M1039" s="2" t="s">
        <v>2063</v>
      </c>
      <c r="N1039">
        <v>35.6</v>
      </c>
      <c r="O1039" s="1">
        <v>45462</v>
      </c>
      <c r="P1039" s="1">
        <v>45469</v>
      </c>
      <c r="Q1039" s="2" t="s">
        <v>34</v>
      </c>
      <c r="R1039" s="2">
        <v>752</v>
      </c>
    </row>
    <row r="1040" spans="1:18" x14ac:dyDescent="0.25">
      <c r="A1040" s="1">
        <v>45003</v>
      </c>
      <c r="B1040" s="2" t="s">
        <v>40</v>
      </c>
      <c r="C1040" s="2" t="s">
        <v>75</v>
      </c>
      <c r="D1040">
        <v>20</v>
      </c>
      <c r="E1040">
        <v>139</v>
      </c>
      <c r="F1040" s="2" t="s">
        <v>46</v>
      </c>
      <c r="G1040" s="2" t="s">
        <v>20</v>
      </c>
      <c r="H1040">
        <v>0.05</v>
      </c>
      <c r="I1040" s="2" t="s">
        <v>47</v>
      </c>
      <c r="J1040" s="2" t="s">
        <v>22</v>
      </c>
      <c r="K1040">
        <v>0</v>
      </c>
      <c r="L1040" s="2" t="s">
        <v>2064</v>
      </c>
      <c r="M1040" s="2" t="s">
        <v>2065</v>
      </c>
      <c r="N1040">
        <v>30.22</v>
      </c>
      <c r="O1040" s="1">
        <v>45003</v>
      </c>
      <c r="P1040" s="1">
        <v>45005</v>
      </c>
      <c r="Q1040" s="2" t="s">
        <v>45</v>
      </c>
      <c r="R1040" s="2">
        <v>2641</v>
      </c>
    </row>
    <row r="1041" spans="1:18" x14ac:dyDescent="0.25">
      <c r="A1041" s="1">
        <v>45006</v>
      </c>
      <c r="B1041" s="2" t="s">
        <v>65</v>
      </c>
      <c r="C1041" s="2" t="s">
        <v>36</v>
      </c>
      <c r="D1041">
        <v>19</v>
      </c>
      <c r="E1041">
        <v>322</v>
      </c>
      <c r="F1041" s="2" t="s">
        <v>51</v>
      </c>
      <c r="G1041" s="2" t="s">
        <v>20</v>
      </c>
      <c r="H1041">
        <v>0.1</v>
      </c>
      <c r="I1041" s="2" t="s">
        <v>30</v>
      </c>
      <c r="J1041" s="2" t="s">
        <v>56</v>
      </c>
      <c r="K1041">
        <v>0</v>
      </c>
      <c r="L1041" s="2" t="s">
        <v>2066</v>
      </c>
      <c r="M1041" s="2" t="s">
        <v>2067</v>
      </c>
      <c r="N1041">
        <v>30.06</v>
      </c>
      <c r="O1041" s="1">
        <v>45006</v>
      </c>
      <c r="P1041" s="1">
        <v>45016</v>
      </c>
      <c r="Q1041" s="2" t="s">
        <v>68</v>
      </c>
      <c r="R1041" s="2">
        <v>5506</v>
      </c>
    </row>
    <row r="1042" spans="1:18" x14ac:dyDescent="0.25">
      <c r="A1042" s="1">
        <v>45440</v>
      </c>
      <c r="B1042" s="2" t="s">
        <v>17</v>
      </c>
      <c r="C1042" s="2" t="s">
        <v>126</v>
      </c>
      <c r="D1042">
        <v>16</v>
      </c>
      <c r="E1042">
        <v>335</v>
      </c>
      <c r="F1042" s="2" t="s">
        <v>19</v>
      </c>
      <c r="G1042" s="2" t="s">
        <v>20</v>
      </c>
      <c r="H1042">
        <v>0.1</v>
      </c>
      <c r="I1042" s="2" t="s">
        <v>21</v>
      </c>
      <c r="J1042" s="2" t="s">
        <v>53</v>
      </c>
      <c r="K1042">
        <v>0</v>
      </c>
      <c r="L1042" s="2" t="s">
        <v>2068</v>
      </c>
      <c r="M1042" s="2" t="s">
        <v>2069</v>
      </c>
      <c r="N1042">
        <v>37.42</v>
      </c>
      <c r="O1042" s="1">
        <v>45440</v>
      </c>
      <c r="P1042" s="1">
        <v>45444</v>
      </c>
      <c r="Q1042" s="2" t="s">
        <v>25</v>
      </c>
      <c r="R1042" s="2">
        <v>4824</v>
      </c>
    </row>
    <row r="1043" spans="1:18" x14ac:dyDescent="0.25">
      <c r="A1043" s="1">
        <v>45012</v>
      </c>
      <c r="B1043" s="2" t="s">
        <v>65</v>
      </c>
      <c r="C1043" s="2" t="s">
        <v>36</v>
      </c>
      <c r="D1043">
        <v>20</v>
      </c>
      <c r="E1043">
        <v>332</v>
      </c>
      <c r="F1043" s="2" t="s">
        <v>19</v>
      </c>
      <c r="G1043" s="2" t="s">
        <v>20</v>
      </c>
      <c r="H1043">
        <v>0</v>
      </c>
      <c r="I1043" s="2" t="s">
        <v>21</v>
      </c>
      <c r="J1043" s="2" t="s">
        <v>22</v>
      </c>
      <c r="K1043">
        <v>1</v>
      </c>
      <c r="L1043" s="2" t="s">
        <v>2070</v>
      </c>
      <c r="M1043" s="2" t="s">
        <v>2071</v>
      </c>
      <c r="N1043">
        <v>7.79</v>
      </c>
      <c r="O1043" s="1">
        <v>45012</v>
      </c>
      <c r="P1043" s="1">
        <v>45015</v>
      </c>
      <c r="Q1043" s="2" t="s">
        <v>68</v>
      </c>
      <c r="R1043" s="2">
        <v>6640</v>
      </c>
    </row>
    <row r="1044" spans="1:18" x14ac:dyDescent="0.25">
      <c r="A1044" s="1">
        <v>45096</v>
      </c>
      <c r="B1044" s="2" t="s">
        <v>40</v>
      </c>
      <c r="C1044" s="2" t="s">
        <v>126</v>
      </c>
      <c r="D1044">
        <v>1</v>
      </c>
      <c r="E1044">
        <v>123</v>
      </c>
      <c r="F1044" s="2" t="s">
        <v>28</v>
      </c>
      <c r="G1044" s="2" t="s">
        <v>29</v>
      </c>
      <c r="H1044">
        <v>0</v>
      </c>
      <c r="I1044" s="2" t="s">
        <v>21</v>
      </c>
      <c r="J1044" s="2" t="s">
        <v>59</v>
      </c>
      <c r="K1044">
        <v>1</v>
      </c>
      <c r="L1044" s="2" t="s">
        <v>2072</v>
      </c>
      <c r="M1044" s="2" t="s">
        <v>2073</v>
      </c>
      <c r="N1044">
        <v>12.63</v>
      </c>
      <c r="O1044" s="1">
        <v>45096</v>
      </c>
      <c r="P1044" s="1">
        <v>45102</v>
      </c>
      <c r="Q1044" s="2" t="s">
        <v>45</v>
      </c>
      <c r="R1044" s="2">
        <v>123</v>
      </c>
    </row>
    <row r="1045" spans="1:18" x14ac:dyDescent="0.25">
      <c r="A1045" s="1">
        <v>45230</v>
      </c>
      <c r="B1045" s="2" t="s">
        <v>26</v>
      </c>
      <c r="C1045" s="2" t="s">
        <v>18</v>
      </c>
      <c r="D1045">
        <v>3</v>
      </c>
      <c r="E1045">
        <v>88</v>
      </c>
      <c r="F1045" s="2" t="s">
        <v>51</v>
      </c>
      <c r="G1045" s="2" t="s">
        <v>20</v>
      </c>
      <c r="H1045">
        <v>0.05</v>
      </c>
      <c r="I1045" s="2" t="s">
        <v>62</v>
      </c>
      <c r="J1045" s="2" t="s">
        <v>56</v>
      </c>
      <c r="K1045">
        <v>0</v>
      </c>
      <c r="L1045" s="2" t="s">
        <v>2074</v>
      </c>
      <c r="M1045" s="2" t="s">
        <v>2075</v>
      </c>
      <c r="N1045">
        <v>46.45</v>
      </c>
      <c r="O1045" s="1">
        <v>45230</v>
      </c>
      <c r="P1045" s="1">
        <v>45237</v>
      </c>
      <c r="Q1045" s="2" t="s">
        <v>34</v>
      </c>
      <c r="R1045" s="2">
        <v>251</v>
      </c>
    </row>
    <row r="1046" spans="1:18" x14ac:dyDescent="0.25">
      <c r="A1046" s="1">
        <v>45118</v>
      </c>
      <c r="B1046" s="2" t="s">
        <v>65</v>
      </c>
      <c r="C1046" s="2" t="s">
        <v>27</v>
      </c>
      <c r="D1046">
        <v>13</v>
      </c>
      <c r="E1046">
        <v>51</v>
      </c>
      <c r="F1046" s="2" t="s">
        <v>51</v>
      </c>
      <c r="G1046" s="2" t="s">
        <v>20</v>
      </c>
      <c r="H1046">
        <v>0.1</v>
      </c>
      <c r="I1046" s="2" t="s">
        <v>30</v>
      </c>
      <c r="J1046" s="2" t="s">
        <v>56</v>
      </c>
      <c r="K1046">
        <v>0</v>
      </c>
      <c r="L1046" s="2" t="s">
        <v>2076</v>
      </c>
      <c r="M1046" s="2" t="s">
        <v>2077</v>
      </c>
      <c r="N1046">
        <v>40.57</v>
      </c>
      <c r="O1046" s="1">
        <v>45118</v>
      </c>
      <c r="P1046" s="1">
        <v>45125</v>
      </c>
      <c r="Q1046" s="2" t="s">
        <v>68</v>
      </c>
      <c r="R1046" s="2">
        <v>597</v>
      </c>
    </row>
    <row r="1047" spans="1:18" x14ac:dyDescent="0.25">
      <c r="A1047" s="1">
        <v>45065</v>
      </c>
      <c r="B1047" s="2" t="s">
        <v>26</v>
      </c>
      <c r="C1047" s="2" t="s">
        <v>50</v>
      </c>
      <c r="D1047">
        <v>11</v>
      </c>
      <c r="E1047">
        <v>238</v>
      </c>
      <c r="F1047" s="2" t="s">
        <v>51</v>
      </c>
      <c r="G1047" s="2" t="s">
        <v>20</v>
      </c>
      <c r="H1047">
        <v>0.05</v>
      </c>
      <c r="I1047" s="2" t="s">
        <v>62</v>
      </c>
      <c r="J1047" s="2" t="s">
        <v>56</v>
      </c>
      <c r="K1047">
        <v>0</v>
      </c>
      <c r="L1047" s="2" t="s">
        <v>2078</v>
      </c>
      <c r="M1047" s="2" t="s">
        <v>2079</v>
      </c>
      <c r="N1047">
        <v>44.7</v>
      </c>
      <c r="O1047" s="1">
        <v>45065</v>
      </c>
      <c r="P1047" s="1">
        <v>45074</v>
      </c>
      <c r="Q1047" s="2" t="s">
        <v>34</v>
      </c>
      <c r="R1047" s="2">
        <v>2487</v>
      </c>
    </row>
    <row r="1048" spans="1:18" x14ac:dyDescent="0.25">
      <c r="A1048" s="1">
        <v>45143</v>
      </c>
      <c r="B1048" s="2" t="s">
        <v>35</v>
      </c>
      <c r="C1048" s="2" t="s">
        <v>41</v>
      </c>
      <c r="D1048">
        <v>7</v>
      </c>
      <c r="E1048">
        <v>295</v>
      </c>
      <c r="F1048" s="2" t="s">
        <v>51</v>
      </c>
      <c r="G1048" s="2" t="s">
        <v>20</v>
      </c>
      <c r="H1048">
        <v>0</v>
      </c>
      <c r="I1048" s="2" t="s">
        <v>42</v>
      </c>
      <c r="J1048" s="2" t="s">
        <v>22</v>
      </c>
      <c r="K1048">
        <v>0</v>
      </c>
      <c r="L1048" s="2" t="s">
        <v>2080</v>
      </c>
      <c r="M1048" s="2" t="s">
        <v>2081</v>
      </c>
      <c r="N1048">
        <v>15.78</v>
      </c>
      <c r="O1048" s="1">
        <v>45143</v>
      </c>
      <c r="P1048" s="1">
        <v>45148</v>
      </c>
      <c r="Q1048" s="2" t="s">
        <v>39</v>
      </c>
      <c r="R1048" s="2">
        <v>2065</v>
      </c>
    </row>
    <row r="1049" spans="1:18" x14ac:dyDescent="0.25">
      <c r="A1049" s="1">
        <v>45009</v>
      </c>
      <c r="B1049" s="2" t="s">
        <v>65</v>
      </c>
      <c r="C1049" s="2" t="s">
        <v>36</v>
      </c>
      <c r="D1049">
        <v>8</v>
      </c>
      <c r="E1049">
        <v>384</v>
      </c>
      <c r="F1049" s="2" t="s">
        <v>46</v>
      </c>
      <c r="G1049" s="2" t="s">
        <v>20</v>
      </c>
      <c r="H1049">
        <v>0.1</v>
      </c>
      <c r="I1049" s="2" t="s">
        <v>42</v>
      </c>
      <c r="J1049" s="2" t="s">
        <v>31</v>
      </c>
      <c r="K1049">
        <v>0</v>
      </c>
      <c r="L1049" s="2" t="s">
        <v>2082</v>
      </c>
      <c r="M1049" s="2" t="s">
        <v>296</v>
      </c>
      <c r="N1049">
        <v>48.83</v>
      </c>
      <c r="O1049" s="1">
        <v>45009</v>
      </c>
      <c r="P1049" s="1">
        <v>45019</v>
      </c>
      <c r="Q1049" s="2" t="s">
        <v>68</v>
      </c>
      <c r="R1049" s="2">
        <v>2765</v>
      </c>
    </row>
    <row r="1050" spans="1:18" x14ac:dyDescent="0.25">
      <c r="A1050" s="1">
        <v>45702</v>
      </c>
      <c r="B1050" s="2" t="s">
        <v>65</v>
      </c>
      <c r="C1050" s="2" t="s">
        <v>50</v>
      </c>
      <c r="D1050">
        <v>1</v>
      </c>
      <c r="E1050">
        <v>378</v>
      </c>
      <c r="F1050" s="2" t="s">
        <v>46</v>
      </c>
      <c r="G1050" s="2" t="s">
        <v>20</v>
      </c>
      <c r="H1050">
        <v>0.05</v>
      </c>
      <c r="I1050" s="2" t="s">
        <v>52</v>
      </c>
      <c r="J1050" s="2" t="s">
        <v>59</v>
      </c>
      <c r="K1050">
        <v>0</v>
      </c>
      <c r="L1050" s="2" t="s">
        <v>2083</v>
      </c>
      <c r="M1050" s="2" t="s">
        <v>1032</v>
      </c>
      <c r="N1050">
        <v>20.97</v>
      </c>
      <c r="O1050" s="1">
        <v>45702</v>
      </c>
      <c r="P1050" s="1">
        <v>45705</v>
      </c>
      <c r="Q1050" s="2" t="s">
        <v>68</v>
      </c>
      <c r="R1050" s="2">
        <v>359</v>
      </c>
    </row>
    <row r="1051" spans="1:18" x14ac:dyDescent="0.25">
      <c r="A1051" s="1">
        <v>45640</v>
      </c>
      <c r="B1051" s="2" t="s">
        <v>35</v>
      </c>
      <c r="C1051" s="2" t="s">
        <v>36</v>
      </c>
      <c r="D1051">
        <v>1</v>
      </c>
      <c r="E1051">
        <v>461</v>
      </c>
      <c r="F1051" s="2" t="s">
        <v>51</v>
      </c>
      <c r="G1051" s="2" t="s">
        <v>29</v>
      </c>
      <c r="H1051">
        <v>0</v>
      </c>
      <c r="I1051" s="2" t="s">
        <v>62</v>
      </c>
      <c r="J1051" s="2" t="s">
        <v>56</v>
      </c>
      <c r="K1051">
        <v>1</v>
      </c>
      <c r="L1051" s="2" t="s">
        <v>2084</v>
      </c>
      <c r="M1051" s="2" t="s">
        <v>2085</v>
      </c>
      <c r="N1051">
        <v>43.74</v>
      </c>
      <c r="O1051" s="1">
        <v>45640</v>
      </c>
      <c r="P1051" s="1">
        <v>45642</v>
      </c>
      <c r="Q1051" s="2" t="s">
        <v>39</v>
      </c>
      <c r="R1051" s="2">
        <v>461</v>
      </c>
    </row>
    <row r="1052" spans="1:18" x14ac:dyDescent="0.25">
      <c r="A1052" s="1">
        <v>45105</v>
      </c>
      <c r="B1052" s="2" t="s">
        <v>26</v>
      </c>
      <c r="C1052" s="2" t="s">
        <v>126</v>
      </c>
      <c r="D1052">
        <v>20</v>
      </c>
      <c r="E1052">
        <v>355</v>
      </c>
      <c r="F1052" s="2" t="s">
        <v>28</v>
      </c>
      <c r="G1052" s="2" t="s">
        <v>20</v>
      </c>
      <c r="H1052">
        <v>0</v>
      </c>
      <c r="I1052" s="2" t="s">
        <v>62</v>
      </c>
      <c r="J1052" s="2" t="s">
        <v>31</v>
      </c>
      <c r="K1052">
        <v>0</v>
      </c>
      <c r="L1052" s="2" t="s">
        <v>2086</v>
      </c>
      <c r="M1052" s="2" t="s">
        <v>2087</v>
      </c>
      <c r="N1052">
        <v>43.24</v>
      </c>
      <c r="O1052" s="1">
        <v>45105</v>
      </c>
      <c r="P1052" s="1">
        <v>45108</v>
      </c>
      <c r="Q1052" s="2" t="s">
        <v>34</v>
      </c>
      <c r="R1052" s="2">
        <v>7100</v>
      </c>
    </row>
    <row r="1053" spans="1:18" x14ac:dyDescent="0.25">
      <c r="A1053" s="1">
        <v>44950</v>
      </c>
      <c r="B1053" s="2" t="s">
        <v>65</v>
      </c>
      <c r="C1053" s="2" t="s">
        <v>36</v>
      </c>
      <c r="D1053">
        <v>7</v>
      </c>
      <c r="E1053">
        <v>438</v>
      </c>
      <c r="F1053" s="2" t="s">
        <v>46</v>
      </c>
      <c r="G1053" s="2" t="s">
        <v>29</v>
      </c>
      <c r="H1053">
        <v>0.1</v>
      </c>
      <c r="I1053" s="2" t="s">
        <v>52</v>
      </c>
      <c r="J1053" s="2" t="s">
        <v>56</v>
      </c>
      <c r="K1053">
        <v>1</v>
      </c>
      <c r="L1053" s="2" t="s">
        <v>2088</v>
      </c>
      <c r="M1053" s="2" t="s">
        <v>2089</v>
      </c>
      <c r="N1053">
        <v>47.77</v>
      </c>
      <c r="O1053" s="1">
        <v>44950</v>
      </c>
      <c r="P1053" s="1">
        <v>44954</v>
      </c>
      <c r="Q1053" s="2" t="s">
        <v>68</v>
      </c>
      <c r="R1053" s="2">
        <v>2759</v>
      </c>
    </row>
    <row r="1054" spans="1:18" x14ac:dyDescent="0.25">
      <c r="A1054" s="1">
        <v>45464</v>
      </c>
      <c r="B1054" s="2" t="s">
        <v>40</v>
      </c>
      <c r="C1054" s="2" t="s">
        <v>75</v>
      </c>
      <c r="D1054">
        <v>14</v>
      </c>
      <c r="E1054">
        <v>543</v>
      </c>
      <c r="F1054" s="2" t="s">
        <v>46</v>
      </c>
      <c r="G1054" s="2" t="s">
        <v>29</v>
      </c>
      <c r="H1054">
        <v>0.05</v>
      </c>
      <c r="I1054" s="2" t="s">
        <v>21</v>
      </c>
      <c r="J1054" s="2" t="s">
        <v>56</v>
      </c>
      <c r="K1054">
        <v>0</v>
      </c>
      <c r="L1054" s="2" t="s">
        <v>2090</v>
      </c>
      <c r="M1054" s="2" t="s">
        <v>929</v>
      </c>
      <c r="N1054">
        <v>44.76</v>
      </c>
      <c r="O1054" s="1">
        <v>45464</v>
      </c>
      <c r="P1054" s="1">
        <v>45473</v>
      </c>
      <c r="Q1054" s="2" t="s">
        <v>45</v>
      </c>
      <c r="R1054" s="2">
        <v>7222</v>
      </c>
    </row>
    <row r="1055" spans="1:18" x14ac:dyDescent="0.25">
      <c r="A1055" s="1">
        <v>45756</v>
      </c>
      <c r="B1055" s="2" t="s">
        <v>35</v>
      </c>
      <c r="C1055" s="2" t="s">
        <v>126</v>
      </c>
      <c r="D1055">
        <v>3</v>
      </c>
      <c r="E1055">
        <v>239</v>
      </c>
      <c r="F1055" s="2" t="s">
        <v>46</v>
      </c>
      <c r="G1055" s="2" t="s">
        <v>29</v>
      </c>
      <c r="H1055">
        <v>0.1</v>
      </c>
      <c r="I1055" s="2" t="s">
        <v>62</v>
      </c>
      <c r="J1055" s="2" t="s">
        <v>31</v>
      </c>
      <c r="K1055">
        <v>0</v>
      </c>
      <c r="L1055" s="2" t="s">
        <v>2091</v>
      </c>
      <c r="M1055" s="2" t="s">
        <v>2092</v>
      </c>
      <c r="N1055">
        <v>37.07</v>
      </c>
      <c r="O1055" s="1">
        <v>45756</v>
      </c>
      <c r="P1055" s="1">
        <v>45765</v>
      </c>
      <c r="Q1055" s="2" t="s">
        <v>39</v>
      </c>
      <c r="R1055" s="2">
        <v>645</v>
      </c>
    </row>
    <row r="1056" spans="1:18" x14ac:dyDescent="0.25">
      <c r="A1056" s="1">
        <v>45668</v>
      </c>
      <c r="B1056" s="2" t="s">
        <v>35</v>
      </c>
      <c r="C1056" s="2" t="s">
        <v>75</v>
      </c>
      <c r="D1056">
        <v>16</v>
      </c>
      <c r="E1056">
        <v>332</v>
      </c>
      <c r="F1056" s="2" t="s">
        <v>46</v>
      </c>
      <c r="G1056" s="2" t="s">
        <v>29</v>
      </c>
      <c r="H1056">
        <v>0.1</v>
      </c>
      <c r="I1056" s="2" t="s">
        <v>21</v>
      </c>
      <c r="J1056" s="2" t="s">
        <v>53</v>
      </c>
      <c r="K1056">
        <v>1</v>
      </c>
      <c r="L1056" s="2" t="s">
        <v>2093</v>
      </c>
      <c r="M1056" s="2" t="s">
        <v>2094</v>
      </c>
      <c r="N1056">
        <v>34.97</v>
      </c>
      <c r="O1056" s="1">
        <v>45668</v>
      </c>
      <c r="P1056" s="1">
        <v>45676</v>
      </c>
      <c r="Q1056" s="2" t="s">
        <v>39</v>
      </c>
      <c r="R1056" s="2">
        <v>4781</v>
      </c>
    </row>
    <row r="1057" spans="1:18" x14ac:dyDescent="0.25">
      <c r="A1057" s="1">
        <v>45486</v>
      </c>
      <c r="B1057" s="2" t="s">
        <v>40</v>
      </c>
      <c r="C1057" s="2" t="s">
        <v>126</v>
      </c>
      <c r="D1057">
        <v>9</v>
      </c>
      <c r="E1057">
        <v>455</v>
      </c>
      <c r="F1057" s="2" t="s">
        <v>51</v>
      </c>
      <c r="G1057" s="2" t="s">
        <v>20</v>
      </c>
      <c r="H1057">
        <v>0.05</v>
      </c>
      <c r="I1057" s="2" t="s">
        <v>47</v>
      </c>
      <c r="J1057" s="2" t="s">
        <v>56</v>
      </c>
      <c r="K1057">
        <v>0</v>
      </c>
      <c r="L1057" s="2" t="s">
        <v>2095</v>
      </c>
      <c r="M1057" s="2" t="s">
        <v>2096</v>
      </c>
      <c r="N1057">
        <v>32.86</v>
      </c>
      <c r="O1057" s="1">
        <v>45486</v>
      </c>
      <c r="P1057" s="1">
        <v>45493</v>
      </c>
      <c r="Q1057" s="2" t="s">
        <v>45</v>
      </c>
      <c r="R1057" s="2">
        <v>3890</v>
      </c>
    </row>
    <row r="1058" spans="1:18" x14ac:dyDescent="0.25">
      <c r="A1058" s="1">
        <v>45661</v>
      </c>
      <c r="B1058" s="2" t="s">
        <v>65</v>
      </c>
      <c r="C1058" s="2" t="s">
        <v>126</v>
      </c>
      <c r="D1058">
        <v>6</v>
      </c>
      <c r="E1058">
        <v>541</v>
      </c>
      <c r="F1058" s="2" t="s">
        <v>28</v>
      </c>
      <c r="G1058" s="2" t="s">
        <v>29</v>
      </c>
      <c r="H1058">
        <v>0.05</v>
      </c>
      <c r="I1058" s="2" t="s">
        <v>47</v>
      </c>
      <c r="J1058" s="2" t="s">
        <v>56</v>
      </c>
      <c r="K1058">
        <v>0</v>
      </c>
      <c r="L1058" s="2" t="s">
        <v>2097</v>
      </c>
      <c r="M1058" s="2" t="s">
        <v>2098</v>
      </c>
      <c r="N1058">
        <v>19.77</v>
      </c>
      <c r="O1058" s="1">
        <v>45661</v>
      </c>
      <c r="P1058" s="1">
        <v>45667</v>
      </c>
      <c r="Q1058" s="2" t="s">
        <v>68</v>
      </c>
      <c r="R1058" s="2">
        <v>3084</v>
      </c>
    </row>
    <row r="1059" spans="1:18" x14ac:dyDescent="0.25">
      <c r="A1059" s="1">
        <v>45224</v>
      </c>
      <c r="B1059" s="2" t="s">
        <v>65</v>
      </c>
      <c r="C1059" s="2" t="s">
        <v>36</v>
      </c>
      <c r="D1059">
        <v>14</v>
      </c>
      <c r="E1059">
        <v>147</v>
      </c>
      <c r="F1059" s="2" t="s">
        <v>51</v>
      </c>
      <c r="G1059" s="2" t="s">
        <v>20</v>
      </c>
      <c r="H1059">
        <v>0.15</v>
      </c>
      <c r="I1059" s="2" t="s">
        <v>42</v>
      </c>
      <c r="J1059" s="2" t="s">
        <v>56</v>
      </c>
      <c r="K1059">
        <v>1</v>
      </c>
      <c r="L1059" s="2" t="s">
        <v>2099</v>
      </c>
      <c r="M1059" s="2" t="s">
        <v>2100</v>
      </c>
      <c r="N1059">
        <v>45.75</v>
      </c>
      <c r="O1059" s="1">
        <v>45224</v>
      </c>
      <c r="P1059" s="1">
        <v>45230</v>
      </c>
      <c r="Q1059" s="2" t="s">
        <v>68</v>
      </c>
      <c r="R1059" s="2">
        <v>1749</v>
      </c>
    </row>
    <row r="1060" spans="1:18" x14ac:dyDescent="0.25">
      <c r="A1060" s="1">
        <v>45199</v>
      </c>
      <c r="B1060" s="2" t="s">
        <v>26</v>
      </c>
      <c r="C1060" s="2" t="s">
        <v>18</v>
      </c>
      <c r="D1060">
        <v>7</v>
      </c>
      <c r="E1060">
        <v>421</v>
      </c>
      <c r="F1060" s="2" t="s">
        <v>51</v>
      </c>
      <c r="G1060" s="2" t="s">
        <v>20</v>
      </c>
      <c r="H1060">
        <v>0.15</v>
      </c>
      <c r="I1060" s="2" t="s">
        <v>52</v>
      </c>
      <c r="J1060" s="2" t="s">
        <v>31</v>
      </c>
      <c r="K1060">
        <v>0</v>
      </c>
      <c r="L1060" s="2" t="s">
        <v>2101</v>
      </c>
      <c r="M1060" s="2" t="s">
        <v>2102</v>
      </c>
      <c r="N1060">
        <v>44.49</v>
      </c>
      <c r="O1060" s="1">
        <v>45199</v>
      </c>
      <c r="P1060" s="1">
        <v>45201</v>
      </c>
      <c r="Q1060" s="2" t="s">
        <v>34</v>
      </c>
      <c r="R1060" s="2">
        <v>2505</v>
      </c>
    </row>
    <row r="1061" spans="1:18" x14ac:dyDescent="0.25">
      <c r="A1061" s="1">
        <v>45001</v>
      </c>
      <c r="B1061" s="2" t="s">
        <v>35</v>
      </c>
      <c r="C1061" s="2" t="s">
        <v>27</v>
      </c>
      <c r="D1061">
        <v>20</v>
      </c>
      <c r="E1061">
        <v>436</v>
      </c>
      <c r="F1061" s="2" t="s">
        <v>51</v>
      </c>
      <c r="G1061" s="2" t="s">
        <v>29</v>
      </c>
      <c r="H1061">
        <v>0</v>
      </c>
      <c r="I1061" s="2" t="s">
        <v>52</v>
      </c>
      <c r="J1061" s="2" t="s">
        <v>53</v>
      </c>
      <c r="K1061">
        <v>1</v>
      </c>
      <c r="L1061" s="2" t="s">
        <v>2103</v>
      </c>
      <c r="M1061" s="2" t="s">
        <v>2104</v>
      </c>
      <c r="N1061">
        <v>37.49</v>
      </c>
      <c r="O1061" s="1">
        <v>45001</v>
      </c>
      <c r="P1061" s="1">
        <v>45011</v>
      </c>
      <c r="Q1061" s="2" t="s">
        <v>39</v>
      </c>
      <c r="R1061" s="2">
        <v>8720</v>
      </c>
    </row>
    <row r="1062" spans="1:18" x14ac:dyDescent="0.25">
      <c r="A1062" s="1">
        <v>45133</v>
      </c>
      <c r="B1062" s="2" t="s">
        <v>35</v>
      </c>
      <c r="C1062" s="2" t="s">
        <v>18</v>
      </c>
      <c r="D1062">
        <v>18</v>
      </c>
      <c r="E1062">
        <v>437</v>
      </c>
      <c r="F1062" s="2" t="s">
        <v>28</v>
      </c>
      <c r="G1062" s="2" t="s">
        <v>20</v>
      </c>
      <c r="H1062">
        <v>0.1</v>
      </c>
      <c r="I1062" s="2" t="s">
        <v>62</v>
      </c>
      <c r="J1062" s="2" t="s">
        <v>53</v>
      </c>
      <c r="K1062">
        <v>0</v>
      </c>
      <c r="L1062" s="2" t="s">
        <v>2105</v>
      </c>
      <c r="M1062" s="2" t="s">
        <v>1150</v>
      </c>
      <c r="N1062">
        <v>28.8</v>
      </c>
      <c r="O1062" s="1">
        <v>45133</v>
      </c>
      <c r="P1062" s="1">
        <v>45140</v>
      </c>
      <c r="Q1062" s="2" t="s">
        <v>39</v>
      </c>
      <c r="R1062" s="2">
        <v>7079</v>
      </c>
    </row>
    <row r="1063" spans="1:18" x14ac:dyDescent="0.25">
      <c r="A1063" s="1">
        <v>45117</v>
      </c>
      <c r="B1063" s="2" t="s">
        <v>17</v>
      </c>
      <c r="C1063" s="2" t="s">
        <v>50</v>
      </c>
      <c r="D1063">
        <v>2</v>
      </c>
      <c r="E1063">
        <v>328</v>
      </c>
      <c r="F1063" s="2" t="s">
        <v>28</v>
      </c>
      <c r="G1063" s="2" t="s">
        <v>29</v>
      </c>
      <c r="H1063">
        <v>0.05</v>
      </c>
      <c r="I1063" s="2" t="s">
        <v>52</v>
      </c>
      <c r="J1063" s="2" t="s">
        <v>56</v>
      </c>
      <c r="K1063">
        <v>0</v>
      </c>
      <c r="L1063" s="2" t="s">
        <v>2106</v>
      </c>
      <c r="M1063" s="2" t="s">
        <v>2107</v>
      </c>
      <c r="N1063">
        <v>19.489999999999998</v>
      </c>
      <c r="O1063" s="1">
        <v>45117</v>
      </c>
      <c r="P1063" s="1">
        <v>45126</v>
      </c>
      <c r="Q1063" s="2" t="s">
        <v>25</v>
      </c>
      <c r="R1063" s="2">
        <v>623</v>
      </c>
    </row>
    <row r="1064" spans="1:18" x14ac:dyDescent="0.25">
      <c r="A1064" s="1">
        <v>45510</v>
      </c>
      <c r="B1064" s="2" t="s">
        <v>17</v>
      </c>
      <c r="C1064" s="2" t="s">
        <v>126</v>
      </c>
      <c r="D1064">
        <v>18</v>
      </c>
      <c r="E1064">
        <v>167</v>
      </c>
      <c r="F1064" s="2" t="s">
        <v>46</v>
      </c>
      <c r="G1064" s="2" t="s">
        <v>20</v>
      </c>
      <c r="H1064">
        <v>0.05</v>
      </c>
      <c r="I1064" s="2" t="s">
        <v>30</v>
      </c>
      <c r="J1064" s="2" t="s">
        <v>31</v>
      </c>
      <c r="K1064">
        <v>0</v>
      </c>
      <c r="L1064" s="2" t="s">
        <v>2108</v>
      </c>
      <c r="M1064" s="2" t="s">
        <v>2109</v>
      </c>
      <c r="N1064">
        <v>9.35</v>
      </c>
      <c r="O1064" s="1">
        <v>45510</v>
      </c>
      <c r="P1064" s="1">
        <v>45520</v>
      </c>
      <c r="Q1064" s="2" t="s">
        <v>25</v>
      </c>
      <c r="R1064" s="2">
        <v>2856</v>
      </c>
    </row>
    <row r="1065" spans="1:18" x14ac:dyDescent="0.25">
      <c r="A1065" s="1">
        <v>45489</v>
      </c>
      <c r="B1065" s="2" t="s">
        <v>40</v>
      </c>
      <c r="C1065" s="2" t="s">
        <v>27</v>
      </c>
      <c r="D1065">
        <v>14</v>
      </c>
      <c r="E1065">
        <v>300</v>
      </c>
      <c r="F1065" s="2" t="s">
        <v>28</v>
      </c>
      <c r="G1065" s="2" t="s">
        <v>29</v>
      </c>
      <c r="H1065">
        <v>0.1</v>
      </c>
      <c r="I1065" s="2" t="s">
        <v>30</v>
      </c>
      <c r="J1065" s="2" t="s">
        <v>22</v>
      </c>
      <c r="K1065">
        <v>0</v>
      </c>
      <c r="L1065" s="2" t="s">
        <v>2110</v>
      </c>
      <c r="M1065" s="2" t="s">
        <v>2111</v>
      </c>
      <c r="N1065">
        <v>38.6</v>
      </c>
      <c r="O1065" s="1">
        <v>45489</v>
      </c>
      <c r="P1065" s="1">
        <v>45492</v>
      </c>
      <c r="Q1065" s="2" t="s">
        <v>45</v>
      </c>
      <c r="R1065" s="2">
        <v>3780</v>
      </c>
    </row>
    <row r="1066" spans="1:18" x14ac:dyDescent="0.25">
      <c r="A1066" s="1">
        <v>45322</v>
      </c>
      <c r="B1066" s="2" t="s">
        <v>35</v>
      </c>
      <c r="C1066" s="2" t="s">
        <v>126</v>
      </c>
      <c r="D1066">
        <v>5</v>
      </c>
      <c r="E1066">
        <v>232</v>
      </c>
      <c r="F1066" s="2" t="s">
        <v>28</v>
      </c>
      <c r="G1066" s="2" t="s">
        <v>20</v>
      </c>
      <c r="H1066">
        <v>0</v>
      </c>
      <c r="I1066" s="2" t="s">
        <v>30</v>
      </c>
      <c r="J1066" s="2" t="s">
        <v>22</v>
      </c>
      <c r="K1066">
        <v>1</v>
      </c>
      <c r="L1066" s="2" t="s">
        <v>2112</v>
      </c>
      <c r="M1066" s="2" t="s">
        <v>2113</v>
      </c>
      <c r="N1066">
        <v>42.38</v>
      </c>
      <c r="O1066" s="1">
        <v>45322</v>
      </c>
      <c r="P1066" s="1">
        <v>45331</v>
      </c>
      <c r="Q1066" s="2" t="s">
        <v>39</v>
      </c>
      <c r="R1066" s="2">
        <v>1160</v>
      </c>
    </row>
    <row r="1067" spans="1:18" x14ac:dyDescent="0.25">
      <c r="A1067" s="1">
        <v>45038</v>
      </c>
      <c r="B1067" s="2" t="s">
        <v>40</v>
      </c>
      <c r="C1067" s="2" t="s">
        <v>75</v>
      </c>
      <c r="D1067">
        <v>1</v>
      </c>
      <c r="E1067">
        <v>173</v>
      </c>
      <c r="F1067" s="2" t="s">
        <v>28</v>
      </c>
      <c r="G1067" s="2" t="s">
        <v>29</v>
      </c>
      <c r="H1067">
        <v>0</v>
      </c>
      <c r="I1067" s="2" t="s">
        <v>62</v>
      </c>
      <c r="J1067" s="2" t="s">
        <v>31</v>
      </c>
      <c r="K1067">
        <v>0</v>
      </c>
      <c r="L1067" s="2" t="s">
        <v>2114</v>
      </c>
      <c r="M1067" s="2" t="s">
        <v>2115</v>
      </c>
      <c r="N1067">
        <v>32.83</v>
      </c>
      <c r="O1067" s="1">
        <v>45038</v>
      </c>
      <c r="P1067" s="1">
        <v>45040</v>
      </c>
      <c r="Q1067" s="2" t="s">
        <v>45</v>
      </c>
      <c r="R1067" s="2">
        <v>173</v>
      </c>
    </row>
    <row r="1068" spans="1:18" x14ac:dyDescent="0.25">
      <c r="A1068" s="1">
        <v>45692</v>
      </c>
      <c r="B1068" s="2" t="s">
        <v>17</v>
      </c>
      <c r="C1068" s="2" t="s">
        <v>27</v>
      </c>
      <c r="D1068">
        <v>9</v>
      </c>
      <c r="E1068">
        <v>256</v>
      </c>
      <c r="F1068" s="2" t="s">
        <v>28</v>
      </c>
      <c r="G1068" s="2" t="s">
        <v>29</v>
      </c>
      <c r="H1068">
        <v>0.15</v>
      </c>
      <c r="I1068" s="2" t="s">
        <v>42</v>
      </c>
      <c r="J1068" s="2" t="s">
        <v>53</v>
      </c>
      <c r="K1068">
        <v>1</v>
      </c>
      <c r="L1068" s="2" t="s">
        <v>2116</v>
      </c>
      <c r="M1068" s="2" t="s">
        <v>2117</v>
      </c>
      <c r="N1068">
        <v>5.21</v>
      </c>
      <c r="O1068" s="1">
        <v>45692</v>
      </c>
      <c r="P1068" s="1">
        <v>45695</v>
      </c>
      <c r="Q1068" s="2" t="s">
        <v>25</v>
      </c>
      <c r="R1068" s="2">
        <v>1958</v>
      </c>
    </row>
    <row r="1069" spans="1:18" x14ac:dyDescent="0.25">
      <c r="A1069" s="1">
        <v>45529</v>
      </c>
      <c r="B1069" s="2" t="s">
        <v>40</v>
      </c>
      <c r="C1069" s="2" t="s">
        <v>18</v>
      </c>
      <c r="D1069">
        <v>12</v>
      </c>
      <c r="E1069">
        <v>461</v>
      </c>
      <c r="F1069" s="2" t="s">
        <v>51</v>
      </c>
      <c r="G1069" s="2" t="s">
        <v>20</v>
      </c>
      <c r="H1069">
        <v>0.15</v>
      </c>
      <c r="I1069" s="2" t="s">
        <v>52</v>
      </c>
      <c r="J1069" s="2" t="s">
        <v>31</v>
      </c>
      <c r="K1069">
        <v>0</v>
      </c>
      <c r="L1069" s="2" t="s">
        <v>2118</v>
      </c>
      <c r="M1069" s="2" t="s">
        <v>2119</v>
      </c>
      <c r="N1069">
        <v>8.6</v>
      </c>
      <c r="O1069" s="1">
        <v>45529</v>
      </c>
      <c r="P1069" s="1">
        <v>45538</v>
      </c>
      <c r="Q1069" s="2" t="s">
        <v>45</v>
      </c>
      <c r="R1069" s="2">
        <v>4702</v>
      </c>
    </row>
    <row r="1070" spans="1:18" x14ac:dyDescent="0.25">
      <c r="A1070" s="1">
        <v>45168</v>
      </c>
      <c r="B1070" s="2" t="s">
        <v>17</v>
      </c>
      <c r="C1070" s="2" t="s">
        <v>27</v>
      </c>
      <c r="D1070">
        <v>1</v>
      </c>
      <c r="E1070">
        <v>193</v>
      </c>
      <c r="F1070" s="2" t="s">
        <v>28</v>
      </c>
      <c r="G1070" s="2" t="s">
        <v>20</v>
      </c>
      <c r="H1070">
        <v>0.05</v>
      </c>
      <c r="I1070" s="2" t="s">
        <v>42</v>
      </c>
      <c r="J1070" s="2" t="s">
        <v>22</v>
      </c>
      <c r="K1070">
        <v>0</v>
      </c>
      <c r="L1070" s="2" t="s">
        <v>2120</v>
      </c>
      <c r="M1070" s="2" t="s">
        <v>1676</v>
      </c>
      <c r="N1070">
        <v>23.99</v>
      </c>
      <c r="O1070" s="1">
        <v>45168</v>
      </c>
      <c r="P1070" s="1">
        <v>45174</v>
      </c>
      <c r="Q1070" s="2" t="s">
        <v>25</v>
      </c>
      <c r="R1070" s="2">
        <v>183</v>
      </c>
    </row>
    <row r="1071" spans="1:18" x14ac:dyDescent="0.25">
      <c r="A1071" s="1">
        <v>45175</v>
      </c>
      <c r="B1071" s="2" t="s">
        <v>65</v>
      </c>
      <c r="C1071" s="2" t="s">
        <v>41</v>
      </c>
      <c r="D1071">
        <v>3</v>
      </c>
      <c r="E1071">
        <v>313</v>
      </c>
      <c r="F1071" s="2" t="s">
        <v>46</v>
      </c>
      <c r="G1071" s="2" t="s">
        <v>29</v>
      </c>
      <c r="H1071">
        <v>0.05</v>
      </c>
      <c r="I1071" s="2" t="s">
        <v>21</v>
      </c>
      <c r="J1071" s="2" t="s">
        <v>53</v>
      </c>
      <c r="K1071">
        <v>1</v>
      </c>
      <c r="L1071" s="2" t="s">
        <v>2121</v>
      </c>
      <c r="M1071" s="2" t="s">
        <v>2122</v>
      </c>
      <c r="N1071">
        <v>20.059999999999999</v>
      </c>
      <c r="O1071" s="1">
        <v>45175</v>
      </c>
      <c r="P1071" s="1">
        <v>45181</v>
      </c>
      <c r="Q1071" s="2" t="s">
        <v>68</v>
      </c>
      <c r="R1071" s="2">
        <v>892</v>
      </c>
    </row>
    <row r="1072" spans="1:18" x14ac:dyDescent="0.25">
      <c r="A1072" s="1">
        <v>45790</v>
      </c>
      <c r="B1072" s="2" t="s">
        <v>26</v>
      </c>
      <c r="C1072" s="2" t="s">
        <v>18</v>
      </c>
      <c r="D1072">
        <v>6</v>
      </c>
      <c r="E1072">
        <v>214</v>
      </c>
      <c r="F1072" s="2" t="s">
        <v>51</v>
      </c>
      <c r="G1072" s="2" t="s">
        <v>20</v>
      </c>
      <c r="H1072">
        <v>0.05</v>
      </c>
      <c r="I1072" s="2" t="s">
        <v>52</v>
      </c>
      <c r="J1072" s="2" t="s">
        <v>59</v>
      </c>
      <c r="K1072">
        <v>0</v>
      </c>
      <c r="L1072" s="2" t="s">
        <v>2123</v>
      </c>
      <c r="M1072" s="2" t="s">
        <v>2124</v>
      </c>
      <c r="N1072">
        <v>44.86</v>
      </c>
      <c r="O1072" s="1">
        <v>45790</v>
      </c>
      <c r="P1072" s="1">
        <v>45798</v>
      </c>
      <c r="Q1072" s="2" t="s">
        <v>34</v>
      </c>
      <c r="R1072" s="2">
        <v>1220</v>
      </c>
    </row>
    <row r="1073" spans="1:18" x14ac:dyDescent="0.25">
      <c r="A1073" s="1">
        <v>45228</v>
      </c>
      <c r="B1073" s="2" t="s">
        <v>35</v>
      </c>
      <c r="C1073" s="2" t="s">
        <v>27</v>
      </c>
      <c r="D1073">
        <v>4</v>
      </c>
      <c r="E1073">
        <v>60</v>
      </c>
      <c r="F1073" s="2" t="s">
        <v>51</v>
      </c>
      <c r="G1073" s="2" t="s">
        <v>29</v>
      </c>
      <c r="H1073">
        <v>0.1</v>
      </c>
      <c r="I1073" s="2" t="s">
        <v>42</v>
      </c>
      <c r="J1073" s="2" t="s">
        <v>22</v>
      </c>
      <c r="K1073">
        <v>0</v>
      </c>
      <c r="L1073" s="2" t="s">
        <v>2125</v>
      </c>
      <c r="M1073" s="2" t="s">
        <v>2126</v>
      </c>
      <c r="N1073">
        <v>42.59</v>
      </c>
      <c r="O1073" s="1">
        <v>45228</v>
      </c>
      <c r="P1073" s="1">
        <v>45236</v>
      </c>
      <c r="Q1073" s="2" t="s">
        <v>39</v>
      </c>
      <c r="R1073" s="2">
        <v>216</v>
      </c>
    </row>
    <row r="1074" spans="1:18" x14ac:dyDescent="0.25">
      <c r="A1074" s="1">
        <v>45455</v>
      </c>
      <c r="B1074" s="2" t="s">
        <v>17</v>
      </c>
      <c r="C1074" s="2" t="s">
        <v>18</v>
      </c>
      <c r="D1074">
        <v>9</v>
      </c>
      <c r="E1074">
        <v>418</v>
      </c>
      <c r="F1074" s="2" t="s">
        <v>46</v>
      </c>
      <c r="G1074" s="2" t="s">
        <v>20</v>
      </c>
      <c r="H1074">
        <v>0</v>
      </c>
      <c r="I1074" s="2" t="s">
        <v>62</v>
      </c>
      <c r="J1074" s="2" t="s">
        <v>53</v>
      </c>
      <c r="K1074">
        <v>0</v>
      </c>
      <c r="L1074" s="2" t="s">
        <v>2127</v>
      </c>
      <c r="M1074" s="2" t="s">
        <v>2128</v>
      </c>
      <c r="N1074">
        <v>30.45</v>
      </c>
      <c r="O1074" s="1">
        <v>45455</v>
      </c>
      <c r="P1074" s="1">
        <v>45461</v>
      </c>
      <c r="Q1074" s="2" t="s">
        <v>25</v>
      </c>
      <c r="R1074" s="2">
        <v>3762</v>
      </c>
    </row>
    <row r="1075" spans="1:18" x14ac:dyDescent="0.25">
      <c r="A1075" s="1">
        <v>44959</v>
      </c>
      <c r="B1075" s="2" t="s">
        <v>26</v>
      </c>
      <c r="C1075" s="2" t="s">
        <v>41</v>
      </c>
      <c r="D1075">
        <v>1</v>
      </c>
      <c r="E1075">
        <v>81</v>
      </c>
      <c r="F1075" s="2" t="s">
        <v>28</v>
      </c>
      <c r="G1075" s="2" t="s">
        <v>20</v>
      </c>
      <c r="H1075">
        <v>0</v>
      </c>
      <c r="I1075" s="2" t="s">
        <v>62</v>
      </c>
      <c r="J1075" s="2" t="s">
        <v>53</v>
      </c>
      <c r="K1075">
        <v>0</v>
      </c>
      <c r="L1075" s="2" t="s">
        <v>2129</v>
      </c>
      <c r="M1075" s="2" t="s">
        <v>2130</v>
      </c>
      <c r="N1075">
        <v>48.07</v>
      </c>
      <c r="O1075" s="1">
        <v>44959</v>
      </c>
      <c r="P1075" s="1">
        <v>44962</v>
      </c>
      <c r="Q1075" s="2" t="s">
        <v>34</v>
      </c>
      <c r="R1075" s="2">
        <v>81</v>
      </c>
    </row>
    <row r="1076" spans="1:18" x14ac:dyDescent="0.25">
      <c r="A1076" s="1">
        <v>45050</v>
      </c>
      <c r="B1076" s="2" t="s">
        <v>17</v>
      </c>
      <c r="C1076" s="2" t="s">
        <v>27</v>
      </c>
      <c r="D1076">
        <v>20</v>
      </c>
      <c r="E1076">
        <v>42</v>
      </c>
      <c r="F1076" s="2" t="s">
        <v>19</v>
      </c>
      <c r="G1076" s="2" t="s">
        <v>20</v>
      </c>
      <c r="H1076">
        <v>0.15</v>
      </c>
      <c r="I1076" s="2" t="s">
        <v>30</v>
      </c>
      <c r="J1076" s="2" t="s">
        <v>53</v>
      </c>
      <c r="K1076">
        <v>0</v>
      </c>
      <c r="L1076" s="2" t="s">
        <v>2131</v>
      </c>
      <c r="M1076" s="2" t="s">
        <v>2132</v>
      </c>
      <c r="N1076">
        <v>43.22</v>
      </c>
      <c r="O1076" s="1">
        <v>45050</v>
      </c>
      <c r="P1076" s="1">
        <v>45058</v>
      </c>
      <c r="Q1076" s="2" t="s">
        <v>25</v>
      </c>
      <c r="R1076" s="2">
        <v>714</v>
      </c>
    </row>
    <row r="1077" spans="1:18" x14ac:dyDescent="0.25">
      <c r="A1077" s="1">
        <v>45070</v>
      </c>
      <c r="B1077" s="2" t="s">
        <v>65</v>
      </c>
      <c r="C1077" s="2" t="s">
        <v>50</v>
      </c>
      <c r="D1077">
        <v>3</v>
      </c>
      <c r="E1077">
        <v>367</v>
      </c>
      <c r="F1077" s="2" t="s">
        <v>51</v>
      </c>
      <c r="G1077" s="2" t="s">
        <v>20</v>
      </c>
      <c r="H1077">
        <v>0</v>
      </c>
      <c r="I1077" s="2" t="s">
        <v>47</v>
      </c>
      <c r="J1077" s="2" t="s">
        <v>53</v>
      </c>
      <c r="K1077">
        <v>0</v>
      </c>
      <c r="L1077" s="2" t="s">
        <v>2133</v>
      </c>
      <c r="M1077" s="2" t="s">
        <v>2134</v>
      </c>
      <c r="N1077">
        <v>33.6</v>
      </c>
      <c r="O1077" s="1">
        <v>45070</v>
      </c>
      <c r="P1077" s="1">
        <v>45077</v>
      </c>
      <c r="Q1077" s="2" t="s">
        <v>68</v>
      </c>
      <c r="R1077" s="2">
        <v>1101</v>
      </c>
    </row>
    <row r="1078" spans="1:18" x14ac:dyDescent="0.25">
      <c r="A1078" s="1">
        <v>44960</v>
      </c>
      <c r="B1078" s="2" t="s">
        <v>65</v>
      </c>
      <c r="C1078" s="2" t="s">
        <v>50</v>
      </c>
      <c r="D1078">
        <v>19</v>
      </c>
      <c r="E1078">
        <v>535</v>
      </c>
      <c r="F1078" s="2" t="s">
        <v>51</v>
      </c>
      <c r="G1078" s="2" t="s">
        <v>29</v>
      </c>
      <c r="H1078">
        <v>0</v>
      </c>
      <c r="I1078" s="2" t="s">
        <v>52</v>
      </c>
      <c r="J1078" s="2" t="s">
        <v>22</v>
      </c>
      <c r="K1078">
        <v>0</v>
      </c>
      <c r="L1078" s="2" t="s">
        <v>2135</v>
      </c>
      <c r="M1078" s="2" t="s">
        <v>2136</v>
      </c>
      <c r="N1078">
        <v>26.97</v>
      </c>
      <c r="O1078" s="1">
        <v>44960</v>
      </c>
      <c r="P1078" s="1">
        <v>44970</v>
      </c>
      <c r="Q1078" s="2" t="s">
        <v>68</v>
      </c>
      <c r="R1078" s="2">
        <v>10165</v>
      </c>
    </row>
    <row r="1079" spans="1:18" x14ac:dyDescent="0.25">
      <c r="A1079" s="1">
        <v>45285</v>
      </c>
      <c r="B1079" s="2" t="s">
        <v>17</v>
      </c>
      <c r="C1079" s="2" t="s">
        <v>41</v>
      </c>
      <c r="D1079">
        <v>1</v>
      </c>
      <c r="E1079">
        <v>495</v>
      </c>
      <c r="F1079" s="2" t="s">
        <v>51</v>
      </c>
      <c r="G1079" s="2" t="s">
        <v>29</v>
      </c>
      <c r="H1079">
        <v>0</v>
      </c>
      <c r="I1079" s="2" t="s">
        <v>62</v>
      </c>
      <c r="J1079" s="2" t="s">
        <v>53</v>
      </c>
      <c r="K1079">
        <v>0</v>
      </c>
      <c r="L1079" s="2" t="s">
        <v>2137</v>
      </c>
      <c r="M1079" s="2" t="s">
        <v>2138</v>
      </c>
      <c r="N1079">
        <v>43.02</v>
      </c>
      <c r="O1079" s="1">
        <v>45285</v>
      </c>
      <c r="P1079" s="1">
        <v>45293</v>
      </c>
      <c r="Q1079" s="2" t="s">
        <v>25</v>
      </c>
      <c r="R1079" s="2">
        <v>495</v>
      </c>
    </row>
    <row r="1080" spans="1:18" x14ac:dyDescent="0.25">
      <c r="A1080" s="1">
        <v>45133</v>
      </c>
      <c r="B1080" s="2" t="s">
        <v>17</v>
      </c>
      <c r="C1080" s="2" t="s">
        <v>50</v>
      </c>
      <c r="D1080">
        <v>6</v>
      </c>
      <c r="E1080">
        <v>345</v>
      </c>
      <c r="F1080" s="2" t="s">
        <v>51</v>
      </c>
      <c r="G1080" s="2" t="s">
        <v>20</v>
      </c>
      <c r="H1080">
        <v>0.1</v>
      </c>
      <c r="I1080" s="2" t="s">
        <v>52</v>
      </c>
      <c r="J1080" s="2" t="s">
        <v>22</v>
      </c>
      <c r="K1080">
        <v>1</v>
      </c>
      <c r="L1080" s="2" t="s">
        <v>2139</v>
      </c>
      <c r="M1080" s="2" t="s">
        <v>2140</v>
      </c>
      <c r="N1080">
        <v>31.13</v>
      </c>
      <c r="O1080" s="1">
        <v>45133</v>
      </c>
      <c r="P1080" s="1">
        <v>45139</v>
      </c>
      <c r="Q1080" s="2" t="s">
        <v>25</v>
      </c>
      <c r="R1080" s="2">
        <v>1863</v>
      </c>
    </row>
    <row r="1081" spans="1:18" x14ac:dyDescent="0.25">
      <c r="A1081" s="1">
        <v>45449</v>
      </c>
      <c r="B1081" s="2" t="s">
        <v>40</v>
      </c>
      <c r="C1081" s="2" t="s">
        <v>50</v>
      </c>
      <c r="D1081">
        <v>12</v>
      </c>
      <c r="E1081">
        <v>489</v>
      </c>
      <c r="F1081" s="2" t="s">
        <v>51</v>
      </c>
      <c r="G1081" s="2" t="s">
        <v>29</v>
      </c>
      <c r="H1081">
        <v>0.15</v>
      </c>
      <c r="I1081" s="2" t="s">
        <v>62</v>
      </c>
      <c r="J1081" s="2" t="s">
        <v>22</v>
      </c>
      <c r="K1081">
        <v>0</v>
      </c>
      <c r="L1081" s="2" t="s">
        <v>2141</v>
      </c>
      <c r="M1081" s="2" t="s">
        <v>202</v>
      </c>
      <c r="N1081">
        <v>29.31</v>
      </c>
      <c r="O1081" s="1">
        <v>45449</v>
      </c>
      <c r="P1081" s="1">
        <v>45458</v>
      </c>
      <c r="Q1081" s="2" t="s">
        <v>45</v>
      </c>
      <c r="R1081" s="2">
        <v>4988</v>
      </c>
    </row>
    <row r="1082" spans="1:18" x14ac:dyDescent="0.25">
      <c r="A1082" s="1">
        <v>45578</v>
      </c>
      <c r="B1082" s="2" t="s">
        <v>26</v>
      </c>
      <c r="C1082" s="2" t="s">
        <v>126</v>
      </c>
      <c r="D1082">
        <v>18</v>
      </c>
      <c r="E1082">
        <v>256</v>
      </c>
      <c r="F1082" s="2" t="s">
        <v>19</v>
      </c>
      <c r="G1082" s="2" t="s">
        <v>20</v>
      </c>
      <c r="H1082">
        <v>0.05</v>
      </c>
      <c r="I1082" s="2" t="s">
        <v>21</v>
      </c>
      <c r="J1082" s="2" t="s">
        <v>56</v>
      </c>
      <c r="K1082">
        <v>0</v>
      </c>
      <c r="L1082" s="2" t="s">
        <v>2142</v>
      </c>
      <c r="M1082" s="2" t="s">
        <v>2143</v>
      </c>
      <c r="N1082">
        <v>11.21</v>
      </c>
      <c r="O1082" s="1">
        <v>45578</v>
      </c>
      <c r="P1082" s="1">
        <v>45583</v>
      </c>
      <c r="Q1082" s="2" t="s">
        <v>34</v>
      </c>
      <c r="R1082" s="2">
        <v>4378</v>
      </c>
    </row>
    <row r="1083" spans="1:18" x14ac:dyDescent="0.25">
      <c r="A1083" s="1">
        <v>45599</v>
      </c>
      <c r="B1083" s="2" t="s">
        <v>35</v>
      </c>
      <c r="C1083" s="2" t="s">
        <v>126</v>
      </c>
      <c r="D1083">
        <v>17</v>
      </c>
      <c r="E1083">
        <v>100</v>
      </c>
      <c r="F1083" s="2" t="s">
        <v>46</v>
      </c>
      <c r="G1083" s="2" t="s">
        <v>20</v>
      </c>
      <c r="H1083">
        <v>0</v>
      </c>
      <c r="I1083" s="2" t="s">
        <v>52</v>
      </c>
      <c r="J1083" s="2" t="s">
        <v>22</v>
      </c>
      <c r="K1083">
        <v>1</v>
      </c>
      <c r="L1083" s="2" t="s">
        <v>2144</v>
      </c>
      <c r="M1083" s="2" t="s">
        <v>801</v>
      </c>
      <c r="N1083">
        <v>21.89</v>
      </c>
      <c r="O1083" s="1">
        <v>45599</v>
      </c>
      <c r="P1083" s="1">
        <v>45609</v>
      </c>
      <c r="Q1083" s="2" t="s">
        <v>39</v>
      </c>
      <c r="R1083" s="2">
        <v>1700</v>
      </c>
    </row>
    <row r="1084" spans="1:18" x14ac:dyDescent="0.25">
      <c r="A1084" s="1">
        <v>45325</v>
      </c>
      <c r="B1084" s="2" t="s">
        <v>35</v>
      </c>
      <c r="C1084" s="2" t="s">
        <v>126</v>
      </c>
      <c r="D1084">
        <v>14</v>
      </c>
      <c r="E1084">
        <v>576</v>
      </c>
      <c r="F1084" s="2" t="s">
        <v>46</v>
      </c>
      <c r="G1084" s="2" t="s">
        <v>20</v>
      </c>
      <c r="H1084">
        <v>0.1</v>
      </c>
      <c r="I1084" s="2" t="s">
        <v>42</v>
      </c>
      <c r="J1084" s="2" t="s">
        <v>53</v>
      </c>
      <c r="K1084">
        <v>0</v>
      </c>
      <c r="L1084" s="2" t="s">
        <v>2145</v>
      </c>
      <c r="M1084" s="2" t="s">
        <v>2146</v>
      </c>
      <c r="N1084">
        <v>32.53</v>
      </c>
      <c r="O1084" s="1">
        <v>45325</v>
      </c>
      <c r="P1084" s="1">
        <v>45333</v>
      </c>
      <c r="Q1084" s="2" t="s">
        <v>39</v>
      </c>
      <c r="R1084" s="2">
        <v>7258</v>
      </c>
    </row>
    <row r="1085" spans="1:18" x14ac:dyDescent="0.25">
      <c r="A1085" s="1">
        <v>44936</v>
      </c>
      <c r="B1085" s="2" t="s">
        <v>17</v>
      </c>
      <c r="C1085" s="2" t="s">
        <v>41</v>
      </c>
      <c r="D1085">
        <v>6</v>
      </c>
      <c r="E1085">
        <v>177</v>
      </c>
      <c r="F1085" s="2" t="s">
        <v>51</v>
      </c>
      <c r="G1085" s="2" t="s">
        <v>20</v>
      </c>
      <c r="H1085">
        <v>0.15</v>
      </c>
      <c r="I1085" s="2" t="s">
        <v>30</v>
      </c>
      <c r="J1085" s="2" t="s">
        <v>22</v>
      </c>
      <c r="K1085">
        <v>0</v>
      </c>
      <c r="L1085" s="2" t="s">
        <v>2147</v>
      </c>
      <c r="M1085" s="2" t="s">
        <v>2148</v>
      </c>
      <c r="N1085">
        <v>16.98</v>
      </c>
      <c r="O1085" s="1">
        <v>44936</v>
      </c>
      <c r="P1085" s="1">
        <v>44939</v>
      </c>
      <c r="Q1085" s="2" t="s">
        <v>25</v>
      </c>
      <c r="R1085" s="2">
        <v>903</v>
      </c>
    </row>
    <row r="1086" spans="1:18" x14ac:dyDescent="0.25">
      <c r="A1086" s="1">
        <v>45215</v>
      </c>
      <c r="B1086" s="2" t="s">
        <v>17</v>
      </c>
      <c r="C1086" s="2" t="s">
        <v>75</v>
      </c>
      <c r="D1086">
        <v>6</v>
      </c>
      <c r="E1086">
        <v>486</v>
      </c>
      <c r="F1086" s="2" t="s">
        <v>51</v>
      </c>
      <c r="G1086" s="2" t="s">
        <v>20</v>
      </c>
      <c r="H1086">
        <v>0.05</v>
      </c>
      <c r="I1086" s="2" t="s">
        <v>21</v>
      </c>
      <c r="J1086" s="2" t="s">
        <v>31</v>
      </c>
      <c r="K1086">
        <v>0</v>
      </c>
      <c r="L1086" s="2" t="s">
        <v>2149</v>
      </c>
      <c r="M1086" s="2" t="s">
        <v>2150</v>
      </c>
      <c r="N1086">
        <v>30.62</v>
      </c>
      <c r="O1086" s="1">
        <v>45215</v>
      </c>
      <c r="P1086" s="1">
        <v>45221</v>
      </c>
      <c r="Q1086" s="2" t="s">
        <v>25</v>
      </c>
      <c r="R1086" s="2">
        <v>2770</v>
      </c>
    </row>
    <row r="1087" spans="1:18" x14ac:dyDescent="0.25">
      <c r="A1087" s="1">
        <v>45735</v>
      </c>
      <c r="B1087" s="2" t="s">
        <v>40</v>
      </c>
      <c r="C1087" s="2" t="s">
        <v>18</v>
      </c>
      <c r="D1087">
        <v>8</v>
      </c>
      <c r="E1087">
        <v>142</v>
      </c>
      <c r="F1087" s="2" t="s">
        <v>19</v>
      </c>
      <c r="G1087" s="2" t="s">
        <v>29</v>
      </c>
      <c r="H1087">
        <v>0.1</v>
      </c>
      <c r="I1087" s="2" t="s">
        <v>62</v>
      </c>
      <c r="J1087" s="2" t="s">
        <v>31</v>
      </c>
      <c r="K1087">
        <v>0</v>
      </c>
      <c r="L1087" s="2" t="s">
        <v>2151</v>
      </c>
      <c r="M1087" s="2" t="s">
        <v>2152</v>
      </c>
      <c r="N1087">
        <v>14.02</v>
      </c>
      <c r="O1087" s="1">
        <v>45735</v>
      </c>
      <c r="P1087" s="1">
        <v>45740</v>
      </c>
      <c r="Q1087" s="2" t="s">
        <v>45</v>
      </c>
      <c r="R1087" s="2">
        <v>1022</v>
      </c>
    </row>
    <row r="1088" spans="1:18" x14ac:dyDescent="0.25">
      <c r="A1088" s="1">
        <v>45642</v>
      </c>
      <c r="B1088" s="2" t="s">
        <v>65</v>
      </c>
      <c r="C1088" s="2" t="s">
        <v>36</v>
      </c>
      <c r="D1088">
        <v>9</v>
      </c>
      <c r="E1088">
        <v>215</v>
      </c>
      <c r="F1088" s="2" t="s">
        <v>46</v>
      </c>
      <c r="G1088" s="2" t="s">
        <v>20</v>
      </c>
      <c r="H1088">
        <v>0.1</v>
      </c>
      <c r="I1088" s="2" t="s">
        <v>30</v>
      </c>
      <c r="J1088" s="2" t="s">
        <v>53</v>
      </c>
      <c r="K1088">
        <v>0</v>
      </c>
      <c r="L1088" s="2" t="s">
        <v>2153</v>
      </c>
      <c r="M1088" s="2" t="s">
        <v>2154</v>
      </c>
      <c r="N1088">
        <v>5.84</v>
      </c>
      <c r="O1088" s="1">
        <v>45642</v>
      </c>
      <c r="P1088" s="1">
        <v>45645</v>
      </c>
      <c r="Q1088" s="2" t="s">
        <v>68</v>
      </c>
      <c r="R1088" s="2">
        <v>1742</v>
      </c>
    </row>
    <row r="1089" spans="1:18" x14ac:dyDescent="0.25">
      <c r="A1089" s="1">
        <v>45154</v>
      </c>
      <c r="B1089" s="2" t="s">
        <v>65</v>
      </c>
      <c r="C1089" s="2" t="s">
        <v>18</v>
      </c>
      <c r="D1089">
        <v>18</v>
      </c>
      <c r="E1089">
        <v>497</v>
      </c>
      <c r="F1089" s="2" t="s">
        <v>19</v>
      </c>
      <c r="G1089" s="2" t="s">
        <v>20</v>
      </c>
      <c r="H1089">
        <v>0.05</v>
      </c>
      <c r="I1089" s="2" t="s">
        <v>52</v>
      </c>
      <c r="J1089" s="2" t="s">
        <v>53</v>
      </c>
      <c r="K1089">
        <v>0</v>
      </c>
      <c r="L1089" s="2" t="s">
        <v>2155</v>
      </c>
      <c r="M1089" s="2" t="s">
        <v>2156</v>
      </c>
      <c r="N1089">
        <v>17.39</v>
      </c>
      <c r="O1089" s="1">
        <v>45154</v>
      </c>
      <c r="P1089" s="1">
        <v>45158</v>
      </c>
      <c r="Q1089" s="2" t="s">
        <v>68</v>
      </c>
      <c r="R1089" s="2">
        <v>8499</v>
      </c>
    </row>
    <row r="1090" spans="1:18" x14ac:dyDescent="0.25">
      <c r="A1090" s="1">
        <v>44936</v>
      </c>
      <c r="B1090" s="2" t="s">
        <v>17</v>
      </c>
      <c r="C1090" s="2" t="s">
        <v>36</v>
      </c>
      <c r="D1090">
        <v>13</v>
      </c>
      <c r="E1090">
        <v>348</v>
      </c>
      <c r="F1090" s="2" t="s">
        <v>19</v>
      </c>
      <c r="G1090" s="2" t="s">
        <v>20</v>
      </c>
      <c r="H1090">
        <v>0.05</v>
      </c>
      <c r="I1090" s="2" t="s">
        <v>52</v>
      </c>
      <c r="J1090" s="2" t="s">
        <v>31</v>
      </c>
      <c r="K1090">
        <v>1</v>
      </c>
      <c r="L1090" s="2" t="s">
        <v>2157</v>
      </c>
      <c r="M1090" s="2" t="s">
        <v>2158</v>
      </c>
      <c r="N1090">
        <v>31.81</v>
      </c>
      <c r="O1090" s="1">
        <v>44936</v>
      </c>
      <c r="P1090" s="1">
        <v>44946</v>
      </c>
      <c r="Q1090" s="2" t="s">
        <v>25</v>
      </c>
      <c r="R1090" s="2">
        <v>4298</v>
      </c>
    </row>
    <row r="1091" spans="1:18" x14ac:dyDescent="0.25">
      <c r="A1091" s="1">
        <v>45786</v>
      </c>
      <c r="B1091" s="2" t="s">
        <v>40</v>
      </c>
      <c r="C1091" s="2" t="s">
        <v>41</v>
      </c>
      <c r="D1091">
        <v>3</v>
      </c>
      <c r="E1091">
        <v>371</v>
      </c>
      <c r="F1091" s="2" t="s">
        <v>46</v>
      </c>
      <c r="G1091" s="2" t="s">
        <v>20</v>
      </c>
      <c r="H1091">
        <v>0.1</v>
      </c>
      <c r="I1091" s="2" t="s">
        <v>21</v>
      </c>
      <c r="J1091" s="2" t="s">
        <v>31</v>
      </c>
      <c r="K1091">
        <v>0</v>
      </c>
      <c r="L1091" s="2" t="s">
        <v>2159</v>
      </c>
      <c r="M1091" s="2" t="s">
        <v>2160</v>
      </c>
      <c r="N1091">
        <v>20.02</v>
      </c>
      <c r="O1091" s="1">
        <v>45786</v>
      </c>
      <c r="P1091" s="1">
        <v>45795</v>
      </c>
      <c r="Q1091" s="2" t="s">
        <v>45</v>
      </c>
      <c r="R1091" s="2">
        <v>1002</v>
      </c>
    </row>
    <row r="1092" spans="1:18" x14ac:dyDescent="0.25">
      <c r="A1092" s="1">
        <v>45390</v>
      </c>
      <c r="B1092" s="2" t="s">
        <v>17</v>
      </c>
      <c r="C1092" s="2" t="s">
        <v>126</v>
      </c>
      <c r="D1092">
        <v>12</v>
      </c>
      <c r="E1092">
        <v>434</v>
      </c>
      <c r="F1092" s="2" t="s">
        <v>28</v>
      </c>
      <c r="G1092" s="2" t="s">
        <v>20</v>
      </c>
      <c r="H1092">
        <v>0.15</v>
      </c>
      <c r="I1092" s="2" t="s">
        <v>62</v>
      </c>
      <c r="J1092" s="2" t="s">
        <v>59</v>
      </c>
      <c r="K1092">
        <v>0</v>
      </c>
      <c r="L1092" s="2" t="s">
        <v>2161</v>
      </c>
      <c r="M1092" s="2" t="s">
        <v>578</v>
      </c>
      <c r="N1092">
        <v>15.33</v>
      </c>
      <c r="O1092" s="1">
        <v>45390</v>
      </c>
      <c r="P1092" s="1">
        <v>45398</v>
      </c>
      <c r="Q1092" s="2" t="s">
        <v>25</v>
      </c>
      <c r="R1092" s="2">
        <v>4427</v>
      </c>
    </row>
    <row r="1093" spans="1:18" x14ac:dyDescent="0.25">
      <c r="A1093" s="1">
        <v>45783</v>
      </c>
      <c r="B1093" s="2" t="s">
        <v>17</v>
      </c>
      <c r="C1093" s="2" t="s">
        <v>50</v>
      </c>
      <c r="D1093">
        <v>16</v>
      </c>
      <c r="E1093">
        <v>427</v>
      </c>
      <c r="F1093" s="2" t="s">
        <v>28</v>
      </c>
      <c r="G1093" s="2" t="s">
        <v>29</v>
      </c>
      <c r="H1093">
        <v>0.1</v>
      </c>
      <c r="I1093" s="2" t="s">
        <v>52</v>
      </c>
      <c r="J1093" s="2" t="s">
        <v>31</v>
      </c>
      <c r="K1093">
        <v>0</v>
      </c>
      <c r="L1093" s="2" t="s">
        <v>2162</v>
      </c>
      <c r="M1093" s="2" t="s">
        <v>2163</v>
      </c>
      <c r="N1093">
        <v>10.199999999999999</v>
      </c>
      <c r="O1093" s="1">
        <v>45783</v>
      </c>
      <c r="P1093" s="1">
        <v>45792</v>
      </c>
      <c r="Q1093" s="2" t="s">
        <v>25</v>
      </c>
      <c r="R1093" s="2">
        <v>6149</v>
      </c>
    </row>
    <row r="1094" spans="1:18" x14ac:dyDescent="0.25">
      <c r="A1094" s="1">
        <v>45067</v>
      </c>
      <c r="B1094" s="2" t="s">
        <v>65</v>
      </c>
      <c r="C1094" s="2" t="s">
        <v>36</v>
      </c>
      <c r="D1094">
        <v>6</v>
      </c>
      <c r="E1094">
        <v>295</v>
      </c>
      <c r="F1094" s="2" t="s">
        <v>28</v>
      </c>
      <c r="G1094" s="2" t="s">
        <v>20</v>
      </c>
      <c r="H1094">
        <v>0.05</v>
      </c>
      <c r="I1094" s="2" t="s">
        <v>62</v>
      </c>
      <c r="J1094" s="2" t="s">
        <v>53</v>
      </c>
      <c r="K1094">
        <v>0</v>
      </c>
      <c r="L1094" s="2" t="s">
        <v>2164</v>
      </c>
      <c r="M1094" s="2" t="s">
        <v>2165</v>
      </c>
      <c r="N1094">
        <v>48.08</v>
      </c>
      <c r="O1094" s="1">
        <v>45067</v>
      </c>
      <c r="P1094" s="1">
        <v>45075</v>
      </c>
      <c r="Q1094" s="2" t="s">
        <v>68</v>
      </c>
      <c r="R1094" s="2">
        <v>1682</v>
      </c>
    </row>
    <row r="1095" spans="1:18" x14ac:dyDescent="0.25">
      <c r="A1095" s="1">
        <v>45253</v>
      </c>
      <c r="B1095" s="2" t="s">
        <v>40</v>
      </c>
      <c r="C1095" s="2" t="s">
        <v>27</v>
      </c>
      <c r="D1095">
        <v>12</v>
      </c>
      <c r="E1095">
        <v>131</v>
      </c>
      <c r="F1095" s="2" t="s">
        <v>51</v>
      </c>
      <c r="G1095" s="2" t="s">
        <v>29</v>
      </c>
      <c r="H1095">
        <v>0.15</v>
      </c>
      <c r="I1095" s="2" t="s">
        <v>30</v>
      </c>
      <c r="J1095" s="2" t="s">
        <v>56</v>
      </c>
      <c r="K1095">
        <v>0</v>
      </c>
      <c r="L1095" s="2" t="s">
        <v>2166</v>
      </c>
      <c r="M1095" s="2" t="s">
        <v>2167</v>
      </c>
      <c r="N1095">
        <v>34.69</v>
      </c>
      <c r="O1095" s="1">
        <v>45253</v>
      </c>
      <c r="P1095" s="1">
        <v>45260</v>
      </c>
      <c r="Q1095" s="2" t="s">
        <v>45</v>
      </c>
      <c r="R1095" s="2">
        <v>1336</v>
      </c>
    </row>
    <row r="1096" spans="1:18" x14ac:dyDescent="0.25">
      <c r="A1096" s="1">
        <v>45377</v>
      </c>
      <c r="B1096" s="2" t="s">
        <v>35</v>
      </c>
      <c r="C1096" s="2" t="s">
        <v>50</v>
      </c>
      <c r="D1096">
        <v>18</v>
      </c>
      <c r="E1096">
        <v>540</v>
      </c>
      <c r="F1096" s="2" t="s">
        <v>46</v>
      </c>
      <c r="G1096" s="2" t="s">
        <v>29</v>
      </c>
      <c r="H1096">
        <v>0.15</v>
      </c>
      <c r="I1096" s="2" t="s">
        <v>21</v>
      </c>
      <c r="J1096" s="2" t="s">
        <v>59</v>
      </c>
      <c r="K1096">
        <v>1</v>
      </c>
      <c r="L1096" s="2" t="s">
        <v>2168</v>
      </c>
      <c r="M1096" s="2" t="s">
        <v>2169</v>
      </c>
      <c r="N1096">
        <v>34.44</v>
      </c>
      <c r="O1096" s="1">
        <v>45377</v>
      </c>
      <c r="P1096" s="1">
        <v>45387</v>
      </c>
      <c r="Q1096" s="2" t="s">
        <v>39</v>
      </c>
      <c r="R1096" s="2">
        <v>8262</v>
      </c>
    </row>
    <row r="1097" spans="1:18" x14ac:dyDescent="0.25">
      <c r="A1097" s="1">
        <v>45560</v>
      </c>
      <c r="B1097" s="2" t="s">
        <v>26</v>
      </c>
      <c r="C1097" s="2" t="s">
        <v>36</v>
      </c>
      <c r="D1097">
        <v>12</v>
      </c>
      <c r="E1097">
        <v>149</v>
      </c>
      <c r="F1097" s="2" t="s">
        <v>51</v>
      </c>
      <c r="G1097" s="2" t="s">
        <v>29</v>
      </c>
      <c r="H1097">
        <v>0.1</v>
      </c>
      <c r="I1097" s="2" t="s">
        <v>62</v>
      </c>
      <c r="J1097" s="2" t="s">
        <v>53</v>
      </c>
      <c r="K1097">
        <v>0</v>
      </c>
      <c r="L1097" s="2" t="s">
        <v>2170</v>
      </c>
      <c r="M1097" s="2" t="s">
        <v>2171</v>
      </c>
      <c r="N1097">
        <v>20.21</v>
      </c>
      <c r="O1097" s="1">
        <v>45560</v>
      </c>
      <c r="P1097" s="1">
        <v>45567</v>
      </c>
      <c r="Q1097" s="2" t="s">
        <v>34</v>
      </c>
      <c r="R1097" s="2">
        <v>1609</v>
      </c>
    </row>
    <row r="1098" spans="1:18" x14ac:dyDescent="0.25">
      <c r="A1098" s="1">
        <v>45022</v>
      </c>
      <c r="B1098" s="2" t="s">
        <v>17</v>
      </c>
      <c r="C1098" s="2" t="s">
        <v>41</v>
      </c>
      <c r="D1098">
        <v>5</v>
      </c>
      <c r="E1098">
        <v>411</v>
      </c>
      <c r="F1098" s="2" t="s">
        <v>28</v>
      </c>
      <c r="G1098" s="2" t="s">
        <v>20</v>
      </c>
      <c r="H1098">
        <v>0.15</v>
      </c>
      <c r="I1098" s="2" t="s">
        <v>62</v>
      </c>
      <c r="J1098" s="2" t="s">
        <v>59</v>
      </c>
      <c r="K1098">
        <v>1</v>
      </c>
      <c r="L1098" s="2" t="s">
        <v>2172</v>
      </c>
      <c r="M1098" s="2" t="s">
        <v>2173</v>
      </c>
      <c r="N1098">
        <v>5.35</v>
      </c>
      <c r="O1098" s="1">
        <v>45022</v>
      </c>
      <c r="P1098" s="1">
        <v>45026</v>
      </c>
      <c r="Q1098" s="2" t="s">
        <v>25</v>
      </c>
      <c r="R1098" s="2">
        <v>1747</v>
      </c>
    </row>
    <row r="1099" spans="1:18" x14ac:dyDescent="0.25">
      <c r="A1099" s="1">
        <v>45467</v>
      </c>
      <c r="B1099" s="2" t="s">
        <v>35</v>
      </c>
      <c r="C1099" s="2" t="s">
        <v>41</v>
      </c>
      <c r="D1099">
        <v>16</v>
      </c>
      <c r="E1099">
        <v>463</v>
      </c>
      <c r="F1099" s="2" t="s">
        <v>51</v>
      </c>
      <c r="G1099" s="2" t="s">
        <v>29</v>
      </c>
      <c r="H1099">
        <v>0.05</v>
      </c>
      <c r="I1099" s="2" t="s">
        <v>62</v>
      </c>
      <c r="J1099" s="2" t="s">
        <v>59</v>
      </c>
      <c r="K1099">
        <v>1</v>
      </c>
      <c r="L1099" s="2" t="s">
        <v>2174</v>
      </c>
      <c r="M1099" s="2" t="s">
        <v>2175</v>
      </c>
      <c r="N1099">
        <v>17.43</v>
      </c>
      <c r="O1099" s="1">
        <v>45467</v>
      </c>
      <c r="P1099" s="1">
        <v>45469</v>
      </c>
      <c r="Q1099" s="2" t="s">
        <v>39</v>
      </c>
      <c r="R1099" s="2">
        <v>7038</v>
      </c>
    </row>
    <row r="1100" spans="1:18" x14ac:dyDescent="0.25">
      <c r="A1100" s="1">
        <v>45641</v>
      </c>
      <c r="B1100" s="2" t="s">
        <v>26</v>
      </c>
      <c r="C1100" s="2" t="s">
        <v>18</v>
      </c>
      <c r="D1100">
        <v>17</v>
      </c>
      <c r="E1100">
        <v>506</v>
      </c>
      <c r="F1100" s="2" t="s">
        <v>19</v>
      </c>
      <c r="G1100" s="2" t="s">
        <v>20</v>
      </c>
      <c r="H1100">
        <v>0</v>
      </c>
      <c r="I1100" s="2" t="s">
        <v>47</v>
      </c>
      <c r="J1100" s="2" t="s">
        <v>59</v>
      </c>
      <c r="K1100">
        <v>1</v>
      </c>
      <c r="L1100" s="2" t="s">
        <v>2176</v>
      </c>
      <c r="M1100" s="2" t="s">
        <v>2177</v>
      </c>
      <c r="N1100">
        <v>33.36</v>
      </c>
      <c r="O1100" s="1">
        <v>45641</v>
      </c>
      <c r="P1100" s="1">
        <v>45649</v>
      </c>
      <c r="Q1100" s="2" t="s">
        <v>34</v>
      </c>
      <c r="R1100" s="2">
        <v>8602</v>
      </c>
    </row>
    <row r="1101" spans="1:18" x14ac:dyDescent="0.25">
      <c r="A1101" s="1">
        <v>45568</v>
      </c>
      <c r="B1101" s="2" t="s">
        <v>35</v>
      </c>
      <c r="C1101" s="2" t="s">
        <v>36</v>
      </c>
      <c r="D1101">
        <v>19</v>
      </c>
      <c r="E1101">
        <v>26</v>
      </c>
      <c r="F1101" s="2" t="s">
        <v>19</v>
      </c>
      <c r="G1101" s="2" t="s">
        <v>29</v>
      </c>
      <c r="H1101">
        <v>0</v>
      </c>
      <c r="I1101" s="2" t="s">
        <v>62</v>
      </c>
      <c r="J1101" s="2" t="s">
        <v>31</v>
      </c>
      <c r="K1101">
        <v>0</v>
      </c>
      <c r="L1101" s="2" t="s">
        <v>2178</v>
      </c>
      <c r="M1101" s="2" t="s">
        <v>1065</v>
      </c>
      <c r="N1101">
        <v>30.32</v>
      </c>
      <c r="O1101" s="1">
        <v>45568</v>
      </c>
      <c r="P1101" s="1">
        <v>45576</v>
      </c>
      <c r="Q1101" s="2" t="s">
        <v>39</v>
      </c>
      <c r="R1101" s="2">
        <v>494</v>
      </c>
    </row>
    <row r="1102" spans="1:18" x14ac:dyDescent="0.25">
      <c r="A1102" s="1">
        <v>45172</v>
      </c>
      <c r="B1102" s="2" t="s">
        <v>26</v>
      </c>
      <c r="C1102" s="2" t="s">
        <v>36</v>
      </c>
      <c r="D1102">
        <v>4</v>
      </c>
      <c r="E1102">
        <v>467</v>
      </c>
      <c r="F1102" s="2" t="s">
        <v>46</v>
      </c>
      <c r="G1102" s="2" t="s">
        <v>20</v>
      </c>
      <c r="H1102">
        <v>0.05</v>
      </c>
      <c r="I1102" s="2" t="s">
        <v>42</v>
      </c>
      <c r="J1102" s="2" t="s">
        <v>31</v>
      </c>
      <c r="K1102">
        <v>0</v>
      </c>
      <c r="L1102" s="2" t="s">
        <v>2179</v>
      </c>
      <c r="M1102" s="2" t="s">
        <v>2180</v>
      </c>
      <c r="N1102">
        <v>25.05</v>
      </c>
      <c r="O1102" s="1">
        <v>45172</v>
      </c>
      <c r="P1102" s="1">
        <v>45182</v>
      </c>
      <c r="Q1102" s="2" t="s">
        <v>34</v>
      </c>
      <c r="R1102" s="2">
        <v>1775</v>
      </c>
    </row>
    <row r="1103" spans="1:18" x14ac:dyDescent="0.25">
      <c r="A1103" s="1">
        <v>44955</v>
      </c>
      <c r="B1103" s="2" t="s">
        <v>35</v>
      </c>
      <c r="C1103" s="2" t="s">
        <v>126</v>
      </c>
      <c r="D1103">
        <v>10</v>
      </c>
      <c r="E1103">
        <v>140</v>
      </c>
      <c r="F1103" s="2" t="s">
        <v>19</v>
      </c>
      <c r="G1103" s="2" t="s">
        <v>29</v>
      </c>
      <c r="H1103">
        <v>0.15</v>
      </c>
      <c r="I1103" s="2" t="s">
        <v>47</v>
      </c>
      <c r="J1103" s="2" t="s">
        <v>22</v>
      </c>
      <c r="K1103">
        <v>0</v>
      </c>
      <c r="L1103" s="2" t="s">
        <v>2181</v>
      </c>
      <c r="M1103" s="2" t="s">
        <v>1485</v>
      </c>
      <c r="N1103">
        <v>43.81</v>
      </c>
      <c r="O1103" s="1">
        <v>44955</v>
      </c>
      <c r="P1103" s="1">
        <v>44962</v>
      </c>
      <c r="Q1103" s="2" t="s">
        <v>39</v>
      </c>
      <c r="R1103" s="2">
        <v>1190</v>
      </c>
    </row>
    <row r="1104" spans="1:18" x14ac:dyDescent="0.25">
      <c r="A1104" s="1">
        <v>45455</v>
      </c>
      <c r="B1104" s="2" t="s">
        <v>35</v>
      </c>
      <c r="C1104" s="2" t="s">
        <v>27</v>
      </c>
      <c r="D1104">
        <v>8</v>
      </c>
      <c r="E1104">
        <v>58</v>
      </c>
      <c r="F1104" s="2" t="s">
        <v>51</v>
      </c>
      <c r="G1104" s="2" t="s">
        <v>20</v>
      </c>
      <c r="H1104">
        <v>0</v>
      </c>
      <c r="I1104" s="2" t="s">
        <v>42</v>
      </c>
      <c r="J1104" s="2" t="s">
        <v>22</v>
      </c>
      <c r="K1104">
        <v>1</v>
      </c>
      <c r="L1104" s="2" t="s">
        <v>2182</v>
      </c>
      <c r="M1104" s="2" t="s">
        <v>2183</v>
      </c>
      <c r="N1104">
        <v>49.82</v>
      </c>
      <c r="O1104" s="1">
        <v>45455</v>
      </c>
      <c r="P1104" s="1">
        <v>45463</v>
      </c>
      <c r="Q1104" s="2" t="s">
        <v>39</v>
      </c>
      <c r="R1104" s="2">
        <v>464</v>
      </c>
    </row>
    <row r="1105" spans="1:18" x14ac:dyDescent="0.25">
      <c r="A1105" s="1">
        <v>45620</v>
      </c>
      <c r="B1105" s="2" t="s">
        <v>35</v>
      </c>
      <c r="C1105" s="2" t="s">
        <v>50</v>
      </c>
      <c r="D1105">
        <v>9</v>
      </c>
      <c r="E1105">
        <v>540</v>
      </c>
      <c r="F1105" s="2" t="s">
        <v>28</v>
      </c>
      <c r="G1105" s="2" t="s">
        <v>29</v>
      </c>
      <c r="H1105">
        <v>0.15</v>
      </c>
      <c r="I1105" s="2" t="s">
        <v>30</v>
      </c>
      <c r="J1105" s="2" t="s">
        <v>31</v>
      </c>
      <c r="K1105">
        <v>0</v>
      </c>
      <c r="L1105" s="2" t="s">
        <v>2184</v>
      </c>
      <c r="M1105" s="2" t="s">
        <v>2185</v>
      </c>
      <c r="N1105">
        <v>16.079999999999998</v>
      </c>
      <c r="O1105" s="1">
        <v>45620</v>
      </c>
      <c r="P1105" s="1">
        <v>45629</v>
      </c>
      <c r="Q1105" s="2" t="s">
        <v>39</v>
      </c>
      <c r="R1105" s="2">
        <v>4131</v>
      </c>
    </row>
    <row r="1106" spans="1:18" x14ac:dyDescent="0.25">
      <c r="A1106" s="1">
        <v>45153</v>
      </c>
      <c r="B1106" s="2" t="s">
        <v>65</v>
      </c>
      <c r="C1106" s="2" t="s">
        <v>50</v>
      </c>
      <c r="D1106">
        <v>18</v>
      </c>
      <c r="E1106">
        <v>476</v>
      </c>
      <c r="F1106" s="2" t="s">
        <v>28</v>
      </c>
      <c r="G1106" s="2" t="s">
        <v>20</v>
      </c>
      <c r="H1106">
        <v>0</v>
      </c>
      <c r="I1106" s="2" t="s">
        <v>52</v>
      </c>
      <c r="J1106" s="2" t="s">
        <v>53</v>
      </c>
      <c r="K1106">
        <v>1</v>
      </c>
      <c r="L1106" s="2" t="s">
        <v>2186</v>
      </c>
      <c r="M1106" s="2" t="s">
        <v>2187</v>
      </c>
      <c r="N1106">
        <v>47.43</v>
      </c>
      <c r="O1106" s="1">
        <v>45153</v>
      </c>
      <c r="P1106" s="1">
        <v>45158</v>
      </c>
      <c r="Q1106" s="2" t="s">
        <v>68</v>
      </c>
      <c r="R1106" s="2">
        <v>8568</v>
      </c>
    </row>
    <row r="1107" spans="1:18" x14ac:dyDescent="0.25">
      <c r="A1107" s="1">
        <v>45525</v>
      </c>
      <c r="B1107" s="2" t="s">
        <v>40</v>
      </c>
      <c r="C1107" s="2" t="s">
        <v>75</v>
      </c>
      <c r="D1107">
        <v>11</v>
      </c>
      <c r="E1107">
        <v>144</v>
      </c>
      <c r="F1107" s="2" t="s">
        <v>28</v>
      </c>
      <c r="G1107" s="2" t="s">
        <v>20</v>
      </c>
      <c r="H1107">
        <v>0.1</v>
      </c>
      <c r="I1107" s="2" t="s">
        <v>21</v>
      </c>
      <c r="J1107" s="2" t="s">
        <v>56</v>
      </c>
      <c r="K1107">
        <v>0</v>
      </c>
      <c r="L1107" s="2" t="s">
        <v>2188</v>
      </c>
      <c r="M1107" s="2" t="s">
        <v>2189</v>
      </c>
      <c r="N1107">
        <v>6.85</v>
      </c>
      <c r="O1107" s="1">
        <v>45525</v>
      </c>
      <c r="P1107" s="1">
        <v>45534</v>
      </c>
      <c r="Q1107" s="2" t="s">
        <v>45</v>
      </c>
      <c r="R1107" s="2">
        <v>1426</v>
      </c>
    </row>
    <row r="1108" spans="1:18" x14ac:dyDescent="0.25">
      <c r="A1108" s="1">
        <v>45070</v>
      </c>
      <c r="B1108" s="2" t="s">
        <v>65</v>
      </c>
      <c r="C1108" s="2" t="s">
        <v>50</v>
      </c>
      <c r="D1108">
        <v>4</v>
      </c>
      <c r="E1108">
        <v>324</v>
      </c>
      <c r="F1108" s="2" t="s">
        <v>46</v>
      </c>
      <c r="G1108" s="2" t="s">
        <v>29</v>
      </c>
      <c r="H1108">
        <v>0.1</v>
      </c>
      <c r="I1108" s="2" t="s">
        <v>47</v>
      </c>
      <c r="J1108" s="2" t="s">
        <v>53</v>
      </c>
      <c r="K1108">
        <v>0</v>
      </c>
      <c r="L1108" s="2" t="s">
        <v>2190</v>
      </c>
      <c r="M1108" s="2" t="s">
        <v>2191</v>
      </c>
      <c r="N1108">
        <v>32.92</v>
      </c>
      <c r="O1108" s="1">
        <v>45070</v>
      </c>
      <c r="P1108" s="1">
        <v>45078</v>
      </c>
      <c r="Q1108" s="2" t="s">
        <v>68</v>
      </c>
      <c r="R1108" s="2">
        <v>1166</v>
      </c>
    </row>
    <row r="1109" spans="1:18" x14ac:dyDescent="0.25">
      <c r="A1109" s="1">
        <v>45043</v>
      </c>
      <c r="B1109" s="2" t="s">
        <v>65</v>
      </c>
      <c r="C1109" s="2" t="s">
        <v>50</v>
      </c>
      <c r="D1109">
        <v>16</v>
      </c>
      <c r="E1109">
        <v>37</v>
      </c>
      <c r="F1109" s="2" t="s">
        <v>28</v>
      </c>
      <c r="G1109" s="2" t="s">
        <v>20</v>
      </c>
      <c r="H1109">
        <v>0.05</v>
      </c>
      <c r="I1109" s="2" t="s">
        <v>62</v>
      </c>
      <c r="J1109" s="2" t="s">
        <v>53</v>
      </c>
      <c r="K1109">
        <v>0</v>
      </c>
      <c r="L1109" s="2" t="s">
        <v>2192</v>
      </c>
      <c r="M1109" s="2" t="s">
        <v>2193</v>
      </c>
      <c r="N1109">
        <v>49.55</v>
      </c>
      <c r="O1109" s="1">
        <v>45043</v>
      </c>
      <c r="P1109" s="1">
        <v>45047</v>
      </c>
      <c r="Q1109" s="2" t="s">
        <v>68</v>
      </c>
      <c r="R1109" s="2">
        <v>562</v>
      </c>
    </row>
    <row r="1110" spans="1:18" x14ac:dyDescent="0.25">
      <c r="A1110" s="1">
        <v>45067</v>
      </c>
      <c r="B1110" s="2" t="s">
        <v>17</v>
      </c>
      <c r="C1110" s="2" t="s">
        <v>75</v>
      </c>
      <c r="D1110">
        <v>1</v>
      </c>
      <c r="E1110">
        <v>419</v>
      </c>
      <c r="F1110" s="2" t="s">
        <v>19</v>
      </c>
      <c r="G1110" s="2" t="s">
        <v>29</v>
      </c>
      <c r="H1110">
        <v>0.1</v>
      </c>
      <c r="I1110" s="2" t="s">
        <v>47</v>
      </c>
      <c r="J1110" s="2" t="s">
        <v>31</v>
      </c>
      <c r="K1110">
        <v>0</v>
      </c>
      <c r="L1110" s="2" t="s">
        <v>2194</v>
      </c>
      <c r="M1110" s="2" t="s">
        <v>2195</v>
      </c>
      <c r="N1110">
        <v>43.72</v>
      </c>
      <c r="O1110" s="1">
        <v>45067</v>
      </c>
      <c r="P1110" s="1">
        <v>45072</v>
      </c>
      <c r="Q1110" s="2" t="s">
        <v>25</v>
      </c>
      <c r="R1110" s="2">
        <v>377</v>
      </c>
    </row>
    <row r="1111" spans="1:18" x14ac:dyDescent="0.25">
      <c r="A1111" s="1">
        <v>45704</v>
      </c>
      <c r="B1111" s="2" t="s">
        <v>17</v>
      </c>
      <c r="C1111" s="2" t="s">
        <v>50</v>
      </c>
      <c r="D1111">
        <v>12</v>
      </c>
      <c r="E1111">
        <v>108</v>
      </c>
      <c r="F1111" s="2" t="s">
        <v>28</v>
      </c>
      <c r="G1111" s="2" t="s">
        <v>20</v>
      </c>
      <c r="H1111">
        <v>0</v>
      </c>
      <c r="I1111" s="2" t="s">
        <v>52</v>
      </c>
      <c r="J1111" s="2" t="s">
        <v>22</v>
      </c>
      <c r="K1111">
        <v>0</v>
      </c>
      <c r="L1111" s="2" t="s">
        <v>2196</v>
      </c>
      <c r="M1111" s="2" t="s">
        <v>2197</v>
      </c>
      <c r="N1111">
        <v>42.06</v>
      </c>
      <c r="O1111" s="1">
        <v>45704</v>
      </c>
      <c r="P1111" s="1">
        <v>45713</v>
      </c>
      <c r="Q1111" s="2" t="s">
        <v>25</v>
      </c>
      <c r="R1111" s="2">
        <v>1296</v>
      </c>
    </row>
    <row r="1112" spans="1:18" x14ac:dyDescent="0.25">
      <c r="A1112" s="1">
        <v>45162</v>
      </c>
      <c r="B1112" s="2" t="s">
        <v>17</v>
      </c>
      <c r="C1112" s="2" t="s">
        <v>75</v>
      </c>
      <c r="D1112">
        <v>5</v>
      </c>
      <c r="E1112">
        <v>256</v>
      </c>
      <c r="F1112" s="2" t="s">
        <v>19</v>
      </c>
      <c r="G1112" s="2" t="s">
        <v>29</v>
      </c>
      <c r="H1112">
        <v>0</v>
      </c>
      <c r="I1112" s="2" t="s">
        <v>30</v>
      </c>
      <c r="J1112" s="2" t="s">
        <v>31</v>
      </c>
      <c r="K1112">
        <v>0</v>
      </c>
      <c r="L1112" s="2" t="s">
        <v>2198</v>
      </c>
      <c r="M1112" s="2" t="s">
        <v>2199</v>
      </c>
      <c r="N1112">
        <v>28.74</v>
      </c>
      <c r="O1112" s="1">
        <v>45162</v>
      </c>
      <c r="P1112" s="1">
        <v>45167</v>
      </c>
      <c r="Q1112" s="2" t="s">
        <v>25</v>
      </c>
      <c r="R1112" s="2">
        <v>1280</v>
      </c>
    </row>
    <row r="1113" spans="1:18" x14ac:dyDescent="0.25">
      <c r="A1113" s="1">
        <v>45365</v>
      </c>
      <c r="B1113" s="2" t="s">
        <v>17</v>
      </c>
      <c r="C1113" s="2" t="s">
        <v>36</v>
      </c>
      <c r="D1113">
        <v>16</v>
      </c>
      <c r="E1113">
        <v>545</v>
      </c>
      <c r="F1113" s="2" t="s">
        <v>19</v>
      </c>
      <c r="G1113" s="2" t="s">
        <v>29</v>
      </c>
      <c r="H1113">
        <v>0.1</v>
      </c>
      <c r="I1113" s="2" t="s">
        <v>42</v>
      </c>
      <c r="J1113" s="2" t="s">
        <v>53</v>
      </c>
      <c r="K1113">
        <v>0</v>
      </c>
      <c r="L1113" s="2" t="s">
        <v>2200</v>
      </c>
      <c r="M1113" s="2" t="s">
        <v>2201</v>
      </c>
      <c r="N1113">
        <v>39.26</v>
      </c>
      <c r="O1113" s="1">
        <v>45365</v>
      </c>
      <c r="P1113" s="1">
        <v>45372</v>
      </c>
      <c r="Q1113" s="2" t="s">
        <v>25</v>
      </c>
      <c r="R1113" s="2">
        <v>7848</v>
      </c>
    </row>
    <row r="1114" spans="1:18" x14ac:dyDescent="0.25">
      <c r="A1114" s="1">
        <v>45320</v>
      </c>
      <c r="B1114" s="2" t="s">
        <v>35</v>
      </c>
      <c r="C1114" s="2" t="s">
        <v>36</v>
      </c>
      <c r="D1114">
        <v>19</v>
      </c>
      <c r="E1114">
        <v>113</v>
      </c>
      <c r="F1114" s="2" t="s">
        <v>28</v>
      </c>
      <c r="G1114" s="2" t="s">
        <v>29</v>
      </c>
      <c r="H1114">
        <v>0</v>
      </c>
      <c r="I1114" s="2" t="s">
        <v>21</v>
      </c>
      <c r="J1114" s="2" t="s">
        <v>56</v>
      </c>
      <c r="K1114">
        <v>0</v>
      </c>
      <c r="L1114" s="2" t="s">
        <v>2202</v>
      </c>
      <c r="M1114" s="2" t="s">
        <v>2203</v>
      </c>
      <c r="N1114">
        <v>44.96</v>
      </c>
      <c r="O1114" s="1">
        <v>45320</v>
      </c>
      <c r="P1114" s="1">
        <v>45329</v>
      </c>
      <c r="Q1114" s="2" t="s">
        <v>39</v>
      </c>
      <c r="R1114" s="2">
        <v>2147</v>
      </c>
    </row>
    <row r="1115" spans="1:18" x14ac:dyDescent="0.25">
      <c r="A1115" s="1">
        <v>45513</v>
      </c>
      <c r="B1115" s="2" t="s">
        <v>26</v>
      </c>
      <c r="C1115" s="2" t="s">
        <v>27</v>
      </c>
      <c r="D1115">
        <v>10</v>
      </c>
      <c r="E1115">
        <v>523</v>
      </c>
      <c r="F1115" s="2" t="s">
        <v>46</v>
      </c>
      <c r="G1115" s="2" t="s">
        <v>29</v>
      </c>
      <c r="H1115">
        <v>0.1</v>
      </c>
      <c r="I1115" s="2" t="s">
        <v>62</v>
      </c>
      <c r="J1115" s="2" t="s">
        <v>53</v>
      </c>
      <c r="K1115">
        <v>0</v>
      </c>
      <c r="L1115" s="2" t="s">
        <v>2204</v>
      </c>
      <c r="M1115" s="2" t="s">
        <v>2205</v>
      </c>
      <c r="N1115">
        <v>20.059999999999999</v>
      </c>
      <c r="O1115" s="1">
        <v>45513</v>
      </c>
      <c r="P1115" s="1">
        <v>45519</v>
      </c>
      <c r="Q1115" s="2" t="s">
        <v>34</v>
      </c>
      <c r="R1115" s="2">
        <v>4707</v>
      </c>
    </row>
    <row r="1116" spans="1:18" x14ac:dyDescent="0.25">
      <c r="A1116" s="1">
        <v>45481</v>
      </c>
      <c r="B1116" s="2" t="s">
        <v>35</v>
      </c>
      <c r="C1116" s="2" t="s">
        <v>75</v>
      </c>
      <c r="D1116">
        <v>18</v>
      </c>
      <c r="E1116">
        <v>448</v>
      </c>
      <c r="F1116" s="2" t="s">
        <v>19</v>
      </c>
      <c r="G1116" s="2" t="s">
        <v>29</v>
      </c>
      <c r="H1116">
        <v>0.15</v>
      </c>
      <c r="I1116" s="2" t="s">
        <v>42</v>
      </c>
      <c r="J1116" s="2" t="s">
        <v>59</v>
      </c>
      <c r="K1116">
        <v>1</v>
      </c>
      <c r="L1116" s="2" t="s">
        <v>2206</v>
      </c>
      <c r="M1116" s="2" t="s">
        <v>2207</v>
      </c>
      <c r="N1116">
        <v>13.23</v>
      </c>
      <c r="O1116" s="1">
        <v>45481</v>
      </c>
      <c r="P1116" s="1">
        <v>45490</v>
      </c>
      <c r="Q1116" s="2" t="s">
        <v>39</v>
      </c>
      <c r="R1116" s="2">
        <v>6854</v>
      </c>
    </row>
    <row r="1117" spans="1:18" x14ac:dyDescent="0.25">
      <c r="A1117" s="1">
        <v>45524</v>
      </c>
      <c r="B1117" s="2" t="s">
        <v>35</v>
      </c>
      <c r="C1117" s="2" t="s">
        <v>50</v>
      </c>
      <c r="D1117">
        <v>15</v>
      </c>
      <c r="E1117">
        <v>209</v>
      </c>
      <c r="F1117" s="2" t="s">
        <v>28</v>
      </c>
      <c r="G1117" s="2" t="s">
        <v>29</v>
      </c>
      <c r="H1117">
        <v>0.05</v>
      </c>
      <c r="I1117" s="2" t="s">
        <v>47</v>
      </c>
      <c r="J1117" s="2" t="s">
        <v>31</v>
      </c>
      <c r="K1117">
        <v>0</v>
      </c>
      <c r="L1117" s="2" t="s">
        <v>2208</v>
      </c>
      <c r="M1117" s="2" t="s">
        <v>2209</v>
      </c>
      <c r="N1117">
        <v>37.81</v>
      </c>
      <c r="O1117" s="1">
        <v>45524</v>
      </c>
      <c r="P1117" s="1">
        <v>45533</v>
      </c>
      <c r="Q1117" s="2" t="s">
        <v>39</v>
      </c>
      <c r="R1117" s="2">
        <v>2978</v>
      </c>
    </row>
    <row r="1118" spans="1:18" x14ac:dyDescent="0.25">
      <c r="A1118" s="1">
        <v>45103</v>
      </c>
      <c r="B1118" s="2" t="s">
        <v>40</v>
      </c>
      <c r="C1118" s="2" t="s">
        <v>18</v>
      </c>
      <c r="D1118">
        <v>13</v>
      </c>
      <c r="E1118">
        <v>424</v>
      </c>
      <c r="F1118" s="2" t="s">
        <v>46</v>
      </c>
      <c r="G1118" s="2" t="s">
        <v>29</v>
      </c>
      <c r="H1118">
        <v>0.1</v>
      </c>
      <c r="I1118" s="2" t="s">
        <v>30</v>
      </c>
      <c r="J1118" s="2" t="s">
        <v>56</v>
      </c>
      <c r="K1118">
        <v>1</v>
      </c>
      <c r="L1118" s="2" t="s">
        <v>2210</v>
      </c>
      <c r="M1118" s="2" t="s">
        <v>2211</v>
      </c>
      <c r="N1118">
        <v>23.31</v>
      </c>
      <c r="O1118" s="1">
        <v>45103</v>
      </c>
      <c r="P1118" s="1">
        <v>45105</v>
      </c>
      <c r="Q1118" s="2" t="s">
        <v>45</v>
      </c>
      <c r="R1118" s="2">
        <v>4961</v>
      </c>
    </row>
    <row r="1119" spans="1:18" x14ac:dyDescent="0.25">
      <c r="A1119" s="1">
        <v>45283</v>
      </c>
      <c r="B1119" s="2" t="s">
        <v>17</v>
      </c>
      <c r="C1119" s="2" t="s">
        <v>41</v>
      </c>
      <c r="D1119">
        <v>5</v>
      </c>
      <c r="E1119">
        <v>552</v>
      </c>
      <c r="F1119" s="2" t="s">
        <v>51</v>
      </c>
      <c r="G1119" s="2" t="s">
        <v>20</v>
      </c>
      <c r="H1119">
        <v>0.15</v>
      </c>
      <c r="I1119" s="2" t="s">
        <v>30</v>
      </c>
      <c r="J1119" s="2" t="s">
        <v>56</v>
      </c>
      <c r="K1119">
        <v>0</v>
      </c>
      <c r="L1119" s="2" t="s">
        <v>2212</v>
      </c>
      <c r="M1119" s="2" t="s">
        <v>2213</v>
      </c>
      <c r="N1119">
        <v>26.5</v>
      </c>
      <c r="O1119" s="1">
        <v>45283</v>
      </c>
      <c r="P1119" s="1">
        <v>45285</v>
      </c>
      <c r="Q1119" s="2" t="s">
        <v>25</v>
      </c>
      <c r="R1119" s="2">
        <v>2346</v>
      </c>
    </row>
    <row r="1120" spans="1:18" x14ac:dyDescent="0.25">
      <c r="A1120" s="1">
        <v>45158</v>
      </c>
      <c r="B1120" s="2" t="s">
        <v>40</v>
      </c>
      <c r="C1120" s="2" t="s">
        <v>36</v>
      </c>
      <c r="D1120">
        <v>1</v>
      </c>
      <c r="E1120">
        <v>182</v>
      </c>
      <c r="F1120" s="2" t="s">
        <v>28</v>
      </c>
      <c r="G1120" s="2" t="s">
        <v>29</v>
      </c>
      <c r="H1120">
        <v>0.1</v>
      </c>
      <c r="I1120" s="2" t="s">
        <v>47</v>
      </c>
      <c r="J1120" s="2" t="s">
        <v>53</v>
      </c>
      <c r="K1120">
        <v>0</v>
      </c>
      <c r="L1120" s="2" t="s">
        <v>2214</v>
      </c>
      <c r="M1120" s="2" t="s">
        <v>2215</v>
      </c>
      <c r="N1120">
        <v>7.31</v>
      </c>
      <c r="O1120" s="1">
        <v>45158</v>
      </c>
      <c r="P1120" s="1">
        <v>45165</v>
      </c>
      <c r="Q1120" s="2" t="s">
        <v>45</v>
      </c>
      <c r="R1120" s="2">
        <v>164</v>
      </c>
    </row>
    <row r="1121" spans="1:18" x14ac:dyDescent="0.25">
      <c r="A1121" s="1">
        <v>45593</v>
      </c>
      <c r="B1121" s="2" t="s">
        <v>65</v>
      </c>
      <c r="C1121" s="2" t="s">
        <v>36</v>
      </c>
      <c r="D1121">
        <v>7</v>
      </c>
      <c r="E1121">
        <v>466</v>
      </c>
      <c r="F1121" s="2" t="s">
        <v>51</v>
      </c>
      <c r="G1121" s="2" t="s">
        <v>20</v>
      </c>
      <c r="H1121">
        <v>0.05</v>
      </c>
      <c r="I1121" s="2" t="s">
        <v>62</v>
      </c>
      <c r="J1121" s="2" t="s">
        <v>22</v>
      </c>
      <c r="K1121">
        <v>1</v>
      </c>
      <c r="L1121" s="2" t="s">
        <v>2216</v>
      </c>
      <c r="M1121" s="2" t="s">
        <v>2217</v>
      </c>
      <c r="N1121">
        <v>11.45</v>
      </c>
      <c r="O1121" s="1">
        <v>45593</v>
      </c>
      <c r="P1121" s="1">
        <v>45602</v>
      </c>
      <c r="Q1121" s="2" t="s">
        <v>68</v>
      </c>
      <c r="R1121" s="2">
        <v>3099</v>
      </c>
    </row>
    <row r="1122" spans="1:18" x14ac:dyDescent="0.25">
      <c r="A1122" s="1">
        <v>45607</v>
      </c>
      <c r="B1122" s="2" t="s">
        <v>17</v>
      </c>
      <c r="C1122" s="2" t="s">
        <v>126</v>
      </c>
      <c r="D1122">
        <v>15</v>
      </c>
      <c r="E1122">
        <v>141</v>
      </c>
      <c r="F1122" s="2" t="s">
        <v>28</v>
      </c>
      <c r="G1122" s="2" t="s">
        <v>20</v>
      </c>
      <c r="H1122">
        <v>0.1</v>
      </c>
      <c r="I1122" s="2" t="s">
        <v>21</v>
      </c>
      <c r="J1122" s="2" t="s">
        <v>53</v>
      </c>
      <c r="K1122">
        <v>0</v>
      </c>
      <c r="L1122" s="2" t="s">
        <v>2218</v>
      </c>
      <c r="M1122" s="2" t="s">
        <v>2219</v>
      </c>
      <c r="N1122">
        <v>49.91</v>
      </c>
      <c r="O1122" s="1">
        <v>45607</v>
      </c>
      <c r="P1122" s="1">
        <v>45617</v>
      </c>
      <c r="Q1122" s="2" t="s">
        <v>25</v>
      </c>
      <c r="R1122" s="2">
        <v>1904</v>
      </c>
    </row>
    <row r="1123" spans="1:18" x14ac:dyDescent="0.25">
      <c r="A1123" s="1">
        <v>45267</v>
      </c>
      <c r="B1123" s="2" t="s">
        <v>65</v>
      </c>
      <c r="C1123" s="2" t="s">
        <v>36</v>
      </c>
      <c r="D1123">
        <v>17</v>
      </c>
      <c r="E1123">
        <v>460</v>
      </c>
      <c r="F1123" s="2" t="s">
        <v>28</v>
      </c>
      <c r="G1123" s="2" t="s">
        <v>29</v>
      </c>
      <c r="H1123">
        <v>0.15</v>
      </c>
      <c r="I1123" s="2" t="s">
        <v>52</v>
      </c>
      <c r="J1123" s="2" t="s">
        <v>22</v>
      </c>
      <c r="K1123">
        <v>0</v>
      </c>
      <c r="L1123" s="2" t="s">
        <v>2220</v>
      </c>
      <c r="M1123" s="2" t="s">
        <v>2221</v>
      </c>
      <c r="N1123">
        <v>40.18</v>
      </c>
      <c r="O1123" s="1">
        <v>45267</v>
      </c>
      <c r="P1123" s="1">
        <v>45275</v>
      </c>
      <c r="Q1123" s="2" t="s">
        <v>68</v>
      </c>
      <c r="R1123" s="2">
        <v>6647</v>
      </c>
    </row>
    <row r="1124" spans="1:18" x14ac:dyDescent="0.25">
      <c r="A1124" s="1">
        <v>45374</v>
      </c>
      <c r="B1124" s="2" t="s">
        <v>65</v>
      </c>
      <c r="C1124" s="2" t="s">
        <v>18</v>
      </c>
      <c r="D1124">
        <v>5</v>
      </c>
      <c r="E1124">
        <v>133</v>
      </c>
      <c r="F1124" s="2" t="s">
        <v>19</v>
      </c>
      <c r="G1124" s="2" t="s">
        <v>29</v>
      </c>
      <c r="H1124">
        <v>0</v>
      </c>
      <c r="I1124" s="2" t="s">
        <v>62</v>
      </c>
      <c r="J1124" s="2" t="s">
        <v>56</v>
      </c>
      <c r="K1124">
        <v>0</v>
      </c>
      <c r="L1124" s="2" t="s">
        <v>2222</v>
      </c>
      <c r="M1124" s="2" t="s">
        <v>2223</v>
      </c>
      <c r="N1124">
        <v>37.909999999999997</v>
      </c>
      <c r="O1124" s="1">
        <v>45374</v>
      </c>
      <c r="P1124" s="1">
        <v>45384</v>
      </c>
      <c r="Q1124" s="2" t="s">
        <v>68</v>
      </c>
      <c r="R1124" s="2">
        <v>665</v>
      </c>
    </row>
    <row r="1125" spans="1:18" x14ac:dyDescent="0.25">
      <c r="A1125" s="1">
        <v>45594</v>
      </c>
      <c r="B1125" s="2" t="s">
        <v>65</v>
      </c>
      <c r="C1125" s="2" t="s">
        <v>75</v>
      </c>
      <c r="D1125">
        <v>12</v>
      </c>
      <c r="E1125">
        <v>210</v>
      </c>
      <c r="F1125" s="2" t="s">
        <v>51</v>
      </c>
      <c r="G1125" s="2" t="s">
        <v>29</v>
      </c>
      <c r="H1125">
        <v>0.05</v>
      </c>
      <c r="I1125" s="2" t="s">
        <v>62</v>
      </c>
      <c r="J1125" s="2" t="s">
        <v>22</v>
      </c>
      <c r="K1125">
        <v>0</v>
      </c>
      <c r="L1125" s="2" t="s">
        <v>2224</v>
      </c>
      <c r="M1125" s="2" t="s">
        <v>2225</v>
      </c>
      <c r="N1125">
        <v>8.7799999999999994</v>
      </c>
      <c r="O1125" s="1">
        <v>45594</v>
      </c>
      <c r="P1125" s="1">
        <v>45598</v>
      </c>
      <c r="Q1125" s="2" t="s">
        <v>68</v>
      </c>
      <c r="R1125" s="2">
        <v>2394</v>
      </c>
    </row>
    <row r="1126" spans="1:18" x14ac:dyDescent="0.25">
      <c r="A1126" s="1">
        <v>45825</v>
      </c>
      <c r="B1126" s="2" t="s">
        <v>17</v>
      </c>
      <c r="C1126" s="2" t="s">
        <v>18</v>
      </c>
      <c r="D1126">
        <v>9</v>
      </c>
      <c r="E1126">
        <v>31</v>
      </c>
      <c r="F1126" s="2" t="s">
        <v>19</v>
      </c>
      <c r="G1126" s="2" t="s">
        <v>29</v>
      </c>
      <c r="H1126">
        <v>0.1</v>
      </c>
      <c r="I1126" s="2" t="s">
        <v>52</v>
      </c>
      <c r="J1126" s="2" t="s">
        <v>59</v>
      </c>
      <c r="K1126">
        <v>0</v>
      </c>
      <c r="L1126" s="2" t="s">
        <v>2226</v>
      </c>
      <c r="M1126" s="2" t="s">
        <v>2227</v>
      </c>
      <c r="N1126">
        <v>39.32</v>
      </c>
      <c r="O1126" s="1">
        <v>45825</v>
      </c>
      <c r="P1126" s="1">
        <v>45830</v>
      </c>
      <c r="Q1126" s="2" t="s">
        <v>25</v>
      </c>
      <c r="R1126" s="2">
        <v>251</v>
      </c>
    </row>
    <row r="1127" spans="1:18" x14ac:dyDescent="0.25">
      <c r="A1127" s="1">
        <v>45003</v>
      </c>
      <c r="B1127" s="2" t="s">
        <v>35</v>
      </c>
      <c r="C1127" s="2" t="s">
        <v>41</v>
      </c>
      <c r="D1127">
        <v>11</v>
      </c>
      <c r="E1127">
        <v>335</v>
      </c>
      <c r="F1127" s="2" t="s">
        <v>46</v>
      </c>
      <c r="G1127" s="2" t="s">
        <v>29</v>
      </c>
      <c r="H1127">
        <v>0</v>
      </c>
      <c r="I1127" s="2" t="s">
        <v>42</v>
      </c>
      <c r="J1127" s="2" t="s">
        <v>31</v>
      </c>
      <c r="K1127">
        <v>0</v>
      </c>
      <c r="L1127" s="2" t="s">
        <v>2228</v>
      </c>
      <c r="M1127" s="2" t="s">
        <v>2229</v>
      </c>
      <c r="N1127">
        <v>29.95</v>
      </c>
      <c r="O1127" s="1">
        <v>45003</v>
      </c>
      <c r="P1127" s="1">
        <v>45011</v>
      </c>
      <c r="Q1127" s="2" t="s">
        <v>39</v>
      </c>
      <c r="R1127" s="2">
        <v>3685</v>
      </c>
    </row>
    <row r="1128" spans="1:18" x14ac:dyDescent="0.25">
      <c r="A1128" s="1">
        <v>44945</v>
      </c>
      <c r="B1128" s="2" t="s">
        <v>17</v>
      </c>
      <c r="C1128" s="2" t="s">
        <v>27</v>
      </c>
      <c r="D1128">
        <v>8</v>
      </c>
      <c r="E1128">
        <v>277</v>
      </c>
      <c r="F1128" s="2" t="s">
        <v>51</v>
      </c>
      <c r="G1128" s="2" t="s">
        <v>20</v>
      </c>
      <c r="H1128">
        <v>0</v>
      </c>
      <c r="I1128" s="2" t="s">
        <v>47</v>
      </c>
      <c r="J1128" s="2" t="s">
        <v>22</v>
      </c>
      <c r="K1128">
        <v>0</v>
      </c>
      <c r="L1128" s="2" t="s">
        <v>2230</v>
      </c>
      <c r="M1128" s="2" t="s">
        <v>2231</v>
      </c>
      <c r="N1128">
        <v>36.380000000000003</v>
      </c>
      <c r="O1128" s="1">
        <v>44945</v>
      </c>
      <c r="P1128" s="1">
        <v>44949</v>
      </c>
      <c r="Q1128" s="2" t="s">
        <v>25</v>
      </c>
      <c r="R1128" s="2">
        <v>2216</v>
      </c>
    </row>
    <row r="1129" spans="1:18" x14ac:dyDescent="0.25">
      <c r="A1129" s="1">
        <v>45116</v>
      </c>
      <c r="B1129" s="2" t="s">
        <v>65</v>
      </c>
      <c r="C1129" s="2" t="s">
        <v>36</v>
      </c>
      <c r="D1129">
        <v>6</v>
      </c>
      <c r="E1129">
        <v>288</v>
      </c>
      <c r="F1129" s="2" t="s">
        <v>28</v>
      </c>
      <c r="G1129" s="2" t="s">
        <v>29</v>
      </c>
      <c r="H1129">
        <v>0.05</v>
      </c>
      <c r="I1129" s="2" t="s">
        <v>62</v>
      </c>
      <c r="J1129" s="2" t="s">
        <v>56</v>
      </c>
      <c r="K1129">
        <v>0</v>
      </c>
      <c r="L1129" s="2" t="s">
        <v>2232</v>
      </c>
      <c r="M1129" s="2" t="s">
        <v>2233</v>
      </c>
      <c r="N1129">
        <v>17.14</v>
      </c>
      <c r="O1129" s="1">
        <v>45116</v>
      </c>
      <c r="P1129" s="1">
        <v>45121</v>
      </c>
      <c r="Q1129" s="2" t="s">
        <v>68</v>
      </c>
      <c r="R1129" s="2">
        <v>1642</v>
      </c>
    </row>
    <row r="1130" spans="1:18" x14ac:dyDescent="0.25">
      <c r="A1130" s="1">
        <v>45732</v>
      </c>
      <c r="B1130" s="2" t="s">
        <v>17</v>
      </c>
      <c r="C1130" s="2" t="s">
        <v>18</v>
      </c>
      <c r="D1130">
        <v>14</v>
      </c>
      <c r="E1130">
        <v>460</v>
      </c>
      <c r="F1130" s="2" t="s">
        <v>19</v>
      </c>
      <c r="G1130" s="2" t="s">
        <v>29</v>
      </c>
      <c r="H1130">
        <v>0.05</v>
      </c>
      <c r="I1130" s="2" t="s">
        <v>42</v>
      </c>
      <c r="J1130" s="2" t="s">
        <v>22</v>
      </c>
      <c r="K1130">
        <v>1</v>
      </c>
      <c r="L1130" s="2" t="s">
        <v>2234</v>
      </c>
      <c r="M1130" s="2" t="s">
        <v>2235</v>
      </c>
      <c r="N1130">
        <v>43.41</v>
      </c>
      <c r="O1130" s="1">
        <v>45732</v>
      </c>
      <c r="P1130" s="1">
        <v>45742</v>
      </c>
      <c r="Q1130" s="2" t="s">
        <v>25</v>
      </c>
      <c r="R1130" s="2">
        <v>6118</v>
      </c>
    </row>
    <row r="1131" spans="1:18" x14ac:dyDescent="0.25">
      <c r="A1131" s="1">
        <v>45696</v>
      </c>
      <c r="B1131" s="2" t="s">
        <v>35</v>
      </c>
      <c r="C1131" s="2" t="s">
        <v>75</v>
      </c>
      <c r="D1131">
        <v>10</v>
      </c>
      <c r="E1131">
        <v>397</v>
      </c>
      <c r="F1131" s="2" t="s">
        <v>19</v>
      </c>
      <c r="G1131" s="2" t="s">
        <v>29</v>
      </c>
      <c r="H1131">
        <v>0.1</v>
      </c>
      <c r="I1131" s="2" t="s">
        <v>21</v>
      </c>
      <c r="J1131" s="2" t="s">
        <v>22</v>
      </c>
      <c r="K1131">
        <v>0</v>
      </c>
      <c r="L1131" s="2" t="s">
        <v>2236</v>
      </c>
      <c r="M1131" s="2" t="s">
        <v>2237</v>
      </c>
      <c r="N1131">
        <v>18.13</v>
      </c>
      <c r="O1131" s="1">
        <v>45696</v>
      </c>
      <c r="P1131" s="1">
        <v>45701</v>
      </c>
      <c r="Q1131" s="2" t="s">
        <v>39</v>
      </c>
      <c r="R1131" s="2">
        <v>3573</v>
      </c>
    </row>
    <row r="1132" spans="1:18" x14ac:dyDescent="0.25">
      <c r="A1132" s="1">
        <v>45402</v>
      </c>
      <c r="B1132" s="2" t="s">
        <v>26</v>
      </c>
      <c r="C1132" s="2" t="s">
        <v>126</v>
      </c>
      <c r="D1132">
        <v>20</v>
      </c>
      <c r="E1132">
        <v>516</v>
      </c>
      <c r="F1132" s="2" t="s">
        <v>19</v>
      </c>
      <c r="G1132" s="2" t="s">
        <v>29</v>
      </c>
      <c r="H1132">
        <v>0</v>
      </c>
      <c r="I1132" s="2" t="s">
        <v>62</v>
      </c>
      <c r="J1132" s="2" t="s">
        <v>22</v>
      </c>
      <c r="K1132">
        <v>0</v>
      </c>
      <c r="L1132" s="2" t="s">
        <v>2238</v>
      </c>
      <c r="M1132" s="2" t="s">
        <v>288</v>
      </c>
      <c r="N1132">
        <v>36.229999999999997</v>
      </c>
      <c r="O1132" s="1">
        <v>45402</v>
      </c>
      <c r="P1132" s="1">
        <v>45404</v>
      </c>
      <c r="Q1132" s="2" t="s">
        <v>34</v>
      </c>
      <c r="R1132" s="2">
        <v>10320</v>
      </c>
    </row>
    <row r="1133" spans="1:18" x14ac:dyDescent="0.25">
      <c r="A1133" s="1">
        <v>45813</v>
      </c>
      <c r="B1133" s="2" t="s">
        <v>17</v>
      </c>
      <c r="C1133" s="2" t="s">
        <v>18</v>
      </c>
      <c r="D1133">
        <v>1</v>
      </c>
      <c r="E1133">
        <v>300</v>
      </c>
      <c r="F1133" s="2" t="s">
        <v>28</v>
      </c>
      <c r="G1133" s="2" t="s">
        <v>29</v>
      </c>
      <c r="H1133">
        <v>0.1</v>
      </c>
      <c r="I1133" s="2" t="s">
        <v>52</v>
      </c>
      <c r="J1133" s="2" t="s">
        <v>59</v>
      </c>
      <c r="K1133">
        <v>0</v>
      </c>
      <c r="L1133" s="2" t="s">
        <v>2239</v>
      </c>
      <c r="M1133" s="2" t="s">
        <v>2240</v>
      </c>
      <c r="N1133">
        <v>38.94</v>
      </c>
      <c r="O1133" s="1">
        <v>45813</v>
      </c>
      <c r="P1133" s="1">
        <v>45815</v>
      </c>
      <c r="Q1133" s="2" t="s">
        <v>25</v>
      </c>
      <c r="R1133" s="2">
        <v>270</v>
      </c>
    </row>
    <row r="1134" spans="1:18" x14ac:dyDescent="0.25">
      <c r="A1134" s="1">
        <v>45772</v>
      </c>
      <c r="B1134" s="2" t="s">
        <v>26</v>
      </c>
      <c r="C1134" s="2" t="s">
        <v>41</v>
      </c>
      <c r="D1134">
        <v>12</v>
      </c>
      <c r="E1134">
        <v>32</v>
      </c>
      <c r="F1134" s="2" t="s">
        <v>19</v>
      </c>
      <c r="G1134" s="2" t="s">
        <v>29</v>
      </c>
      <c r="H1134">
        <v>0</v>
      </c>
      <c r="I1134" s="2" t="s">
        <v>30</v>
      </c>
      <c r="J1134" s="2" t="s">
        <v>56</v>
      </c>
      <c r="K1134">
        <v>0</v>
      </c>
      <c r="L1134" s="2" t="s">
        <v>2241</v>
      </c>
      <c r="M1134" s="2" t="s">
        <v>2242</v>
      </c>
      <c r="N1134">
        <v>30.78</v>
      </c>
      <c r="O1134" s="1">
        <v>45772</v>
      </c>
      <c r="P1134" s="1">
        <v>45780</v>
      </c>
      <c r="Q1134" s="2" t="s">
        <v>34</v>
      </c>
      <c r="R1134" s="2">
        <v>384</v>
      </c>
    </row>
    <row r="1135" spans="1:18" x14ac:dyDescent="0.25">
      <c r="A1135" s="1">
        <v>45175</v>
      </c>
      <c r="B1135" s="2" t="s">
        <v>40</v>
      </c>
      <c r="C1135" s="2" t="s">
        <v>27</v>
      </c>
      <c r="D1135">
        <v>17</v>
      </c>
      <c r="E1135">
        <v>589</v>
      </c>
      <c r="F1135" s="2" t="s">
        <v>51</v>
      </c>
      <c r="G1135" s="2" t="s">
        <v>20</v>
      </c>
      <c r="H1135">
        <v>0.05</v>
      </c>
      <c r="I1135" s="2" t="s">
        <v>52</v>
      </c>
      <c r="J1135" s="2" t="s">
        <v>56</v>
      </c>
      <c r="K1135">
        <v>1</v>
      </c>
      <c r="L1135" s="2" t="s">
        <v>2243</v>
      </c>
      <c r="M1135" s="2" t="s">
        <v>2244</v>
      </c>
      <c r="N1135">
        <v>25.31</v>
      </c>
      <c r="O1135" s="1">
        <v>45175</v>
      </c>
      <c r="P1135" s="1">
        <v>45182</v>
      </c>
      <c r="Q1135" s="2" t="s">
        <v>45</v>
      </c>
      <c r="R1135" s="2">
        <v>9512</v>
      </c>
    </row>
    <row r="1136" spans="1:18" x14ac:dyDescent="0.25">
      <c r="A1136" s="1">
        <v>45198</v>
      </c>
      <c r="B1136" s="2" t="s">
        <v>17</v>
      </c>
      <c r="C1136" s="2" t="s">
        <v>18</v>
      </c>
      <c r="D1136">
        <v>11</v>
      </c>
      <c r="E1136">
        <v>203</v>
      </c>
      <c r="F1136" s="2" t="s">
        <v>46</v>
      </c>
      <c r="G1136" s="2" t="s">
        <v>29</v>
      </c>
      <c r="H1136">
        <v>0.1</v>
      </c>
      <c r="I1136" s="2" t="s">
        <v>21</v>
      </c>
      <c r="J1136" s="2" t="s">
        <v>22</v>
      </c>
      <c r="K1136">
        <v>0</v>
      </c>
      <c r="L1136" s="2" t="s">
        <v>2245</v>
      </c>
      <c r="M1136" s="2" t="s">
        <v>2246</v>
      </c>
      <c r="N1136">
        <v>30.97</v>
      </c>
      <c r="O1136" s="1">
        <v>45198</v>
      </c>
      <c r="P1136" s="1">
        <v>45201</v>
      </c>
      <c r="Q1136" s="2" t="s">
        <v>25</v>
      </c>
      <c r="R1136" s="2">
        <v>2010</v>
      </c>
    </row>
    <row r="1137" spans="1:18" x14ac:dyDescent="0.25">
      <c r="A1137" s="1">
        <v>45433</v>
      </c>
      <c r="B1137" s="2" t="s">
        <v>40</v>
      </c>
      <c r="C1137" s="2" t="s">
        <v>50</v>
      </c>
      <c r="D1137">
        <v>18</v>
      </c>
      <c r="E1137">
        <v>139</v>
      </c>
      <c r="F1137" s="2" t="s">
        <v>28</v>
      </c>
      <c r="G1137" s="2" t="s">
        <v>20</v>
      </c>
      <c r="H1137">
        <v>0</v>
      </c>
      <c r="I1137" s="2" t="s">
        <v>47</v>
      </c>
      <c r="J1137" s="2" t="s">
        <v>22</v>
      </c>
      <c r="K1137">
        <v>1</v>
      </c>
      <c r="L1137" s="2" t="s">
        <v>2247</v>
      </c>
      <c r="M1137" s="2" t="s">
        <v>2248</v>
      </c>
      <c r="N1137">
        <v>10.56</v>
      </c>
      <c r="O1137" s="1">
        <v>45433</v>
      </c>
      <c r="P1137" s="1">
        <v>45435</v>
      </c>
      <c r="Q1137" s="2" t="s">
        <v>45</v>
      </c>
      <c r="R1137" s="2">
        <v>2502</v>
      </c>
    </row>
    <row r="1138" spans="1:18" x14ac:dyDescent="0.25">
      <c r="A1138" s="1">
        <v>45760</v>
      </c>
      <c r="B1138" s="2" t="s">
        <v>65</v>
      </c>
      <c r="C1138" s="2" t="s">
        <v>50</v>
      </c>
      <c r="D1138">
        <v>2</v>
      </c>
      <c r="E1138">
        <v>159</v>
      </c>
      <c r="F1138" s="2" t="s">
        <v>28</v>
      </c>
      <c r="G1138" s="2" t="s">
        <v>20</v>
      </c>
      <c r="H1138">
        <v>0</v>
      </c>
      <c r="I1138" s="2" t="s">
        <v>62</v>
      </c>
      <c r="J1138" s="2" t="s">
        <v>22</v>
      </c>
      <c r="K1138">
        <v>0</v>
      </c>
      <c r="L1138" s="2" t="s">
        <v>2249</v>
      </c>
      <c r="M1138" s="2" t="s">
        <v>2250</v>
      </c>
      <c r="N1138">
        <v>48.32</v>
      </c>
      <c r="O1138" s="1">
        <v>45760</v>
      </c>
      <c r="P1138" s="1">
        <v>45766</v>
      </c>
      <c r="Q1138" s="2" t="s">
        <v>68</v>
      </c>
      <c r="R1138" s="2">
        <v>318</v>
      </c>
    </row>
    <row r="1139" spans="1:18" x14ac:dyDescent="0.25">
      <c r="A1139" s="1">
        <v>45612</v>
      </c>
      <c r="B1139" s="2" t="s">
        <v>17</v>
      </c>
      <c r="C1139" s="2" t="s">
        <v>41</v>
      </c>
      <c r="D1139">
        <v>3</v>
      </c>
      <c r="E1139">
        <v>388</v>
      </c>
      <c r="F1139" s="2" t="s">
        <v>28</v>
      </c>
      <c r="G1139" s="2" t="s">
        <v>20</v>
      </c>
      <c r="H1139">
        <v>0</v>
      </c>
      <c r="I1139" s="2" t="s">
        <v>52</v>
      </c>
      <c r="J1139" s="2" t="s">
        <v>53</v>
      </c>
      <c r="K1139">
        <v>0</v>
      </c>
      <c r="L1139" s="2" t="s">
        <v>2251</v>
      </c>
      <c r="M1139" s="2" t="s">
        <v>2252</v>
      </c>
      <c r="N1139">
        <v>30.08</v>
      </c>
      <c r="O1139" s="1">
        <v>45612</v>
      </c>
      <c r="P1139" s="1">
        <v>45616</v>
      </c>
      <c r="Q1139" s="2" t="s">
        <v>25</v>
      </c>
      <c r="R1139" s="2">
        <v>1164</v>
      </c>
    </row>
    <row r="1140" spans="1:18" x14ac:dyDescent="0.25">
      <c r="A1140" s="1">
        <v>45493</v>
      </c>
      <c r="B1140" s="2" t="s">
        <v>35</v>
      </c>
      <c r="C1140" s="2" t="s">
        <v>36</v>
      </c>
      <c r="D1140">
        <v>5</v>
      </c>
      <c r="E1140">
        <v>202</v>
      </c>
      <c r="F1140" s="2" t="s">
        <v>28</v>
      </c>
      <c r="G1140" s="2" t="s">
        <v>29</v>
      </c>
      <c r="H1140">
        <v>0.1</v>
      </c>
      <c r="I1140" s="2" t="s">
        <v>52</v>
      </c>
      <c r="J1140" s="2" t="s">
        <v>22</v>
      </c>
      <c r="K1140">
        <v>1</v>
      </c>
      <c r="L1140" s="2" t="s">
        <v>2253</v>
      </c>
      <c r="M1140" s="2" t="s">
        <v>2209</v>
      </c>
      <c r="N1140">
        <v>45.61</v>
      </c>
      <c r="O1140" s="1">
        <v>45493</v>
      </c>
      <c r="P1140" s="1">
        <v>45501</v>
      </c>
      <c r="Q1140" s="2" t="s">
        <v>39</v>
      </c>
      <c r="R1140" s="2">
        <v>909</v>
      </c>
    </row>
    <row r="1141" spans="1:18" x14ac:dyDescent="0.25">
      <c r="A1141" s="1">
        <v>45066</v>
      </c>
      <c r="B1141" s="2" t="s">
        <v>35</v>
      </c>
      <c r="C1141" s="2" t="s">
        <v>36</v>
      </c>
      <c r="D1141">
        <v>4</v>
      </c>
      <c r="E1141">
        <v>335</v>
      </c>
      <c r="F1141" s="2" t="s">
        <v>46</v>
      </c>
      <c r="G1141" s="2" t="s">
        <v>29</v>
      </c>
      <c r="H1141">
        <v>0.15</v>
      </c>
      <c r="I1141" s="2" t="s">
        <v>47</v>
      </c>
      <c r="J1141" s="2" t="s">
        <v>31</v>
      </c>
      <c r="K1141">
        <v>0</v>
      </c>
      <c r="L1141" s="2" t="s">
        <v>2254</v>
      </c>
      <c r="M1141" s="2" t="s">
        <v>2255</v>
      </c>
      <c r="N1141">
        <v>11.49</v>
      </c>
      <c r="O1141" s="1">
        <v>45066</v>
      </c>
      <c r="P1141" s="1">
        <v>45073</v>
      </c>
      <c r="Q1141" s="2" t="s">
        <v>39</v>
      </c>
      <c r="R1141" s="2">
        <v>1139</v>
      </c>
    </row>
    <row r="1142" spans="1:18" x14ac:dyDescent="0.25">
      <c r="A1142" s="1">
        <v>45221</v>
      </c>
      <c r="B1142" s="2" t="s">
        <v>65</v>
      </c>
      <c r="C1142" s="2" t="s">
        <v>27</v>
      </c>
      <c r="D1142">
        <v>16</v>
      </c>
      <c r="E1142">
        <v>487</v>
      </c>
      <c r="F1142" s="2" t="s">
        <v>19</v>
      </c>
      <c r="G1142" s="2" t="s">
        <v>20</v>
      </c>
      <c r="H1142">
        <v>0.15</v>
      </c>
      <c r="I1142" s="2" t="s">
        <v>47</v>
      </c>
      <c r="J1142" s="2" t="s">
        <v>22</v>
      </c>
      <c r="K1142">
        <v>1</v>
      </c>
      <c r="L1142" s="2" t="s">
        <v>2256</v>
      </c>
      <c r="M1142" s="2" t="s">
        <v>2257</v>
      </c>
      <c r="N1142">
        <v>12.53</v>
      </c>
      <c r="O1142" s="1">
        <v>45221</v>
      </c>
      <c r="P1142" s="1">
        <v>45225</v>
      </c>
      <c r="Q1142" s="2" t="s">
        <v>68</v>
      </c>
      <c r="R1142" s="2">
        <v>6623</v>
      </c>
    </row>
    <row r="1143" spans="1:18" x14ac:dyDescent="0.25">
      <c r="A1143" s="1">
        <v>45795</v>
      </c>
      <c r="B1143" s="2" t="s">
        <v>35</v>
      </c>
      <c r="C1143" s="2" t="s">
        <v>50</v>
      </c>
      <c r="D1143">
        <v>2</v>
      </c>
      <c r="E1143">
        <v>188</v>
      </c>
      <c r="F1143" s="2" t="s">
        <v>51</v>
      </c>
      <c r="G1143" s="2" t="s">
        <v>20</v>
      </c>
      <c r="H1143">
        <v>0.15</v>
      </c>
      <c r="I1143" s="2" t="s">
        <v>62</v>
      </c>
      <c r="J1143" s="2" t="s">
        <v>53</v>
      </c>
      <c r="K1143">
        <v>0</v>
      </c>
      <c r="L1143" s="2" t="s">
        <v>2258</v>
      </c>
      <c r="M1143" s="2" t="s">
        <v>2259</v>
      </c>
      <c r="N1143">
        <v>32.22</v>
      </c>
      <c r="O1143" s="1">
        <v>45795</v>
      </c>
      <c r="P1143" s="1">
        <v>45798</v>
      </c>
      <c r="Q1143" s="2" t="s">
        <v>39</v>
      </c>
      <c r="R1143" s="2">
        <v>320</v>
      </c>
    </row>
    <row r="1144" spans="1:18" x14ac:dyDescent="0.25">
      <c r="A1144" s="1">
        <v>45354</v>
      </c>
      <c r="B1144" s="2" t="s">
        <v>26</v>
      </c>
      <c r="C1144" s="2" t="s">
        <v>18</v>
      </c>
      <c r="D1144">
        <v>3</v>
      </c>
      <c r="E1144">
        <v>261</v>
      </c>
      <c r="F1144" s="2" t="s">
        <v>19</v>
      </c>
      <c r="G1144" s="2" t="s">
        <v>20</v>
      </c>
      <c r="H1144">
        <v>0.15</v>
      </c>
      <c r="I1144" s="2" t="s">
        <v>42</v>
      </c>
      <c r="J1144" s="2" t="s">
        <v>22</v>
      </c>
      <c r="K1144">
        <v>0</v>
      </c>
      <c r="L1144" s="2" t="s">
        <v>2260</v>
      </c>
      <c r="M1144" s="2" t="s">
        <v>2261</v>
      </c>
      <c r="N1144">
        <v>19.41</v>
      </c>
      <c r="O1144" s="1">
        <v>45354</v>
      </c>
      <c r="P1144" s="1">
        <v>45357</v>
      </c>
      <c r="Q1144" s="2" t="s">
        <v>34</v>
      </c>
      <c r="R1144" s="2">
        <v>666</v>
      </c>
    </row>
    <row r="1145" spans="1:18" x14ac:dyDescent="0.25">
      <c r="A1145" s="1">
        <v>45130</v>
      </c>
      <c r="B1145" s="2" t="s">
        <v>17</v>
      </c>
      <c r="C1145" s="2" t="s">
        <v>36</v>
      </c>
      <c r="D1145">
        <v>6</v>
      </c>
      <c r="E1145">
        <v>358</v>
      </c>
      <c r="F1145" s="2" t="s">
        <v>19</v>
      </c>
      <c r="G1145" s="2" t="s">
        <v>29</v>
      </c>
      <c r="H1145">
        <v>0.1</v>
      </c>
      <c r="I1145" s="2" t="s">
        <v>42</v>
      </c>
      <c r="J1145" s="2" t="s">
        <v>31</v>
      </c>
      <c r="K1145">
        <v>0</v>
      </c>
      <c r="L1145" s="2" t="s">
        <v>2262</v>
      </c>
      <c r="M1145" s="2" t="s">
        <v>2130</v>
      </c>
      <c r="N1145">
        <v>7.34</v>
      </c>
      <c r="O1145" s="1">
        <v>45130</v>
      </c>
      <c r="P1145" s="1">
        <v>45140</v>
      </c>
      <c r="Q1145" s="2" t="s">
        <v>25</v>
      </c>
      <c r="R1145" s="2">
        <v>1933</v>
      </c>
    </row>
    <row r="1146" spans="1:18" x14ac:dyDescent="0.25">
      <c r="A1146" s="1">
        <v>45697</v>
      </c>
      <c r="B1146" s="2" t="s">
        <v>35</v>
      </c>
      <c r="C1146" s="2" t="s">
        <v>36</v>
      </c>
      <c r="D1146">
        <v>13</v>
      </c>
      <c r="E1146">
        <v>493</v>
      </c>
      <c r="F1146" s="2" t="s">
        <v>19</v>
      </c>
      <c r="G1146" s="2" t="s">
        <v>29</v>
      </c>
      <c r="H1146">
        <v>0.1</v>
      </c>
      <c r="I1146" s="2" t="s">
        <v>42</v>
      </c>
      <c r="J1146" s="2" t="s">
        <v>31</v>
      </c>
      <c r="K1146">
        <v>0</v>
      </c>
      <c r="L1146" s="2" t="s">
        <v>2263</v>
      </c>
      <c r="M1146" s="2" t="s">
        <v>2264</v>
      </c>
      <c r="N1146">
        <v>46.21</v>
      </c>
      <c r="O1146" s="1">
        <v>45697</v>
      </c>
      <c r="P1146" s="1">
        <v>45702</v>
      </c>
      <c r="Q1146" s="2" t="s">
        <v>39</v>
      </c>
      <c r="R1146" s="2">
        <v>5768</v>
      </c>
    </row>
    <row r="1147" spans="1:18" x14ac:dyDescent="0.25">
      <c r="A1147" s="1">
        <v>44943</v>
      </c>
      <c r="B1147" s="2" t="s">
        <v>26</v>
      </c>
      <c r="C1147" s="2" t="s">
        <v>41</v>
      </c>
      <c r="D1147">
        <v>3</v>
      </c>
      <c r="E1147">
        <v>348</v>
      </c>
      <c r="F1147" s="2" t="s">
        <v>19</v>
      </c>
      <c r="G1147" s="2" t="s">
        <v>20</v>
      </c>
      <c r="H1147">
        <v>0</v>
      </c>
      <c r="I1147" s="2" t="s">
        <v>47</v>
      </c>
      <c r="J1147" s="2" t="s">
        <v>31</v>
      </c>
      <c r="K1147">
        <v>0</v>
      </c>
      <c r="L1147" s="2" t="s">
        <v>2265</v>
      </c>
      <c r="M1147" s="2" t="s">
        <v>2266</v>
      </c>
      <c r="N1147">
        <v>26.25</v>
      </c>
      <c r="O1147" s="1">
        <v>44943</v>
      </c>
      <c r="P1147" s="1">
        <v>44949</v>
      </c>
      <c r="Q1147" s="2" t="s">
        <v>34</v>
      </c>
      <c r="R1147" s="2">
        <v>1044</v>
      </c>
    </row>
    <row r="1148" spans="1:18" x14ac:dyDescent="0.25">
      <c r="A1148" s="1">
        <v>45186</v>
      </c>
      <c r="B1148" s="2" t="s">
        <v>35</v>
      </c>
      <c r="C1148" s="2" t="s">
        <v>27</v>
      </c>
      <c r="D1148">
        <v>6</v>
      </c>
      <c r="E1148">
        <v>438</v>
      </c>
      <c r="F1148" s="2" t="s">
        <v>51</v>
      </c>
      <c r="G1148" s="2" t="s">
        <v>20</v>
      </c>
      <c r="H1148">
        <v>0.05</v>
      </c>
      <c r="I1148" s="2" t="s">
        <v>52</v>
      </c>
      <c r="J1148" s="2" t="s">
        <v>31</v>
      </c>
      <c r="K1148">
        <v>1</v>
      </c>
      <c r="L1148" s="2" t="s">
        <v>2267</v>
      </c>
      <c r="M1148" s="2" t="s">
        <v>2268</v>
      </c>
      <c r="N1148">
        <v>39.4</v>
      </c>
      <c r="O1148" s="1">
        <v>45186</v>
      </c>
      <c r="P1148" s="1">
        <v>45195</v>
      </c>
      <c r="Q1148" s="2" t="s">
        <v>39</v>
      </c>
      <c r="R1148" s="2">
        <v>2497</v>
      </c>
    </row>
    <row r="1149" spans="1:18" x14ac:dyDescent="0.25">
      <c r="A1149" s="1">
        <v>45703</v>
      </c>
      <c r="B1149" s="2" t="s">
        <v>35</v>
      </c>
      <c r="C1149" s="2" t="s">
        <v>126</v>
      </c>
      <c r="D1149">
        <v>19</v>
      </c>
      <c r="E1149">
        <v>118</v>
      </c>
      <c r="F1149" s="2" t="s">
        <v>51</v>
      </c>
      <c r="G1149" s="2" t="s">
        <v>20</v>
      </c>
      <c r="H1149">
        <v>0.1</v>
      </c>
      <c r="I1149" s="2" t="s">
        <v>30</v>
      </c>
      <c r="J1149" s="2" t="s">
        <v>22</v>
      </c>
      <c r="K1149">
        <v>0</v>
      </c>
      <c r="L1149" s="2" t="s">
        <v>2269</v>
      </c>
      <c r="M1149" s="2" t="s">
        <v>2270</v>
      </c>
      <c r="N1149">
        <v>10.77</v>
      </c>
      <c r="O1149" s="1">
        <v>45703</v>
      </c>
      <c r="P1149" s="1">
        <v>45711</v>
      </c>
      <c r="Q1149" s="2" t="s">
        <v>39</v>
      </c>
      <c r="R1149" s="2">
        <v>2018</v>
      </c>
    </row>
    <row r="1150" spans="1:18" x14ac:dyDescent="0.25">
      <c r="A1150" s="1">
        <v>45206</v>
      </c>
      <c r="B1150" s="2" t="s">
        <v>65</v>
      </c>
      <c r="C1150" s="2" t="s">
        <v>75</v>
      </c>
      <c r="D1150">
        <v>15</v>
      </c>
      <c r="E1150">
        <v>189</v>
      </c>
      <c r="F1150" s="2" t="s">
        <v>46</v>
      </c>
      <c r="G1150" s="2" t="s">
        <v>20</v>
      </c>
      <c r="H1150">
        <v>0.05</v>
      </c>
      <c r="I1150" s="2" t="s">
        <v>62</v>
      </c>
      <c r="J1150" s="2" t="s">
        <v>53</v>
      </c>
      <c r="K1150">
        <v>1</v>
      </c>
      <c r="L1150" s="2" t="s">
        <v>2271</v>
      </c>
      <c r="M1150" s="2" t="s">
        <v>2272</v>
      </c>
      <c r="N1150">
        <v>38.61</v>
      </c>
      <c r="O1150" s="1">
        <v>45206</v>
      </c>
      <c r="P1150" s="1">
        <v>45208</v>
      </c>
      <c r="Q1150" s="2" t="s">
        <v>68</v>
      </c>
      <c r="R1150" s="2">
        <v>2693</v>
      </c>
    </row>
    <row r="1151" spans="1:18" x14ac:dyDescent="0.25">
      <c r="A1151" s="1">
        <v>45146</v>
      </c>
      <c r="B1151" s="2" t="s">
        <v>65</v>
      </c>
      <c r="C1151" s="2" t="s">
        <v>27</v>
      </c>
      <c r="D1151">
        <v>8</v>
      </c>
      <c r="E1151">
        <v>201</v>
      </c>
      <c r="F1151" s="2" t="s">
        <v>28</v>
      </c>
      <c r="G1151" s="2" t="s">
        <v>20</v>
      </c>
      <c r="H1151">
        <v>0</v>
      </c>
      <c r="I1151" s="2" t="s">
        <v>52</v>
      </c>
      <c r="J1151" s="2" t="s">
        <v>31</v>
      </c>
      <c r="K1151">
        <v>1</v>
      </c>
      <c r="L1151" s="2" t="s">
        <v>2273</v>
      </c>
      <c r="M1151" s="2" t="s">
        <v>2274</v>
      </c>
      <c r="N1151">
        <v>30.7</v>
      </c>
      <c r="O1151" s="1">
        <v>45146</v>
      </c>
      <c r="P1151" s="1">
        <v>45148</v>
      </c>
      <c r="Q1151" s="2" t="s">
        <v>68</v>
      </c>
      <c r="R1151" s="2">
        <v>1608</v>
      </c>
    </row>
    <row r="1152" spans="1:18" x14ac:dyDescent="0.25">
      <c r="A1152" s="1">
        <v>45159</v>
      </c>
      <c r="B1152" s="2" t="s">
        <v>17</v>
      </c>
      <c r="C1152" s="2" t="s">
        <v>18</v>
      </c>
      <c r="D1152">
        <v>3</v>
      </c>
      <c r="E1152">
        <v>142</v>
      </c>
      <c r="F1152" s="2" t="s">
        <v>46</v>
      </c>
      <c r="G1152" s="2" t="s">
        <v>20</v>
      </c>
      <c r="H1152">
        <v>0.15</v>
      </c>
      <c r="I1152" s="2" t="s">
        <v>42</v>
      </c>
      <c r="J1152" s="2" t="s">
        <v>31</v>
      </c>
      <c r="K1152">
        <v>0</v>
      </c>
      <c r="L1152" s="2" t="s">
        <v>2275</v>
      </c>
      <c r="M1152" s="2" t="s">
        <v>797</v>
      </c>
      <c r="N1152">
        <v>26.04</v>
      </c>
      <c r="O1152" s="1">
        <v>45159</v>
      </c>
      <c r="P1152" s="1">
        <v>45165</v>
      </c>
      <c r="Q1152" s="2" t="s">
        <v>25</v>
      </c>
      <c r="R1152" s="2">
        <v>362</v>
      </c>
    </row>
    <row r="1153" spans="1:18" x14ac:dyDescent="0.25">
      <c r="A1153" s="1">
        <v>45480</v>
      </c>
      <c r="B1153" s="2" t="s">
        <v>35</v>
      </c>
      <c r="C1153" s="2" t="s">
        <v>75</v>
      </c>
      <c r="D1153">
        <v>15</v>
      </c>
      <c r="E1153">
        <v>576</v>
      </c>
      <c r="F1153" s="2" t="s">
        <v>51</v>
      </c>
      <c r="G1153" s="2" t="s">
        <v>29</v>
      </c>
      <c r="H1153">
        <v>0.1</v>
      </c>
      <c r="I1153" s="2" t="s">
        <v>30</v>
      </c>
      <c r="J1153" s="2" t="s">
        <v>22</v>
      </c>
      <c r="K1153">
        <v>0</v>
      </c>
      <c r="L1153" s="2" t="s">
        <v>2276</v>
      </c>
      <c r="M1153" s="2" t="s">
        <v>2277</v>
      </c>
      <c r="N1153">
        <v>29.31</v>
      </c>
      <c r="O1153" s="1">
        <v>45480</v>
      </c>
      <c r="P1153" s="1">
        <v>45484</v>
      </c>
      <c r="Q1153" s="2" t="s">
        <v>39</v>
      </c>
      <c r="R1153" s="2">
        <v>7776</v>
      </c>
    </row>
    <row r="1154" spans="1:18" x14ac:dyDescent="0.25">
      <c r="A1154" s="1">
        <v>45674</v>
      </c>
      <c r="B1154" s="2" t="s">
        <v>26</v>
      </c>
      <c r="C1154" s="2" t="s">
        <v>36</v>
      </c>
      <c r="D1154">
        <v>9</v>
      </c>
      <c r="E1154">
        <v>97</v>
      </c>
      <c r="F1154" s="2" t="s">
        <v>51</v>
      </c>
      <c r="G1154" s="2" t="s">
        <v>29</v>
      </c>
      <c r="H1154">
        <v>0.15</v>
      </c>
      <c r="I1154" s="2" t="s">
        <v>62</v>
      </c>
      <c r="J1154" s="2" t="s">
        <v>53</v>
      </c>
      <c r="K1154">
        <v>1</v>
      </c>
      <c r="L1154" s="2" t="s">
        <v>2278</v>
      </c>
      <c r="M1154" s="2" t="s">
        <v>2279</v>
      </c>
      <c r="N1154">
        <v>30.87</v>
      </c>
      <c r="O1154" s="1">
        <v>45674</v>
      </c>
      <c r="P1154" s="1">
        <v>45681</v>
      </c>
      <c r="Q1154" s="2" t="s">
        <v>34</v>
      </c>
      <c r="R1154" s="2">
        <v>742</v>
      </c>
    </row>
    <row r="1155" spans="1:18" x14ac:dyDescent="0.25">
      <c r="A1155" s="1">
        <v>45266</v>
      </c>
      <c r="B1155" s="2" t="s">
        <v>35</v>
      </c>
      <c r="C1155" s="2" t="s">
        <v>75</v>
      </c>
      <c r="D1155">
        <v>17</v>
      </c>
      <c r="E1155">
        <v>218</v>
      </c>
      <c r="F1155" s="2" t="s">
        <v>51</v>
      </c>
      <c r="G1155" s="2" t="s">
        <v>20</v>
      </c>
      <c r="H1155">
        <v>0.15</v>
      </c>
      <c r="I1155" s="2" t="s">
        <v>62</v>
      </c>
      <c r="J1155" s="2" t="s">
        <v>59</v>
      </c>
      <c r="K1155">
        <v>0</v>
      </c>
      <c r="L1155" s="2" t="s">
        <v>2280</v>
      </c>
      <c r="M1155" s="2" t="s">
        <v>2281</v>
      </c>
      <c r="N1155">
        <v>16</v>
      </c>
      <c r="O1155" s="1">
        <v>45266</v>
      </c>
      <c r="P1155" s="1">
        <v>45276</v>
      </c>
      <c r="Q1155" s="2" t="s">
        <v>39</v>
      </c>
      <c r="R1155" s="2">
        <v>3150</v>
      </c>
    </row>
    <row r="1156" spans="1:18" x14ac:dyDescent="0.25">
      <c r="A1156" s="1">
        <v>44986</v>
      </c>
      <c r="B1156" s="2" t="s">
        <v>26</v>
      </c>
      <c r="C1156" s="2" t="s">
        <v>36</v>
      </c>
      <c r="D1156">
        <v>2</v>
      </c>
      <c r="E1156">
        <v>153</v>
      </c>
      <c r="F1156" s="2" t="s">
        <v>46</v>
      </c>
      <c r="G1156" s="2" t="s">
        <v>20</v>
      </c>
      <c r="H1156">
        <v>0.05</v>
      </c>
      <c r="I1156" s="2" t="s">
        <v>47</v>
      </c>
      <c r="J1156" s="2" t="s">
        <v>59</v>
      </c>
      <c r="K1156">
        <v>0</v>
      </c>
      <c r="L1156" s="2" t="s">
        <v>2282</v>
      </c>
      <c r="M1156" s="2" t="s">
        <v>2283</v>
      </c>
      <c r="N1156">
        <v>31.55</v>
      </c>
      <c r="O1156" s="1">
        <v>44986</v>
      </c>
      <c r="P1156" s="1">
        <v>44989</v>
      </c>
      <c r="Q1156" s="2" t="s">
        <v>34</v>
      </c>
      <c r="R1156" s="2">
        <v>291</v>
      </c>
    </row>
    <row r="1157" spans="1:18" x14ac:dyDescent="0.25">
      <c r="A1157" s="1">
        <v>45699</v>
      </c>
      <c r="B1157" s="2" t="s">
        <v>35</v>
      </c>
      <c r="C1157" s="2" t="s">
        <v>126</v>
      </c>
      <c r="D1157">
        <v>8</v>
      </c>
      <c r="E1157">
        <v>316</v>
      </c>
      <c r="F1157" s="2" t="s">
        <v>19</v>
      </c>
      <c r="G1157" s="2" t="s">
        <v>20</v>
      </c>
      <c r="H1157">
        <v>0.1</v>
      </c>
      <c r="I1157" s="2" t="s">
        <v>52</v>
      </c>
      <c r="J1157" s="2" t="s">
        <v>31</v>
      </c>
      <c r="K1157">
        <v>0</v>
      </c>
      <c r="L1157" s="2" t="s">
        <v>2284</v>
      </c>
      <c r="M1157" s="2" t="s">
        <v>2285</v>
      </c>
      <c r="N1157">
        <v>6.28</v>
      </c>
      <c r="O1157" s="1">
        <v>45699</v>
      </c>
      <c r="P1157" s="1">
        <v>45703</v>
      </c>
      <c r="Q1157" s="2" t="s">
        <v>39</v>
      </c>
      <c r="R1157" s="2">
        <v>2275</v>
      </c>
    </row>
    <row r="1158" spans="1:18" x14ac:dyDescent="0.25">
      <c r="A1158" s="1">
        <v>45097</v>
      </c>
      <c r="B1158" s="2" t="s">
        <v>40</v>
      </c>
      <c r="C1158" s="2" t="s">
        <v>126</v>
      </c>
      <c r="D1158">
        <v>13</v>
      </c>
      <c r="E1158">
        <v>154</v>
      </c>
      <c r="F1158" s="2" t="s">
        <v>19</v>
      </c>
      <c r="G1158" s="2" t="s">
        <v>20</v>
      </c>
      <c r="H1158">
        <v>0.05</v>
      </c>
      <c r="I1158" s="2" t="s">
        <v>47</v>
      </c>
      <c r="J1158" s="2" t="s">
        <v>31</v>
      </c>
      <c r="K1158">
        <v>0</v>
      </c>
      <c r="L1158" s="2" t="s">
        <v>2286</v>
      </c>
      <c r="M1158" s="2" t="s">
        <v>2287</v>
      </c>
      <c r="N1158">
        <v>27.98</v>
      </c>
      <c r="O1158" s="1">
        <v>45097</v>
      </c>
      <c r="P1158" s="1">
        <v>45102</v>
      </c>
      <c r="Q1158" s="2" t="s">
        <v>45</v>
      </c>
      <c r="R1158" s="2">
        <v>1902</v>
      </c>
    </row>
    <row r="1159" spans="1:18" x14ac:dyDescent="0.25">
      <c r="A1159" s="1">
        <v>45351</v>
      </c>
      <c r="B1159" s="2" t="s">
        <v>65</v>
      </c>
      <c r="C1159" s="2" t="s">
        <v>126</v>
      </c>
      <c r="D1159">
        <v>7</v>
      </c>
      <c r="E1159">
        <v>208</v>
      </c>
      <c r="F1159" s="2" t="s">
        <v>46</v>
      </c>
      <c r="G1159" s="2" t="s">
        <v>20</v>
      </c>
      <c r="H1159">
        <v>0.05</v>
      </c>
      <c r="I1159" s="2" t="s">
        <v>42</v>
      </c>
      <c r="J1159" s="2" t="s">
        <v>22</v>
      </c>
      <c r="K1159">
        <v>0</v>
      </c>
      <c r="L1159" s="2" t="s">
        <v>2288</v>
      </c>
      <c r="M1159" s="2" t="s">
        <v>2289</v>
      </c>
      <c r="N1159">
        <v>26.57</v>
      </c>
      <c r="O1159" s="1">
        <v>45351</v>
      </c>
      <c r="P1159" s="1">
        <v>45354</v>
      </c>
      <c r="Q1159" s="2" t="s">
        <v>68</v>
      </c>
      <c r="R1159" s="2">
        <v>1383</v>
      </c>
    </row>
    <row r="1160" spans="1:18" x14ac:dyDescent="0.25">
      <c r="A1160" s="1">
        <v>45838</v>
      </c>
      <c r="B1160" s="2" t="s">
        <v>35</v>
      </c>
      <c r="C1160" s="2" t="s">
        <v>41</v>
      </c>
      <c r="D1160">
        <v>2</v>
      </c>
      <c r="E1160">
        <v>161</v>
      </c>
      <c r="F1160" s="2" t="s">
        <v>46</v>
      </c>
      <c r="G1160" s="2" t="s">
        <v>20</v>
      </c>
      <c r="H1160">
        <v>0.1</v>
      </c>
      <c r="I1160" s="2" t="s">
        <v>21</v>
      </c>
      <c r="J1160" s="2" t="s">
        <v>31</v>
      </c>
      <c r="K1160">
        <v>0</v>
      </c>
      <c r="L1160" s="2" t="s">
        <v>2290</v>
      </c>
      <c r="M1160" s="2" t="s">
        <v>2291</v>
      </c>
      <c r="N1160">
        <v>44.97</v>
      </c>
      <c r="O1160" s="1">
        <v>45838</v>
      </c>
      <c r="P1160" s="1">
        <v>45843</v>
      </c>
      <c r="Q1160" s="2" t="s">
        <v>39</v>
      </c>
      <c r="R1160" s="2">
        <v>290</v>
      </c>
    </row>
    <row r="1161" spans="1:18" x14ac:dyDescent="0.25">
      <c r="A1161" s="1">
        <v>45523</v>
      </c>
      <c r="B1161" s="2" t="s">
        <v>35</v>
      </c>
      <c r="C1161" s="2" t="s">
        <v>50</v>
      </c>
      <c r="D1161">
        <v>3</v>
      </c>
      <c r="E1161">
        <v>374</v>
      </c>
      <c r="F1161" s="2" t="s">
        <v>19</v>
      </c>
      <c r="G1161" s="2" t="s">
        <v>29</v>
      </c>
      <c r="H1161">
        <v>0.1</v>
      </c>
      <c r="I1161" s="2" t="s">
        <v>21</v>
      </c>
      <c r="J1161" s="2" t="s">
        <v>59</v>
      </c>
      <c r="K1161">
        <v>1</v>
      </c>
      <c r="L1161" s="2" t="s">
        <v>2292</v>
      </c>
      <c r="M1161" s="2" t="s">
        <v>2293</v>
      </c>
      <c r="N1161">
        <v>17.62</v>
      </c>
      <c r="O1161" s="1">
        <v>45523</v>
      </c>
      <c r="P1161" s="1">
        <v>45529</v>
      </c>
      <c r="Q1161" s="2" t="s">
        <v>39</v>
      </c>
      <c r="R1161" s="2">
        <v>1010</v>
      </c>
    </row>
    <row r="1162" spans="1:18" x14ac:dyDescent="0.25">
      <c r="A1162" s="1">
        <v>45306</v>
      </c>
      <c r="B1162" s="2" t="s">
        <v>40</v>
      </c>
      <c r="C1162" s="2" t="s">
        <v>126</v>
      </c>
      <c r="D1162">
        <v>20</v>
      </c>
      <c r="E1162">
        <v>201</v>
      </c>
      <c r="F1162" s="2" t="s">
        <v>51</v>
      </c>
      <c r="G1162" s="2" t="s">
        <v>29</v>
      </c>
      <c r="H1162">
        <v>0.1</v>
      </c>
      <c r="I1162" s="2" t="s">
        <v>30</v>
      </c>
      <c r="J1162" s="2" t="s">
        <v>22</v>
      </c>
      <c r="K1162">
        <v>0</v>
      </c>
      <c r="L1162" s="2" t="s">
        <v>2294</v>
      </c>
      <c r="M1162" s="2" t="s">
        <v>2295</v>
      </c>
      <c r="N1162">
        <v>29.6</v>
      </c>
      <c r="O1162" s="1">
        <v>45306</v>
      </c>
      <c r="P1162" s="1">
        <v>45310</v>
      </c>
      <c r="Q1162" s="2" t="s">
        <v>45</v>
      </c>
      <c r="R1162" s="2">
        <v>3618</v>
      </c>
    </row>
    <row r="1163" spans="1:18" x14ac:dyDescent="0.25">
      <c r="A1163" s="1">
        <v>45512</v>
      </c>
      <c r="B1163" s="2" t="s">
        <v>40</v>
      </c>
      <c r="C1163" s="2" t="s">
        <v>36</v>
      </c>
      <c r="D1163">
        <v>14</v>
      </c>
      <c r="E1163">
        <v>116</v>
      </c>
      <c r="F1163" s="2" t="s">
        <v>19</v>
      </c>
      <c r="G1163" s="2" t="s">
        <v>20</v>
      </c>
      <c r="H1163">
        <v>0.15</v>
      </c>
      <c r="I1163" s="2" t="s">
        <v>42</v>
      </c>
      <c r="J1163" s="2" t="s">
        <v>53</v>
      </c>
      <c r="K1163">
        <v>1</v>
      </c>
      <c r="L1163" s="2" t="s">
        <v>2296</v>
      </c>
      <c r="M1163" s="2" t="s">
        <v>2297</v>
      </c>
      <c r="N1163">
        <v>20.12</v>
      </c>
      <c r="O1163" s="1">
        <v>45512</v>
      </c>
      <c r="P1163" s="1">
        <v>45515</v>
      </c>
      <c r="Q1163" s="2" t="s">
        <v>45</v>
      </c>
      <c r="R1163" s="2">
        <v>1380</v>
      </c>
    </row>
    <row r="1164" spans="1:18" x14ac:dyDescent="0.25">
      <c r="A1164" s="1">
        <v>45570</v>
      </c>
      <c r="B1164" s="2" t="s">
        <v>65</v>
      </c>
      <c r="C1164" s="2" t="s">
        <v>27</v>
      </c>
      <c r="D1164">
        <v>12</v>
      </c>
      <c r="E1164">
        <v>535</v>
      </c>
      <c r="F1164" s="2" t="s">
        <v>46</v>
      </c>
      <c r="G1164" s="2" t="s">
        <v>29</v>
      </c>
      <c r="H1164">
        <v>0.1</v>
      </c>
      <c r="I1164" s="2" t="s">
        <v>42</v>
      </c>
      <c r="J1164" s="2" t="s">
        <v>31</v>
      </c>
      <c r="K1164">
        <v>0</v>
      </c>
      <c r="L1164" s="2" t="s">
        <v>2298</v>
      </c>
      <c r="M1164" s="2" t="s">
        <v>2299</v>
      </c>
      <c r="N1164">
        <v>27.82</v>
      </c>
      <c r="O1164" s="1">
        <v>45570</v>
      </c>
      <c r="P1164" s="1">
        <v>45572</v>
      </c>
      <c r="Q1164" s="2" t="s">
        <v>68</v>
      </c>
      <c r="R1164" s="2">
        <v>5778</v>
      </c>
    </row>
    <row r="1165" spans="1:18" x14ac:dyDescent="0.25">
      <c r="A1165" s="1">
        <v>45304</v>
      </c>
      <c r="B1165" s="2" t="s">
        <v>26</v>
      </c>
      <c r="C1165" s="2" t="s">
        <v>36</v>
      </c>
      <c r="D1165">
        <v>12</v>
      </c>
      <c r="E1165">
        <v>104</v>
      </c>
      <c r="F1165" s="2" t="s">
        <v>28</v>
      </c>
      <c r="G1165" s="2" t="s">
        <v>29</v>
      </c>
      <c r="H1165">
        <v>0.1</v>
      </c>
      <c r="I1165" s="2" t="s">
        <v>42</v>
      </c>
      <c r="J1165" s="2" t="s">
        <v>56</v>
      </c>
      <c r="K1165">
        <v>0</v>
      </c>
      <c r="L1165" s="2" t="s">
        <v>2300</v>
      </c>
      <c r="M1165" s="2" t="s">
        <v>2301</v>
      </c>
      <c r="N1165">
        <v>48.11</v>
      </c>
      <c r="O1165" s="1">
        <v>45304</v>
      </c>
      <c r="P1165" s="1">
        <v>45312</v>
      </c>
      <c r="Q1165" s="2" t="s">
        <v>34</v>
      </c>
      <c r="R1165" s="2">
        <v>1123</v>
      </c>
    </row>
    <row r="1166" spans="1:18" x14ac:dyDescent="0.25">
      <c r="A1166" s="1">
        <v>45014</v>
      </c>
      <c r="B1166" s="2" t="s">
        <v>65</v>
      </c>
      <c r="C1166" s="2" t="s">
        <v>18</v>
      </c>
      <c r="D1166">
        <v>18</v>
      </c>
      <c r="E1166">
        <v>176</v>
      </c>
      <c r="F1166" s="2" t="s">
        <v>19</v>
      </c>
      <c r="G1166" s="2" t="s">
        <v>20</v>
      </c>
      <c r="H1166">
        <v>0.05</v>
      </c>
      <c r="I1166" s="2" t="s">
        <v>52</v>
      </c>
      <c r="J1166" s="2" t="s">
        <v>56</v>
      </c>
      <c r="K1166">
        <v>0</v>
      </c>
      <c r="L1166" s="2" t="s">
        <v>2302</v>
      </c>
      <c r="M1166" s="2" t="s">
        <v>2303</v>
      </c>
      <c r="N1166">
        <v>36.35</v>
      </c>
      <c r="O1166" s="1">
        <v>45014</v>
      </c>
      <c r="P1166" s="1">
        <v>45020</v>
      </c>
      <c r="Q1166" s="2" t="s">
        <v>68</v>
      </c>
      <c r="R1166" s="2">
        <v>3010</v>
      </c>
    </row>
    <row r="1167" spans="1:18" x14ac:dyDescent="0.25">
      <c r="A1167" s="1">
        <v>45218</v>
      </c>
      <c r="B1167" s="2" t="s">
        <v>35</v>
      </c>
      <c r="C1167" s="2" t="s">
        <v>126</v>
      </c>
      <c r="D1167">
        <v>5</v>
      </c>
      <c r="E1167">
        <v>112</v>
      </c>
      <c r="F1167" s="2" t="s">
        <v>51</v>
      </c>
      <c r="G1167" s="2" t="s">
        <v>29</v>
      </c>
      <c r="H1167">
        <v>0.1</v>
      </c>
      <c r="I1167" s="2" t="s">
        <v>62</v>
      </c>
      <c r="J1167" s="2" t="s">
        <v>53</v>
      </c>
      <c r="K1167">
        <v>1</v>
      </c>
      <c r="L1167" s="2" t="s">
        <v>2304</v>
      </c>
      <c r="M1167" s="2" t="s">
        <v>357</v>
      </c>
      <c r="N1167">
        <v>7.46</v>
      </c>
      <c r="O1167" s="1">
        <v>45218</v>
      </c>
      <c r="P1167" s="1">
        <v>45222</v>
      </c>
      <c r="Q1167" s="2" t="s">
        <v>39</v>
      </c>
      <c r="R1167" s="2">
        <v>504</v>
      </c>
    </row>
    <row r="1168" spans="1:18" x14ac:dyDescent="0.25">
      <c r="A1168" s="1">
        <v>45222</v>
      </c>
      <c r="B1168" s="2" t="s">
        <v>65</v>
      </c>
      <c r="C1168" s="2" t="s">
        <v>41</v>
      </c>
      <c r="D1168">
        <v>20</v>
      </c>
      <c r="E1168">
        <v>19</v>
      </c>
      <c r="F1168" s="2" t="s">
        <v>46</v>
      </c>
      <c r="G1168" s="2" t="s">
        <v>20</v>
      </c>
      <c r="H1168">
        <v>0</v>
      </c>
      <c r="I1168" s="2" t="s">
        <v>62</v>
      </c>
      <c r="J1168" s="2" t="s">
        <v>56</v>
      </c>
      <c r="K1168">
        <v>0</v>
      </c>
      <c r="L1168" s="2" t="s">
        <v>2305</v>
      </c>
      <c r="M1168" s="2" t="s">
        <v>2306</v>
      </c>
      <c r="N1168">
        <v>47.23</v>
      </c>
      <c r="O1168" s="1">
        <v>45222</v>
      </c>
      <c r="P1168" s="1">
        <v>45231</v>
      </c>
      <c r="Q1168" s="2" t="s">
        <v>68</v>
      </c>
      <c r="R1168" s="2">
        <v>380</v>
      </c>
    </row>
    <row r="1169" spans="1:18" x14ac:dyDescent="0.25">
      <c r="A1169" s="1">
        <v>45009</v>
      </c>
      <c r="B1169" s="2" t="s">
        <v>26</v>
      </c>
      <c r="C1169" s="2" t="s">
        <v>27</v>
      </c>
      <c r="D1169">
        <v>9</v>
      </c>
      <c r="E1169">
        <v>233</v>
      </c>
      <c r="F1169" s="2" t="s">
        <v>19</v>
      </c>
      <c r="G1169" s="2" t="s">
        <v>29</v>
      </c>
      <c r="H1169">
        <v>0.05</v>
      </c>
      <c r="I1169" s="2" t="s">
        <v>21</v>
      </c>
      <c r="J1169" s="2" t="s">
        <v>56</v>
      </c>
      <c r="K1169">
        <v>0</v>
      </c>
      <c r="L1169" s="2" t="s">
        <v>2307</v>
      </c>
      <c r="M1169" s="2" t="s">
        <v>2308</v>
      </c>
      <c r="N1169">
        <v>31.43</v>
      </c>
      <c r="O1169" s="1">
        <v>45009</v>
      </c>
      <c r="P1169" s="1">
        <v>45013</v>
      </c>
      <c r="Q1169" s="2" t="s">
        <v>34</v>
      </c>
      <c r="R1169" s="2">
        <v>1992</v>
      </c>
    </row>
    <row r="1170" spans="1:18" x14ac:dyDescent="0.25">
      <c r="A1170" s="1">
        <v>45513</v>
      </c>
      <c r="B1170" s="2" t="s">
        <v>65</v>
      </c>
      <c r="C1170" s="2" t="s">
        <v>126</v>
      </c>
      <c r="D1170">
        <v>17</v>
      </c>
      <c r="E1170">
        <v>66</v>
      </c>
      <c r="F1170" s="2" t="s">
        <v>46</v>
      </c>
      <c r="G1170" s="2" t="s">
        <v>20</v>
      </c>
      <c r="H1170">
        <v>0.15</v>
      </c>
      <c r="I1170" s="2" t="s">
        <v>21</v>
      </c>
      <c r="J1170" s="2" t="s">
        <v>31</v>
      </c>
      <c r="K1170">
        <v>1</v>
      </c>
      <c r="L1170" s="2" t="s">
        <v>2309</v>
      </c>
      <c r="M1170" s="2" t="s">
        <v>2310</v>
      </c>
      <c r="N1170">
        <v>10.79</v>
      </c>
      <c r="O1170" s="1">
        <v>45513</v>
      </c>
      <c r="P1170" s="1">
        <v>45518</v>
      </c>
      <c r="Q1170" s="2" t="s">
        <v>68</v>
      </c>
      <c r="R1170" s="2">
        <v>954</v>
      </c>
    </row>
    <row r="1171" spans="1:18" x14ac:dyDescent="0.25">
      <c r="A1171" s="1">
        <v>45042</v>
      </c>
      <c r="B1171" s="2" t="s">
        <v>26</v>
      </c>
      <c r="C1171" s="2" t="s">
        <v>18</v>
      </c>
      <c r="D1171">
        <v>17</v>
      </c>
      <c r="E1171">
        <v>505</v>
      </c>
      <c r="F1171" s="2" t="s">
        <v>28</v>
      </c>
      <c r="G1171" s="2" t="s">
        <v>20</v>
      </c>
      <c r="H1171">
        <v>0.1</v>
      </c>
      <c r="I1171" s="2" t="s">
        <v>47</v>
      </c>
      <c r="J1171" s="2" t="s">
        <v>22</v>
      </c>
      <c r="K1171">
        <v>1</v>
      </c>
      <c r="L1171" s="2" t="s">
        <v>2311</v>
      </c>
      <c r="M1171" s="2" t="s">
        <v>2312</v>
      </c>
      <c r="N1171">
        <v>48.33</v>
      </c>
      <c r="O1171" s="1">
        <v>45042</v>
      </c>
      <c r="P1171" s="1">
        <v>45052</v>
      </c>
      <c r="Q1171" s="2" t="s">
        <v>34</v>
      </c>
      <c r="R1171" s="2">
        <v>7726</v>
      </c>
    </row>
    <row r="1172" spans="1:18" x14ac:dyDescent="0.25">
      <c r="A1172" s="1">
        <v>45355</v>
      </c>
      <c r="B1172" s="2" t="s">
        <v>65</v>
      </c>
      <c r="C1172" s="2" t="s">
        <v>75</v>
      </c>
      <c r="D1172">
        <v>11</v>
      </c>
      <c r="E1172">
        <v>98</v>
      </c>
      <c r="F1172" s="2" t="s">
        <v>19</v>
      </c>
      <c r="G1172" s="2" t="s">
        <v>29</v>
      </c>
      <c r="H1172">
        <v>0.05</v>
      </c>
      <c r="I1172" s="2" t="s">
        <v>30</v>
      </c>
      <c r="J1172" s="2" t="s">
        <v>56</v>
      </c>
      <c r="K1172">
        <v>1</v>
      </c>
      <c r="L1172" s="2" t="s">
        <v>2313</v>
      </c>
      <c r="M1172" s="2" t="s">
        <v>2314</v>
      </c>
      <c r="N1172">
        <v>45.97</v>
      </c>
      <c r="O1172" s="1">
        <v>45355</v>
      </c>
      <c r="P1172" s="1">
        <v>45363</v>
      </c>
      <c r="Q1172" s="2" t="s">
        <v>68</v>
      </c>
      <c r="R1172" s="2">
        <v>1024</v>
      </c>
    </row>
    <row r="1173" spans="1:18" x14ac:dyDescent="0.25">
      <c r="A1173" s="1">
        <v>44971</v>
      </c>
      <c r="B1173" s="2" t="s">
        <v>17</v>
      </c>
      <c r="C1173" s="2" t="s">
        <v>75</v>
      </c>
      <c r="D1173">
        <v>7</v>
      </c>
      <c r="E1173">
        <v>468</v>
      </c>
      <c r="F1173" s="2" t="s">
        <v>28</v>
      </c>
      <c r="G1173" s="2" t="s">
        <v>29</v>
      </c>
      <c r="H1173">
        <v>0.15</v>
      </c>
      <c r="I1173" s="2" t="s">
        <v>62</v>
      </c>
      <c r="J1173" s="2" t="s">
        <v>59</v>
      </c>
      <c r="K1173">
        <v>0</v>
      </c>
      <c r="L1173" s="2" t="s">
        <v>2315</v>
      </c>
      <c r="M1173" s="2" t="s">
        <v>2316</v>
      </c>
      <c r="N1173">
        <v>47.56</v>
      </c>
      <c r="O1173" s="1">
        <v>44971</v>
      </c>
      <c r="P1173" s="1">
        <v>44974</v>
      </c>
      <c r="Q1173" s="2" t="s">
        <v>25</v>
      </c>
      <c r="R1173" s="2">
        <v>2785</v>
      </c>
    </row>
    <row r="1174" spans="1:18" x14ac:dyDescent="0.25">
      <c r="A1174" s="1">
        <v>45044</v>
      </c>
      <c r="B1174" s="2" t="s">
        <v>65</v>
      </c>
      <c r="C1174" s="2" t="s">
        <v>75</v>
      </c>
      <c r="D1174">
        <v>20</v>
      </c>
      <c r="E1174">
        <v>477</v>
      </c>
      <c r="F1174" s="2" t="s">
        <v>19</v>
      </c>
      <c r="G1174" s="2" t="s">
        <v>20</v>
      </c>
      <c r="H1174">
        <v>0.05</v>
      </c>
      <c r="I1174" s="2" t="s">
        <v>62</v>
      </c>
      <c r="J1174" s="2" t="s">
        <v>22</v>
      </c>
      <c r="K1174">
        <v>0</v>
      </c>
      <c r="L1174" s="2" t="s">
        <v>2317</v>
      </c>
      <c r="M1174" s="2" t="s">
        <v>2318</v>
      </c>
      <c r="N1174">
        <v>10.199999999999999</v>
      </c>
      <c r="O1174" s="1">
        <v>45044</v>
      </c>
      <c r="P1174" s="1">
        <v>45049</v>
      </c>
      <c r="Q1174" s="2" t="s">
        <v>68</v>
      </c>
      <c r="R1174" s="2">
        <v>9063</v>
      </c>
    </row>
    <row r="1175" spans="1:18" x14ac:dyDescent="0.25">
      <c r="A1175" s="1">
        <v>45354</v>
      </c>
      <c r="B1175" s="2" t="s">
        <v>35</v>
      </c>
      <c r="C1175" s="2" t="s">
        <v>27</v>
      </c>
      <c r="D1175">
        <v>2</v>
      </c>
      <c r="E1175">
        <v>161</v>
      </c>
      <c r="F1175" s="2" t="s">
        <v>28</v>
      </c>
      <c r="G1175" s="2" t="s">
        <v>20</v>
      </c>
      <c r="H1175">
        <v>0.15</v>
      </c>
      <c r="I1175" s="2" t="s">
        <v>42</v>
      </c>
      <c r="J1175" s="2" t="s">
        <v>59</v>
      </c>
      <c r="K1175">
        <v>0</v>
      </c>
      <c r="L1175" s="2" t="s">
        <v>2319</v>
      </c>
      <c r="M1175" s="2" t="s">
        <v>2320</v>
      </c>
      <c r="N1175">
        <v>20.18</v>
      </c>
      <c r="O1175" s="1">
        <v>45354</v>
      </c>
      <c r="P1175" s="1">
        <v>45362</v>
      </c>
      <c r="Q1175" s="2" t="s">
        <v>39</v>
      </c>
      <c r="R1175" s="2">
        <v>274</v>
      </c>
    </row>
    <row r="1176" spans="1:18" x14ac:dyDescent="0.25">
      <c r="A1176" s="1">
        <v>45539</v>
      </c>
      <c r="B1176" s="2" t="s">
        <v>65</v>
      </c>
      <c r="C1176" s="2" t="s">
        <v>75</v>
      </c>
      <c r="D1176">
        <v>9</v>
      </c>
      <c r="E1176">
        <v>229</v>
      </c>
      <c r="F1176" s="2" t="s">
        <v>51</v>
      </c>
      <c r="G1176" s="2" t="s">
        <v>29</v>
      </c>
      <c r="H1176">
        <v>0.15</v>
      </c>
      <c r="I1176" s="2" t="s">
        <v>42</v>
      </c>
      <c r="J1176" s="2" t="s">
        <v>22</v>
      </c>
      <c r="K1176">
        <v>0</v>
      </c>
      <c r="L1176" s="2" t="s">
        <v>2321</v>
      </c>
      <c r="M1176" s="2" t="s">
        <v>2322</v>
      </c>
      <c r="N1176">
        <v>45.79</v>
      </c>
      <c r="O1176" s="1">
        <v>45539</v>
      </c>
      <c r="P1176" s="1">
        <v>45543</v>
      </c>
      <c r="Q1176" s="2" t="s">
        <v>68</v>
      </c>
      <c r="R1176" s="2">
        <v>1752</v>
      </c>
    </row>
    <row r="1177" spans="1:18" x14ac:dyDescent="0.25">
      <c r="A1177" s="1">
        <v>45656</v>
      </c>
      <c r="B1177" s="2" t="s">
        <v>17</v>
      </c>
      <c r="C1177" s="2" t="s">
        <v>75</v>
      </c>
      <c r="D1177">
        <v>19</v>
      </c>
      <c r="E1177">
        <v>336</v>
      </c>
      <c r="F1177" s="2" t="s">
        <v>19</v>
      </c>
      <c r="G1177" s="2" t="s">
        <v>20</v>
      </c>
      <c r="H1177">
        <v>0</v>
      </c>
      <c r="I1177" s="2" t="s">
        <v>30</v>
      </c>
      <c r="J1177" s="2" t="s">
        <v>22</v>
      </c>
      <c r="K1177">
        <v>0</v>
      </c>
      <c r="L1177" s="2" t="s">
        <v>2323</v>
      </c>
      <c r="M1177" s="2" t="s">
        <v>2324</v>
      </c>
      <c r="N1177">
        <v>27.43</v>
      </c>
      <c r="O1177" s="1">
        <v>45656</v>
      </c>
      <c r="P1177" s="1">
        <v>45664</v>
      </c>
      <c r="Q1177" s="2" t="s">
        <v>25</v>
      </c>
      <c r="R1177" s="2">
        <v>6384</v>
      </c>
    </row>
    <row r="1178" spans="1:18" x14ac:dyDescent="0.25">
      <c r="A1178" s="1">
        <v>45332</v>
      </c>
      <c r="B1178" s="2" t="s">
        <v>17</v>
      </c>
      <c r="C1178" s="2" t="s">
        <v>126</v>
      </c>
      <c r="D1178">
        <v>18</v>
      </c>
      <c r="E1178">
        <v>412</v>
      </c>
      <c r="F1178" s="2" t="s">
        <v>28</v>
      </c>
      <c r="G1178" s="2" t="s">
        <v>20</v>
      </c>
      <c r="H1178">
        <v>0</v>
      </c>
      <c r="I1178" s="2" t="s">
        <v>62</v>
      </c>
      <c r="J1178" s="2" t="s">
        <v>53</v>
      </c>
      <c r="K1178">
        <v>0</v>
      </c>
      <c r="L1178" s="2" t="s">
        <v>2325</v>
      </c>
      <c r="M1178" s="2" t="s">
        <v>2326</v>
      </c>
      <c r="N1178">
        <v>9.6199999999999992</v>
      </c>
      <c r="O1178" s="1">
        <v>45332</v>
      </c>
      <c r="P1178" s="1">
        <v>45338</v>
      </c>
      <c r="Q1178" s="2" t="s">
        <v>25</v>
      </c>
      <c r="R1178" s="2">
        <v>7416</v>
      </c>
    </row>
    <row r="1179" spans="1:18" x14ac:dyDescent="0.25">
      <c r="A1179" s="1">
        <v>45176</v>
      </c>
      <c r="B1179" s="2" t="s">
        <v>40</v>
      </c>
      <c r="C1179" s="2" t="s">
        <v>126</v>
      </c>
      <c r="D1179">
        <v>1</v>
      </c>
      <c r="E1179">
        <v>431</v>
      </c>
      <c r="F1179" s="2" t="s">
        <v>46</v>
      </c>
      <c r="G1179" s="2" t="s">
        <v>20</v>
      </c>
      <c r="H1179">
        <v>0.15</v>
      </c>
      <c r="I1179" s="2" t="s">
        <v>30</v>
      </c>
      <c r="J1179" s="2" t="s">
        <v>59</v>
      </c>
      <c r="K1179">
        <v>0</v>
      </c>
      <c r="L1179" s="2" t="s">
        <v>2327</v>
      </c>
      <c r="M1179" s="2" t="s">
        <v>2328</v>
      </c>
      <c r="N1179">
        <v>17.53</v>
      </c>
      <c r="O1179" s="1">
        <v>45176</v>
      </c>
      <c r="P1179" s="1">
        <v>45184</v>
      </c>
      <c r="Q1179" s="2" t="s">
        <v>45</v>
      </c>
      <c r="R1179" s="2">
        <v>366</v>
      </c>
    </row>
    <row r="1180" spans="1:18" x14ac:dyDescent="0.25">
      <c r="A1180" s="1">
        <v>45149</v>
      </c>
      <c r="B1180" s="2" t="s">
        <v>17</v>
      </c>
      <c r="C1180" s="2" t="s">
        <v>18</v>
      </c>
      <c r="D1180">
        <v>18</v>
      </c>
      <c r="E1180">
        <v>495</v>
      </c>
      <c r="F1180" s="2" t="s">
        <v>28</v>
      </c>
      <c r="G1180" s="2" t="s">
        <v>20</v>
      </c>
      <c r="H1180">
        <v>0</v>
      </c>
      <c r="I1180" s="2" t="s">
        <v>47</v>
      </c>
      <c r="J1180" s="2" t="s">
        <v>31</v>
      </c>
      <c r="K1180">
        <v>0</v>
      </c>
      <c r="L1180" s="2" t="s">
        <v>2329</v>
      </c>
      <c r="M1180" s="2" t="s">
        <v>2330</v>
      </c>
      <c r="N1180">
        <v>14.88</v>
      </c>
      <c r="O1180" s="1">
        <v>45149</v>
      </c>
      <c r="P1180" s="1">
        <v>45153</v>
      </c>
      <c r="Q1180" s="2" t="s">
        <v>25</v>
      </c>
      <c r="R1180" s="2">
        <v>8910</v>
      </c>
    </row>
    <row r="1181" spans="1:18" x14ac:dyDescent="0.25">
      <c r="A1181" s="1">
        <v>44997</v>
      </c>
      <c r="B1181" s="2" t="s">
        <v>65</v>
      </c>
      <c r="C1181" s="2" t="s">
        <v>27</v>
      </c>
      <c r="D1181">
        <v>4</v>
      </c>
      <c r="E1181">
        <v>149</v>
      </c>
      <c r="F1181" s="2" t="s">
        <v>28</v>
      </c>
      <c r="G1181" s="2" t="s">
        <v>20</v>
      </c>
      <c r="H1181">
        <v>0.1</v>
      </c>
      <c r="I1181" s="2" t="s">
        <v>52</v>
      </c>
      <c r="J1181" s="2" t="s">
        <v>56</v>
      </c>
      <c r="K1181">
        <v>0</v>
      </c>
      <c r="L1181" s="2" t="s">
        <v>2331</v>
      </c>
      <c r="M1181" s="2" t="s">
        <v>2332</v>
      </c>
      <c r="N1181">
        <v>47.84</v>
      </c>
      <c r="O1181" s="1">
        <v>44997</v>
      </c>
      <c r="P1181" s="1">
        <v>45001</v>
      </c>
      <c r="Q1181" s="2" t="s">
        <v>68</v>
      </c>
      <c r="R1181" s="2">
        <v>536</v>
      </c>
    </row>
    <row r="1182" spans="1:18" x14ac:dyDescent="0.25">
      <c r="A1182" s="1">
        <v>45014</v>
      </c>
      <c r="B1182" s="2" t="s">
        <v>40</v>
      </c>
      <c r="C1182" s="2" t="s">
        <v>36</v>
      </c>
      <c r="D1182">
        <v>18</v>
      </c>
      <c r="E1182">
        <v>180</v>
      </c>
      <c r="F1182" s="2" t="s">
        <v>46</v>
      </c>
      <c r="G1182" s="2" t="s">
        <v>20</v>
      </c>
      <c r="H1182">
        <v>0.1</v>
      </c>
      <c r="I1182" s="2" t="s">
        <v>21</v>
      </c>
      <c r="J1182" s="2" t="s">
        <v>59</v>
      </c>
      <c r="K1182">
        <v>0</v>
      </c>
      <c r="L1182" s="2" t="s">
        <v>2333</v>
      </c>
      <c r="M1182" s="2" t="s">
        <v>2334</v>
      </c>
      <c r="N1182">
        <v>22.15</v>
      </c>
      <c r="O1182" s="1">
        <v>45014</v>
      </c>
      <c r="P1182" s="1">
        <v>45016</v>
      </c>
      <c r="Q1182" s="2" t="s">
        <v>45</v>
      </c>
      <c r="R1182" s="2">
        <v>2916</v>
      </c>
    </row>
    <row r="1183" spans="1:18" x14ac:dyDescent="0.25">
      <c r="A1183" s="1">
        <v>45705</v>
      </c>
      <c r="B1183" s="2" t="s">
        <v>26</v>
      </c>
      <c r="C1183" s="2" t="s">
        <v>41</v>
      </c>
      <c r="D1183">
        <v>11</v>
      </c>
      <c r="E1183">
        <v>381</v>
      </c>
      <c r="F1183" s="2" t="s">
        <v>19</v>
      </c>
      <c r="G1183" s="2" t="s">
        <v>29</v>
      </c>
      <c r="H1183">
        <v>0.05</v>
      </c>
      <c r="I1183" s="2" t="s">
        <v>42</v>
      </c>
      <c r="J1183" s="2" t="s">
        <v>31</v>
      </c>
      <c r="K1183">
        <v>0</v>
      </c>
      <c r="L1183" s="2" t="s">
        <v>2335</v>
      </c>
      <c r="M1183" s="2" t="s">
        <v>2336</v>
      </c>
      <c r="N1183">
        <v>32.83</v>
      </c>
      <c r="O1183" s="1">
        <v>45705</v>
      </c>
      <c r="P1183" s="1">
        <v>45715</v>
      </c>
      <c r="Q1183" s="2" t="s">
        <v>34</v>
      </c>
      <c r="R1183" s="2">
        <v>3981</v>
      </c>
    </row>
    <row r="1184" spans="1:18" x14ac:dyDescent="0.25">
      <c r="A1184" s="1">
        <v>45298</v>
      </c>
      <c r="B1184" s="2" t="s">
        <v>35</v>
      </c>
      <c r="C1184" s="2" t="s">
        <v>41</v>
      </c>
      <c r="D1184">
        <v>5</v>
      </c>
      <c r="E1184">
        <v>455</v>
      </c>
      <c r="F1184" s="2" t="s">
        <v>46</v>
      </c>
      <c r="G1184" s="2" t="s">
        <v>20</v>
      </c>
      <c r="H1184">
        <v>0.05</v>
      </c>
      <c r="I1184" s="2" t="s">
        <v>52</v>
      </c>
      <c r="J1184" s="2" t="s">
        <v>31</v>
      </c>
      <c r="K1184">
        <v>0</v>
      </c>
      <c r="L1184" s="2" t="s">
        <v>2337</v>
      </c>
      <c r="M1184" s="2" t="s">
        <v>2338</v>
      </c>
      <c r="N1184">
        <v>10.19</v>
      </c>
      <c r="O1184" s="1">
        <v>45298</v>
      </c>
      <c r="P1184" s="1">
        <v>45306</v>
      </c>
      <c r="Q1184" s="2" t="s">
        <v>39</v>
      </c>
      <c r="R1184" s="2">
        <v>2161</v>
      </c>
    </row>
    <row r="1185" spans="1:18" x14ac:dyDescent="0.25">
      <c r="A1185" s="1">
        <v>44940</v>
      </c>
      <c r="B1185" s="2" t="s">
        <v>17</v>
      </c>
      <c r="C1185" s="2" t="s">
        <v>27</v>
      </c>
      <c r="D1185">
        <v>17</v>
      </c>
      <c r="E1185">
        <v>227</v>
      </c>
      <c r="F1185" s="2" t="s">
        <v>28</v>
      </c>
      <c r="G1185" s="2" t="s">
        <v>20</v>
      </c>
      <c r="H1185">
        <v>0.1</v>
      </c>
      <c r="I1185" s="2" t="s">
        <v>52</v>
      </c>
      <c r="J1185" s="2" t="s">
        <v>31</v>
      </c>
      <c r="K1185">
        <v>1</v>
      </c>
      <c r="L1185" s="2" t="s">
        <v>2339</v>
      </c>
      <c r="M1185" s="2" t="s">
        <v>2340</v>
      </c>
      <c r="N1185">
        <v>36.89</v>
      </c>
      <c r="O1185" s="1">
        <v>44940</v>
      </c>
      <c r="P1185" s="1">
        <v>44946</v>
      </c>
      <c r="Q1185" s="2" t="s">
        <v>25</v>
      </c>
      <c r="R1185" s="2">
        <v>3473</v>
      </c>
    </row>
    <row r="1186" spans="1:18" x14ac:dyDescent="0.25">
      <c r="A1186" s="1">
        <v>45294</v>
      </c>
      <c r="B1186" s="2" t="s">
        <v>65</v>
      </c>
      <c r="C1186" s="2" t="s">
        <v>18</v>
      </c>
      <c r="D1186">
        <v>2</v>
      </c>
      <c r="E1186">
        <v>133</v>
      </c>
      <c r="F1186" s="2" t="s">
        <v>28</v>
      </c>
      <c r="G1186" s="2" t="s">
        <v>20</v>
      </c>
      <c r="H1186">
        <v>0</v>
      </c>
      <c r="I1186" s="2" t="s">
        <v>62</v>
      </c>
      <c r="J1186" s="2" t="s">
        <v>56</v>
      </c>
      <c r="K1186">
        <v>0</v>
      </c>
      <c r="L1186" s="2" t="s">
        <v>2341</v>
      </c>
      <c r="M1186" s="2" t="s">
        <v>2342</v>
      </c>
      <c r="N1186">
        <v>7.76</v>
      </c>
      <c r="O1186" s="1">
        <v>45294</v>
      </c>
      <c r="P1186" s="1">
        <v>45303</v>
      </c>
      <c r="Q1186" s="2" t="s">
        <v>68</v>
      </c>
      <c r="R1186" s="2">
        <v>266</v>
      </c>
    </row>
    <row r="1187" spans="1:18" x14ac:dyDescent="0.25">
      <c r="A1187" s="1">
        <v>45163</v>
      </c>
      <c r="B1187" s="2" t="s">
        <v>26</v>
      </c>
      <c r="C1187" s="2" t="s">
        <v>36</v>
      </c>
      <c r="D1187">
        <v>2</v>
      </c>
      <c r="E1187">
        <v>36</v>
      </c>
      <c r="F1187" s="2" t="s">
        <v>46</v>
      </c>
      <c r="G1187" s="2" t="s">
        <v>29</v>
      </c>
      <c r="H1187">
        <v>0</v>
      </c>
      <c r="I1187" s="2" t="s">
        <v>21</v>
      </c>
      <c r="J1187" s="2" t="s">
        <v>56</v>
      </c>
      <c r="K1187">
        <v>0</v>
      </c>
      <c r="L1187" s="2" t="s">
        <v>2343</v>
      </c>
      <c r="M1187" s="2" t="s">
        <v>2344</v>
      </c>
      <c r="N1187">
        <v>39.89</v>
      </c>
      <c r="O1187" s="1">
        <v>45163</v>
      </c>
      <c r="P1187" s="1">
        <v>45166</v>
      </c>
      <c r="Q1187" s="2" t="s">
        <v>34</v>
      </c>
      <c r="R1187" s="2">
        <v>72</v>
      </c>
    </row>
    <row r="1188" spans="1:18" x14ac:dyDescent="0.25">
      <c r="A1188" s="1">
        <v>45793</v>
      </c>
      <c r="B1188" s="2" t="s">
        <v>35</v>
      </c>
      <c r="C1188" s="2" t="s">
        <v>36</v>
      </c>
      <c r="D1188">
        <v>6</v>
      </c>
      <c r="E1188">
        <v>452</v>
      </c>
      <c r="F1188" s="2" t="s">
        <v>28</v>
      </c>
      <c r="G1188" s="2" t="s">
        <v>20</v>
      </c>
      <c r="H1188">
        <v>0.15</v>
      </c>
      <c r="I1188" s="2" t="s">
        <v>21</v>
      </c>
      <c r="J1188" s="2" t="s">
        <v>59</v>
      </c>
      <c r="K1188">
        <v>1</v>
      </c>
      <c r="L1188" s="2" t="s">
        <v>2345</v>
      </c>
      <c r="M1188" s="2" t="s">
        <v>2346</v>
      </c>
      <c r="N1188">
        <v>49.37</v>
      </c>
      <c r="O1188" s="1">
        <v>45793</v>
      </c>
      <c r="P1188" s="1">
        <v>45802</v>
      </c>
      <c r="Q1188" s="2" t="s">
        <v>39</v>
      </c>
      <c r="R1188" s="2">
        <v>2305</v>
      </c>
    </row>
    <row r="1189" spans="1:18" x14ac:dyDescent="0.25">
      <c r="A1189" s="1">
        <v>45290</v>
      </c>
      <c r="B1189" s="2" t="s">
        <v>26</v>
      </c>
      <c r="C1189" s="2" t="s">
        <v>18</v>
      </c>
      <c r="D1189">
        <v>7</v>
      </c>
      <c r="E1189">
        <v>270</v>
      </c>
      <c r="F1189" s="2" t="s">
        <v>51</v>
      </c>
      <c r="G1189" s="2" t="s">
        <v>20</v>
      </c>
      <c r="H1189">
        <v>0.05</v>
      </c>
      <c r="I1189" s="2" t="s">
        <v>52</v>
      </c>
      <c r="J1189" s="2" t="s">
        <v>53</v>
      </c>
      <c r="K1189">
        <v>1</v>
      </c>
      <c r="L1189" s="2" t="s">
        <v>2347</v>
      </c>
      <c r="M1189" s="2" t="s">
        <v>2348</v>
      </c>
      <c r="N1189">
        <v>41.56</v>
      </c>
      <c r="O1189" s="1">
        <v>45290</v>
      </c>
      <c r="P1189" s="1">
        <v>45294</v>
      </c>
      <c r="Q1189" s="2" t="s">
        <v>34</v>
      </c>
      <c r="R1189" s="2">
        <v>1796</v>
      </c>
    </row>
    <row r="1190" spans="1:18" x14ac:dyDescent="0.25">
      <c r="A1190" s="1">
        <v>45571</v>
      </c>
      <c r="B1190" s="2" t="s">
        <v>26</v>
      </c>
      <c r="C1190" s="2" t="s">
        <v>27</v>
      </c>
      <c r="D1190">
        <v>13</v>
      </c>
      <c r="E1190">
        <v>55</v>
      </c>
      <c r="F1190" s="2" t="s">
        <v>28</v>
      </c>
      <c r="G1190" s="2" t="s">
        <v>29</v>
      </c>
      <c r="H1190">
        <v>0.05</v>
      </c>
      <c r="I1190" s="2" t="s">
        <v>62</v>
      </c>
      <c r="J1190" s="2" t="s">
        <v>53</v>
      </c>
      <c r="K1190">
        <v>1</v>
      </c>
      <c r="L1190" s="2" t="s">
        <v>2349</v>
      </c>
      <c r="M1190" s="2" t="s">
        <v>2350</v>
      </c>
      <c r="N1190">
        <v>18.010000000000002</v>
      </c>
      <c r="O1190" s="1">
        <v>45571</v>
      </c>
      <c r="P1190" s="1">
        <v>45574</v>
      </c>
      <c r="Q1190" s="2" t="s">
        <v>34</v>
      </c>
      <c r="R1190" s="2">
        <v>679</v>
      </c>
    </row>
    <row r="1191" spans="1:18" x14ac:dyDescent="0.25">
      <c r="A1191" s="1">
        <v>44997</v>
      </c>
      <c r="B1191" s="2" t="s">
        <v>40</v>
      </c>
      <c r="C1191" s="2" t="s">
        <v>75</v>
      </c>
      <c r="D1191">
        <v>17</v>
      </c>
      <c r="E1191">
        <v>515</v>
      </c>
      <c r="F1191" s="2" t="s">
        <v>51</v>
      </c>
      <c r="G1191" s="2" t="s">
        <v>20</v>
      </c>
      <c r="H1191">
        <v>0.15</v>
      </c>
      <c r="I1191" s="2" t="s">
        <v>62</v>
      </c>
      <c r="J1191" s="2" t="s">
        <v>53</v>
      </c>
      <c r="K1191">
        <v>1</v>
      </c>
      <c r="L1191" s="2" t="s">
        <v>2351</v>
      </c>
      <c r="M1191" s="2" t="s">
        <v>226</v>
      </c>
      <c r="N1191">
        <v>32.74</v>
      </c>
      <c r="O1191" s="1">
        <v>44997</v>
      </c>
      <c r="P1191" s="1">
        <v>45007</v>
      </c>
      <c r="Q1191" s="2" t="s">
        <v>45</v>
      </c>
      <c r="R1191" s="2">
        <v>7442</v>
      </c>
    </row>
    <row r="1192" spans="1:18" x14ac:dyDescent="0.25">
      <c r="A1192" s="1">
        <v>45388</v>
      </c>
      <c r="B1192" s="2" t="s">
        <v>35</v>
      </c>
      <c r="C1192" s="2" t="s">
        <v>27</v>
      </c>
      <c r="D1192">
        <v>1</v>
      </c>
      <c r="E1192">
        <v>257</v>
      </c>
      <c r="F1192" s="2" t="s">
        <v>51</v>
      </c>
      <c r="G1192" s="2" t="s">
        <v>20</v>
      </c>
      <c r="H1192">
        <v>0</v>
      </c>
      <c r="I1192" s="2" t="s">
        <v>47</v>
      </c>
      <c r="J1192" s="2" t="s">
        <v>31</v>
      </c>
      <c r="K1192">
        <v>0</v>
      </c>
      <c r="L1192" s="2" t="s">
        <v>2352</v>
      </c>
      <c r="M1192" s="2" t="s">
        <v>2353</v>
      </c>
      <c r="N1192">
        <v>12.97</v>
      </c>
      <c r="O1192" s="1">
        <v>45388</v>
      </c>
      <c r="P1192" s="1">
        <v>45390</v>
      </c>
      <c r="Q1192" s="2" t="s">
        <v>39</v>
      </c>
      <c r="R1192" s="2">
        <v>257</v>
      </c>
    </row>
    <row r="1193" spans="1:18" x14ac:dyDescent="0.25">
      <c r="A1193" s="1">
        <v>44946</v>
      </c>
      <c r="B1193" s="2" t="s">
        <v>35</v>
      </c>
      <c r="C1193" s="2" t="s">
        <v>75</v>
      </c>
      <c r="D1193">
        <v>4</v>
      </c>
      <c r="E1193">
        <v>424</v>
      </c>
      <c r="F1193" s="2" t="s">
        <v>19</v>
      </c>
      <c r="G1193" s="2" t="s">
        <v>29</v>
      </c>
      <c r="H1193">
        <v>0.05</v>
      </c>
      <c r="I1193" s="2" t="s">
        <v>42</v>
      </c>
      <c r="J1193" s="2" t="s">
        <v>22</v>
      </c>
      <c r="K1193">
        <v>0</v>
      </c>
      <c r="L1193" s="2" t="s">
        <v>2354</v>
      </c>
      <c r="M1193" s="2" t="s">
        <v>2355</v>
      </c>
      <c r="N1193">
        <v>20.05</v>
      </c>
      <c r="O1193" s="1">
        <v>44946</v>
      </c>
      <c r="P1193" s="1">
        <v>44951</v>
      </c>
      <c r="Q1193" s="2" t="s">
        <v>39</v>
      </c>
      <c r="R1193" s="2">
        <v>1611</v>
      </c>
    </row>
    <row r="1194" spans="1:18" x14ac:dyDescent="0.25">
      <c r="A1194" s="1">
        <v>45481</v>
      </c>
      <c r="B1194" s="2" t="s">
        <v>65</v>
      </c>
      <c r="C1194" s="2" t="s">
        <v>18</v>
      </c>
      <c r="D1194">
        <v>15</v>
      </c>
      <c r="E1194">
        <v>78</v>
      </c>
      <c r="F1194" s="2" t="s">
        <v>19</v>
      </c>
      <c r="G1194" s="2" t="s">
        <v>20</v>
      </c>
      <c r="H1194">
        <v>0.05</v>
      </c>
      <c r="I1194" s="2" t="s">
        <v>52</v>
      </c>
      <c r="J1194" s="2" t="s">
        <v>53</v>
      </c>
      <c r="K1194">
        <v>0</v>
      </c>
      <c r="L1194" s="2" t="s">
        <v>2356</v>
      </c>
      <c r="M1194" s="2" t="s">
        <v>2357</v>
      </c>
      <c r="N1194">
        <v>20.87</v>
      </c>
      <c r="O1194" s="1">
        <v>45481</v>
      </c>
      <c r="P1194" s="1">
        <v>45485</v>
      </c>
      <c r="Q1194" s="2" t="s">
        <v>68</v>
      </c>
      <c r="R1194" s="2">
        <v>1112</v>
      </c>
    </row>
    <row r="1195" spans="1:18" x14ac:dyDescent="0.25">
      <c r="A1195" s="1">
        <v>45205</v>
      </c>
      <c r="B1195" s="2" t="s">
        <v>35</v>
      </c>
      <c r="C1195" s="2" t="s">
        <v>27</v>
      </c>
      <c r="D1195">
        <v>12</v>
      </c>
      <c r="E1195">
        <v>12</v>
      </c>
      <c r="F1195" s="2" t="s">
        <v>28</v>
      </c>
      <c r="G1195" s="2" t="s">
        <v>29</v>
      </c>
      <c r="H1195">
        <v>0.05</v>
      </c>
      <c r="I1195" s="2" t="s">
        <v>47</v>
      </c>
      <c r="J1195" s="2" t="s">
        <v>22</v>
      </c>
      <c r="K1195">
        <v>0</v>
      </c>
      <c r="L1195" s="2" t="s">
        <v>2358</v>
      </c>
      <c r="M1195" s="2" t="s">
        <v>2359</v>
      </c>
      <c r="N1195">
        <v>26.66</v>
      </c>
      <c r="O1195" s="1">
        <v>45205</v>
      </c>
      <c r="P1195" s="1">
        <v>45215</v>
      </c>
      <c r="Q1195" s="2" t="s">
        <v>39</v>
      </c>
      <c r="R1195" s="2">
        <v>137</v>
      </c>
    </row>
    <row r="1196" spans="1:18" x14ac:dyDescent="0.25">
      <c r="A1196" s="1">
        <v>45180</v>
      </c>
      <c r="B1196" s="2" t="s">
        <v>17</v>
      </c>
      <c r="C1196" s="2" t="s">
        <v>36</v>
      </c>
      <c r="D1196">
        <v>7</v>
      </c>
      <c r="E1196">
        <v>67</v>
      </c>
      <c r="F1196" s="2" t="s">
        <v>51</v>
      </c>
      <c r="G1196" s="2" t="s">
        <v>20</v>
      </c>
      <c r="H1196">
        <v>0.1</v>
      </c>
      <c r="I1196" s="2" t="s">
        <v>47</v>
      </c>
      <c r="J1196" s="2" t="s">
        <v>59</v>
      </c>
      <c r="K1196">
        <v>0</v>
      </c>
      <c r="L1196" s="2" t="s">
        <v>2360</v>
      </c>
      <c r="M1196" s="2" t="s">
        <v>266</v>
      </c>
      <c r="N1196">
        <v>36.67</v>
      </c>
      <c r="O1196" s="1">
        <v>45180</v>
      </c>
      <c r="P1196" s="1">
        <v>45187</v>
      </c>
      <c r="Q1196" s="2" t="s">
        <v>25</v>
      </c>
      <c r="R1196" s="2">
        <v>422</v>
      </c>
    </row>
    <row r="1197" spans="1:18" x14ac:dyDescent="0.25">
      <c r="A1197" s="1">
        <v>45183</v>
      </c>
      <c r="B1197" s="2" t="s">
        <v>35</v>
      </c>
      <c r="C1197" s="2" t="s">
        <v>27</v>
      </c>
      <c r="D1197">
        <v>19</v>
      </c>
      <c r="E1197">
        <v>118</v>
      </c>
      <c r="F1197" s="2" t="s">
        <v>46</v>
      </c>
      <c r="G1197" s="2" t="s">
        <v>29</v>
      </c>
      <c r="H1197">
        <v>0.15</v>
      </c>
      <c r="I1197" s="2" t="s">
        <v>42</v>
      </c>
      <c r="J1197" s="2" t="s">
        <v>59</v>
      </c>
      <c r="K1197">
        <v>0</v>
      </c>
      <c r="L1197" s="2" t="s">
        <v>2361</v>
      </c>
      <c r="M1197" s="2" t="s">
        <v>2362</v>
      </c>
      <c r="N1197">
        <v>12.95</v>
      </c>
      <c r="O1197" s="1">
        <v>45183</v>
      </c>
      <c r="P1197" s="1">
        <v>45188</v>
      </c>
      <c r="Q1197" s="2" t="s">
        <v>39</v>
      </c>
      <c r="R1197" s="2">
        <v>1906</v>
      </c>
    </row>
    <row r="1198" spans="1:18" x14ac:dyDescent="0.25">
      <c r="A1198" s="1">
        <v>45236</v>
      </c>
      <c r="B1198" s="2" t="s">
        <v>35</v>
      </c>
      <c r="C1198" s="2" t="s">
        <v>126</v>
      </c>
      <c r="D1198">
        <v>16</v>
      </c>
      <c r="E1198">
        <v>114</v>
      </c>
      <c r="F1198" s="2" t="s">
        <v>19</v>
      </c>
      <c r="G1198" s="2" t="s">
        <v>20</v>
      </c>
      <c r="H1198">
        <v>0.15</v>
      </c>
      <c r="I1198" s="2" t="s">
        <v>47</v>
      </c>
      <c r="J1198" s="2" t="s">
        <v>22</v>
      </c>
      <c r="K1198">
        <v>0</v>
      </c>
      <c r="L1198" s="2" t="s">
        <v>2363</v>
      </c>
      <c r="M1198" s="2" t="s">
        <v>472</v>
      </c>
      <c r="N1198">
        <v>43.85</v>
      </c>
      <c r="O1198" s="1">
        <v>45236</v>
      </c>
      <c r="P1198" s="1">
        <v>45241</v>
      </c>
      <c r="Q1198" s="2" t="s">
        <v>39</v>
      </c>
      <c r="R1198" s="2">
        <v>1550</v>
      </c>
    </row>
    <row r="1199" spans="1:18" x14ac:dyDescent="0.25">
      <c r="A1199" s="1">
        <v>45466</v>
      </c>
      <c r="B1199" s="2" t="s">
        <v>35</v>
      </c>
      <c r="C1199" s="2" t="s">
        <v>50</v>
      </c>
      <c r="D1199">
        <v>9</v>
      </c>
      <c r="E1199">
        <v>36</v>
      </c>
      <c r="F1199" s="2" t="s">
        <v>46</v>
      </c>
      <c r="G1199" s="2" t="s">
        <v>20</v>
      </c>
      <c r="H1199">
        <v>0.15</v>
      </c>
      <c r="I1199" s="2" t="s">
        <v>62</v>
      </c>
      <c r="J1199" s="2" t="s">
        <v>53</v>
      </c>
      <c r="K1199">
        <v>0</v>
      </c>
      <c r="L1199" s="2" t="s">
        <v>2364</v>
      </c>
      <c r="M1199" s="2" t="s">
        <v>2365</v>
      </c>
      <c r="N1199">
        <v>6.71</v>
      </c>
      <c r="O1199" s="1">
        <v>45466</v>
      </c>
      <c r="P1199" s="1">
        <v>45473</v>
      </c>
      <c r="Q1199" s="2" t="s">
        <v>39</v>
      </c>
      <c r="R1199" s="2">
        <v>275</v>
      </c>
    </row>
    <row r="1200" spans="1:18" x14ac:dyDescent="0.25">
      <c r="A1200" s="1">
        <v>45015</v>
      </c>
      <c r="B1200" s="2" t="s">
        <v>65</v>
      </c>
      <c r="C1200" s="2" t="s">
        <v>126</v>
      </c>
      <c r="D1200">
        <v>10</v>
      </c>
      <c r="E1200">
        <v>53</v>
      </c>
      <c r="F1200" s="2" t="s">
        <v>19</v>
      </c>
      <c r="G1200" s="2" t="s">
        <v>20</v>
      </c>
      <c r="H1200">
        <v>0.1</v>
      </c>
      <c r="I1200" s="2" t="s">
        <v>21</v>
      </c>
      <c r="J1200" s="2" t="s">
        <v>59</v>
      </c>
      <c r="K1200">
        <v>0</v>
      </c>
      <c r="L1200" s="2" t="s">
        <v>2366</v>
      </c>
      <c r="M1200" s="2" t="s">
        <v>2367</v>
      </c>
      <c r="N1200">
        <v>14.01</v>
      </c>
      <c r="O1200" s="1">
        <v>45015</v>
      </c>
      <c r="P1200" s="1">
        <v>45025</v>
      </c>
      <c r="Q1200" s="2" t="s">
        <v>68</v>
      </c>
      <c r="R1200" s="2">
        <v>477</v>
      </c>
    </row>
    <row r="1201" spans="1:18" x14ac:dyDescent="0.25">
      <c r="A1201" s="1">
        <v>45570</v>
      </c>
      <c r="B1201" s="2" t="s">
        <v>17</v>
      </c>
      <c r="C1201" s="2" t="s">
        <v>27</v>
      </c>
      <c r="D1201">
        <v>6</v>
      </c>
      <c r="E1201">
        <v>272</v>
      </c>
      <c r="F1201" s="2" t="s">
        <v>28</v>
      </c>
      <c r="G1201" s="2" t="s">
        <v>29</v>
      </c>
      <c r="H1201">
        <v>0.1</v>
      </c>
      <c r="I1201" s="2" t="s">
        <v>47</v>
      </c>
      <c r="J1201" s="2" t="s">
        <v>56</v>
      </c>
      <c r="K1201">
        <v>0</v>
      </c>
      <c r="L1201" s="2" t="s">
        <v>2368</v>
      </c>
      <c r="M1201" s="2" t="s">
        <v>2369</v>
      </c>
      <c r="N1201">
        <v>43.67</v>
      </c>
      <c r="O1201" s="1">
        <v>45570</v>
      </c>
      <c r="P1201" s="1">
        <v>45580</v>
      </c>
      <c r="Q1201" s="2" t="s">
        <v>25</v>
      </c>
      <c r="R1201" s="2">
        <v>1469</v>
      </c>
    </row>
    <row r="1202" spans="1:18" x14ac:dyDescent="0.25">
      <c r="A1202" s="1">
        <v>45004</v>
      </c>
      <c r="B1202" s="2" t="s">
        <v>40</v>
      </c>
      <c r="C1202" s="2" t="s">
        <v>41</v>
      </c>
      <c r="D1202">
        <v>10</v>
      </c>
      <c r="E1202">
        <v>125</v>
      </c>
      <c r="F1202" s="2" t="s">
        <v>51</v>
      </c>
      <c r="G1202" s="2" t="s">
        <v>29</v>
      </c>
      <c r="H1202">
        <v>0.15</v>
      </c>
      <c r="I1202" s="2" t="s">
        <v>21</v>
      </c>
      <c r="J1202" s="2" t="s">
        <v>31</v>
      </c>
      <c r="K1202">
        <v>1</v>
      </c>
      <c r="L1202" s="2" t="s">
        <v>2370</v>
      </c>
      <c r="M1202" s="2" t="s">
        <v>2371</v>
      </c>
      <c r="N1202">
        <v>40.229999999999997</v>
      </c>
      <c r="O1202" s="1">
        <v>45004</v>
      </c>
      <c r="P1202" s="1">
        <v>45014</v>
      </c>
      <c r="Q1202" s="2" t="s">
        <v>45</v>
      </c>
      <c r="R1202" s="2">
        <v>1062</v>
      </c>
    </row>
    <row r="1203" spans="1:18" x14ac:dyDescent="0.25">
      <c r="A1203" s="1">
        <v>45733</v>
      </c>
      <c r="B1203" s="2" t="s">
        <v>35</v>
      </c>
      <c r="C1203" s="2" t="s">
        <v>27</v>
      </c>
      <c r="D1203">
        <v>9</v>
      </c>
      <c r="E1203">
        <v>229</v>
      </c>
      <c r="F1203" s="2" t="s">
        <v>46</v>
      </c>
      <c r="G1203" s="2" t="s">
        <v>29</v>
      </c>
      <c r="H1203">
        <v>0.05</v>
      </c>
      <c r="I1203" s="2" t="s">
        <v>21</v>
      </c>
      <c r="J1203" s="2" t="s">
        <v>31</v>
      </c>
      <c r="K1203">
        <v>0</v>
      </c>
      <c r="L1203" s="2" t="s">
        <v>2372</v>
      </c>
      <c r="M1203" s="2" t="s">
        <v>2373</v>
      </c>
      <c r="N1203">
        <v>31.43</v>
      </c>
      <c r="O1203" s="1">
        <v>45733</v>
      </c>
      <c r="P1203" s="1">
        <v>45737</v>
      </c>
      <c r="Q1203" s="2" t="s">
        <v>39</v>
      </c>
      <c r="R1203" s="2">
        <v>1958</v>
      </c>
    </row>
    <row r="1204" spans="1:18" x14ac:dyDescent="0.25">
      <c r="A1204" s="1">
        <v>45644</v>
      </c>
      <c r="B1204" s="2" t="s">
        <v>40</v>
      </c>
      <c r="C1204" s="2" t="s">
        <v>18</v>
      </c>
      <c r="D1204">
        <v>20</v>
      </c>
      <c r="E1204">
        <v>283</v>
      </c>
      <c r="F1204" s="2" t="s">
        <v>28</v>
      </c>
      <c r="G1204" s="2" t="s">
        <v>20</v>
      </c>
      <c r="H1204">
        <v>0.15</v>
      </c>
      <c r="I1204" s="2" t="s">
        <v>42</v>
      </c>
      <c r="J1204" s="2" t="s">
        <v>56</v>
      </c>
      <c r="K1204">
        <v>0</v>
      </c>
      <c r="L1204" s="2" t="s">
        <v>2374</v>
      </c>
      <c r="M1204" s="2" t="s">
        <v>2375</v>
      </c>
      <c r="N1204">
        <v>8.19</v>
      </c>
      <c r="O1204" s="1">
        <v>45644</v>
      </c>
      <c r="P1204" s="1">
        <v>45654</v>
      </c>
      <c r="Q1204" s="2" t="s">
        <v>45</v>
      </c>
      <c r="R1204" s="2">
        <v>4811</v>
      </c>
    </row>
    <row r="1205" spans="1:18" x14ac:dyDescent="0.25">
      <c r="A1205" s="1">
        <v>45663</v>
      </c>
      <c r="B1205" s="2" t="s">
        <v>65</v>
      </c>
      <c r="C1205" s="2" t="s">
        <v>75</v>
      </c>
      <c r="D1205">
        <v>17</v>
      </c>
      <c r="E1205">
        <v>130</v>
      </c>
      <c r="F1205" s="2" t="s">
        <v>51</v>
      </c>
      <c r="G1205" s="2" t="s">
        <v>29</v>
      </c>
      <c r="H1205">
        <v>0.15</v>
      </c>
      <c r="I1205" s="2" t="s">
        <v>21</v>
      </c>
      <c r="J1205" s="2" t="s">
        <v>22</v>
      </c>
      <c r="K1205">
        <v>0</v>
      </c>
      <c r="L1205" s="2" t="s">
        <v>2376</v>
      </c>
      <c r="M1205" s="2" t="s">
        <v>2377</v>
      </c>
      <c r="N1205">
        <v>24.28</v>
      </c>
      <c r="O1205" s="1">
        <v>45663</v>
      </c>
      <c r="P1205" s="1">
        <v>45665</v>
      </c>
      <c r="Q1205" s="2" t="s">
        <v>68</v>
      </c>
      <c r="R1205" s="2">
        <v>1878</v>
      </c>
    </row>
    <row r="1206" spans="1:18" x14ac:dyDescent="0.25">
      <c r="A1206" s="1">
        <v>45671</v>
      </c>
      <c r="B1206" s="2" t="s">
        <v>40</v>
      </c>
      <c r="C1206" s="2" t="s">
        <v>50</v>
      </c>
      <c r="D1206">
        <v>6</v>
      </c>
      <c r="E1206">
        <v>162</v>
      </c>
      <c r="F1206" s="2" t="s">
        <v>19</v>
      </c>
      <c r="G1206" s="2" t="s">
        <v>20</v>
      </c>
      <c r="H1206">
        <v>0.05</v>
      </c>
      <c r="I1206" s="2" t="s">
        <v>21</v>
      </c>
      <c r="J1206" s="2" t="s">
        <v>53</v>
      </c>
      <c r="K1206">
        <v>1</v>
      </c>
      <c r="L1206" s="2" t="s">
        <v>2378</v>
      </c>
      <c r="M1206" s="2" t="s">
        <v>2379</v>
      </c>
      <c r="N1206">
        <v>19.18</v>
      </c>
      <c r="O1206" s="1">
        <v>45671</v>
      </c>
      <c r="P1206" s="1">
        <v>45677</v>
      </c>
      <c r="Q1206" s="2" t="s">
        <v>45</v>
      </c>
      <c r="R1206" s="2">
        <v>923</v>
      </c>
    </row>
    <row r="1207" spans="1:18" x14ac:dyDescent="0.25">
      <c r="A1207" s="1">
        <v>44952</v>
      </c>
      <c r="B1207" s="2" t="s">
        <v>26</v>
      </c>
      <c r="C1207" s="2" t="s">
        <v>126</v>
      </c>
      <c r="D1207">
        <v>14</v>
      </c>
      <c r="E1207">
        <v>210</v>
      </c>
      <c r="F1207" s="2" t="s">
        <v>19</v>
      </c>
      <c r="G1207" s="2" t="s">
        <v>20</v>
      </c>
      <c r="H1207">
        <v>0</v>
      </c>
      <c r="I1207" s="2" t="s">
        <v>21</v>
      </c>
      <c r="J1207" s="2" t="s">
        <v>59</v>
      </c>
      <c r="K1207">
        <v>0</v>
      </c>
      <c r="L1207" s="2" t="s">
        <v>2380</v>
      </c>
      <c r="M1207" s="2" t="s">
        <v>2381</v>
      </c>
      <c r="N1207">
        <v>36.11</v>
      </c>
      <c r="O1207" s="1">
        <v>44952</v>
      </c>
      <c r="P1207" s="1">
        <v>44956</v>
      </c>
      <c r="Q1207" s="2" t="s">
        <v>34</v>
      </c>
      <c r="R1207" s="2">
        <v>2940</v>
      </c>
    </row>
    <row r="1208" spans="1:18" x14ac:dyDescent="0.25">
      <c r="A1208" s="1">
        <v>45508</v>
      </c>
      <c r="B1208" s="2" t="s">
        <v>35</v>
      </c>
      <c r="C1208" s="2" t="s">
        <v>18</v>
      </c>
      <c r="D1208">
        <v>16</v>
      </c>
      <c r="E1208">
        <v>293</v>
      </c>
      <c r="F1208" s="2" t="s">
        <v>51</v>
      </c>
      <c r="G1208" s="2" t="s">
        <v>20</v>
      </c>
      <c r="H1208">
        <v>0.05</v>
      </c>
      <c r="I1208" s="2" t="s">
        <v>52</v>
      </c>
      <c r="J1208" s="2" t="s">
        <v>31</v>
      </c>
      <c r="K1208">
        <v>0</v>
      </c>
      <c r="L1208" s="2" t="s">
        <v>2382</v>
      </c>
      <c r="M1208" s="2" t="s">
        <v>2383</v>
      </c>
      <c r="N1208">
        <v>42.56</v>
      </c>
      <c r="O1208" s="1">
        <v>45508</v>
      </c>
      <c r="P1208" s="1">
        <v>45518</v>
      </c>
      <c r="Q1208" s="2" t="s">
        <v>39</v>
      </c>
      <c r="R1208" s="2">
        <v>4454</v>
      </c>
    </row>
    <row r="1209" spans="1:18" x14ac:dyDescent="0.25">
      <c r="A1209" s="1">
        <v>45335</v>
      </c>
      <c r="B1209" s="2" t="s">
        <v>35</v>
      </c>
      <c r="C1209" s="2" t="s">
        <v>27</v>
      </c>
      <c r="D1209">
        <v>11</v>
      </c>
      <c r="E1209">
        <v>186</v>
      </c>
      <c r="F1209" s="2" t="s">
        <v>51</v>
      </c>
      <c r="G1209" s="2" t="s">
        <v>20</v>
      </c>
      <c r="H1209">
        <v>0.15</v>
      </c>
      <c r="I1209" s="2" t="s">
        <v>52</v>
      </c>
      <c r="J1209" s="2" t="s">
        <v>53</v>
      </c>
      <c r="K1209">
        <v>0</v>
      </c>
      <c r="L1209" s="2" t="s">
        <v>2384</v>
      </c>
      <c r="M1209" s="2" t="s">
        <v>2385</v>
      </c>
      <c r="N1209">
        <v>38.53</v>
      </c>
      <c r="O1209" s="1">
        <v>45335</v>
      </c>
      <c r="P1209" s="1">
        <v>45338</v>
      </c>
      <c r="Q1209" s="2" t="s">
        <v>39</v>
      </c>
      <c r="R1209" s="2">
        <v>1739</v>
      </c>
    </row>
    <row r="1210" spans="1:18" x14ac:dyDescent="0.25">
      <c r="A1210" s="1">
        <v>44968</v>
      </c>
      <c r="B1210" s="2" t="s">
        <v>40</v>
      </c>
      <c r="C1210" s="2" t="s">
        <v>36</v>
      </c>
      <c r="D1210">
        <v>18</v>
      </c>
      <c r="E1210">
        <v>268</v>
      </c>
      <c r="F1210" s="2" t="s">
        <v>51</v>
      </c>
      <c r="G1210" s="2" t="s">
        <v>20</v>
      </c>
      <c r="H1210">
        <v>0.15</v>
      </c>
      <c r="I1210" s="2" t="s">
        <v>30</v>
      </c>
      <c r="J1210" s="2" t="s">
        <v>59</v>
      </c>
      <c r="K1210">
        <v>0</v>
      </c>
      <c r="L1210" s="2" t="s">
        <v>2386</v>
      </c>
      <c r="M1210" s="2" t="s">
        <v>2387</v>
      </c>
      <c r="N1210">
        <v>48.38</v>
      </c>
      <c r="O1210" s="1">
        <v>44968</v>
      </c>
      <c r="P1210" s="1">
        <v>44971</v>
      </c>
      <c r="Q1210" s="2" t="s">
        <v>45</v>
      </c>
      <c r="R1210" s="2">
        <v>4100</v>
      </c>
    </row>
    <row r="1211" spans="1:18" x14ac:dyDescent="0.25">
      <c r="A1211" s="1">
        <v>45460</v>
      </c>
      <c r="B1211" s="2" t="s">
        <v>17</v>
      </c>
      <c r="C1211" s="2" t="s">
        <v>126</v>
      </c>
      <c r="D1211">
        <v>18</v>
      </c>
      <c r="E1211">
        <v>547</v>
      </c>
      <c r="F1211" s="2" t="s">
        <v>46</v>
      </c>
      <c r="G1211" s="2" t="s">
        <v>20</v>
      </c>
      <c r="H1211">
        <v>0.1</v>
      </c>
      <c r="I1211" s="2" t="s">
        <v>47</v>
      </c>
      <c r="J1211" s="2" t="s">
        <v>59</v>
      </c>
      <c r="K1211">
        <v>0</v>
      </c>
      <c r="L1211" s="2" t="s">
        <v>2388</v>
      </c>
      <c r="M1211" s="2" t="s">
        <v>2389</v>
      </c>
      <c r="N1211">
        <v>10.99</v>
      </c>
      <c r="O1211" s="1">
        <v>45460</v>
      </c>
      <c r="P1211" s="1">
        <v>45465</v>
      </c>
      <c r="Q1211" s="2" t="s">
        <v>25</v>
      </c>
      <c r="R1211" s="2">
        <v>8861</v>
      </c>
    </row>
    <row r="1212" spans="1:18" x14ac:dyDescent="0.25">
      <c r="A1212" s="1">
        <v>45449</v>
      </c>
      <c r="B1212" s="2" t="s">
        <v>26</v>
      </c>
      <c r="C1212" s="2" t="s">
        <v>18</v>
      </c>
      <c r="D1212">
        <v>1</v>
      </c>
      <c r="E1212">
        <v>354</v>
      </c>
      <c r="F1212" s="2" t="s">
        <v>28</v>
      </c>
      <c r="G1212" s="2" t="s">
        <v>20</v>
      </c>
      <c r="H1212">
        <v>0.15</v>
      </c>
      <c r="I1212" s="2" t="s">
        <v>47</v>
      </c>
      <c r="J1212" s="2" t="s">
        <v>22</v>
      </c>
      <c r="K1212">
        <v>0</v>
      </c>
      <c r="L1212" s="2" t="s">
        <v>2390</v>
      </c>
      <c r="M1212" s="2" t="s">
        <v>2391</v>
      </c>
      <c r="N1212">
        <v>26.16</v>
      </c>
      <c r="O1212" s="1">
        <v>45449</v>
      </c>
      <c r="P1212" s="1">
        <v>45455</v>
      </c>
      <c r="Q1212" s="2" t="s">
        <v>34</v>
      </c>
      <c r="R1212" s="2">
        <v>301</v>
      </c>
    </row>
    <row r="1213" spans="1:18" x14ac:dyDescent="0.25">
      <c r="A1213" s="1">
        <v>45256</v>
      </c>
      <c r="B1213" s="2" t="s">
        <v>26</v>
      </c>
      <c r="C1213" s="2" t="s">
        <v>41</v>
      </c>
      <c r="D1213">
        <v>18</v>
      </c>
      <c r="E1213">
        <v>251</v>
      </c>
      <c r="F1213" s="2" t="s">
        <v>46</v>
      </c>
      <c r="G1213" s="2" t="s">
        <v>20</v>
      </c>
      <c r="H1213">
        <v>0.05</v>
      </c>
      <c r="I1213" s="2" t="s">
        <v>62</v>
      </c>
      <c r="J1213" s="2" t="s">
        <v>31</v>
      </c>
      <c r="K1213">
        <v>0</v>
      </c>
      <c r="L1213" s="2" t="s">
        <v>2392</v>
      </c>
      <c r="M1213" s="2" t="s">
        <v>2393</v>
      </c>
      <c r="N1213">
        <v>47.67</v>
      </c>
      <c r="O1213" s="1">
        <v>45256</v>
      </c>
      <c r="P1213" s="1">
        <v>45262</v>
      </c>
      <c r="Q1213" s="2" t="s">
        <v>34</v>
      </c>
      <c r="R1213" s="2">
        <v>4292</v>
      </c>
    </row>
    <row r="1214" spans="1:18" x14ac:dyDescent="0.25">
      <c r="A1214" s="1">
        <v>45389</v>
      </c>
      <c r="B1214" s="2" t="s">
        <v>65</v>
      </c>
      <c r="C1214" s="2" t="s">
        <v>126</v>
      </c>
      <c r="D1214">
        <v>18</v>
      </c>
      <c r="E1214">
        <v>587</v>
      </c>
      <c r="F1214" s="2" t="s">
        <v>46</v>
      </c>
      <c r="G1214" s="2" t="s">
        <v>20</v>
      </c>
      <c r="H1214">
        <v>0.15</v>
      </c>
      <c r="I1214" s="2" t="s">
        <v>47</v>
      </c>
      <c r="J1214" s="2" t="s">
        <v>22</v>
      </c>
      <c r="K1214">
        <v>0</v>
      </c>
      <c r="L1214" s="2" t="s">
        <v>2394</v>
      </c>
      <c r="M1214" s="2" t="s">
        <v>2395</v>
      </c>
      <c r="N1214">
        <v>42.15</v>
      </c>
      <c r="O1214" s="1">
        <v>45389</v>
      </c>
      <c r="P1214" s="1">
        <v>45391</v>
      </c>
      <c r="Q1214" s="2" t="s">
        <v>68</v>
      </c>
      <c r="R1214" s="2">
        <v>8981</v>
      </c>
    </row>
    <row r="1215" spans="1:18" x14ac:dyDescent="0.25">
      <c r="A1215" s="1">
        <v>44960</v>
      </c>
      <c r="B1215" s="2" t="s">
        <v>65</v>
      </c>
      <c r="C1215" s="2" t="s">
        <v>36</v>
      </c>
      <c r="D1215">
        <v>2</v>
      </c>
      <c r="E1215">
        <v>438</v>
      </c>
      <c r="F1215" s="2" t="s">
        <v>19</v>
      </c>
      <c r="G1215" s="2" t="s">
        <v>29</v>
      </c>
      <c r="H1215">
        <v>0</v>
      </c>
      <c r="I1215" s="2" t="s">
        <v>42</v>
      </c>
      <c r="J1215" s="2" t="s">
        <v>22</v>
      </c>
      <c r="K1215">
        <v>1</v>
      </c>
      <c r="L1215" s="2" t="s">
        <v>2396</v>
      </c>
      <c r="M1215" s="2" t="s">
        <v>2397</v>
      </c>
      <c r="N1215">
        <v>12.9</v>
      </c>
      <c r="O1215" s="1">
        <v>44960</v>
      </c>
      <c r="P1215" s="1">
        <v>44966</v>
      </c>
      <c r="Q1215" s="2" t="s">
        <v>68</v>
      </c>
      <c r="R1215" s="2">
        <v>876</v>
      </c>
    </row>
    <row r="1216" spans="1:18" x14ac:dyDescent="0.25">
      <c r="A1216" s="1">
        <v>45621</v>
      </c>
      <c r="B1216" s="2" t="s">
        <v>17</v>
      </c>
      <c r="C1216" s="2" t="s">
        <v>41</v>
      </c>
      <c r="D1216">
        <v>14</v>
      </c>
      <c r="E1216">
        <v>6</v>
      </c>
      <c r="F1216" s="2" t="s">
        <v>46</v>
      </c>
      <c r="G1216" s="2" t="s">
        <v>20</v>
      </c>
      <c r="H1216">
        <v>0.15</v>
      </c>
      <c r="I1216" s="2" t="s">
        <v>47</v>
      </c>
      <c r="J1216" s="2" t="s">
        <v>22</v>
      </c>
      <c r="K1216">
        <v>1</v>
      </c>
      <c r="L1216" s="2" t="s">
        <v>2398</v>
      </c>
      <c r="M1216" s="2" t="s">
        <v>2399</v>
      </c>
      <c r="N1216">
        <v>10.18</v>
      </c>
      <c r="O1216" s="1">
        <v>45621</v>
      </c>
      <c r="P1216" s="1">
        <v>45626</v>
      </c>
      <c r="Q1216" s="2" t="s">
        <v>25</v>
      </c>
      <c r="R1216" s="2">
        <v>71</v>
      </c>
    </row>
    <row r="1217" spans="1:18" x14ac:dyDescent="0.25">
      <c r="A1217" s="1">
        <v>45473</v>
      </c>
      <c r="B1217" s="2" t="s">
        <v>35</v>
      </c>
      <c r="C1217" s="2" t="s">
        <v>18</v>
      </c>
      <c r="D1217">
        <v>2</v>
      </c>
      <c r="E1217">
        <v>80</v>
      </c>
      <c r="F1217" s="2" t="s">
        <v>51</v>
      </c>
      <c r="G1217" s="2" t="s">
        <v>20</v>
      </c>
      <c r="H1217">
        <v>0</v>
      </c>
      <c r="I1217" s="2" t="s">
        <v>47</v>
      </c>
      <c r="J1217" s="2" t="s">
        <v>22</v>
      </c>
      <c r="K1217">
        <v>1</v>
      </c>
      <c r="L1217" s="2" t="s">
        <v>2400</v>
      </c>
      <c r="M1217" s="2" t="s">
        <v>2401</v>
      </c>
      <c r="N1217">
        <v>13.41</v>
      </c>
      <c r="O1217" s="1">
        <v>45473</v>
      </c>
      <c r="P1217" s="1">
        <v>45476</v>
      </c>
      <c r="Q1217" s="2" t="s">
        <v>39</v>
      </c>
      <c r="R1217" s="2">
        <v>160</v>
      </c>
    </row>
    <row r="1218" spans="1:18" x14ac:dyDescent="0.25">
      <c r="A1218" s="1">
        <v>45140</v>
      </c>
      <c r="B1218" s="2" t="s">
        <v>26</v>
      </c>
      <c r="C1218" s="2" t="s">
        <v>18</v>
      </c>
      <c r="D1218">
        <v>11</v>
      </c>
      <c r="E1218">
        <v>67</v>
      </c>
      <c r="F1218" s="2" t="s">
        <v>28</v>
      </c>
      <c r="G1218" s="2" t="s">
        <v>29</v>
      </c>
      <c r="H1218">
        <v>0.15</v>
      </c>
      <c r="I1218" s="2" t="s">
        <v>62</v>
      </c>
      <c r="J1218" s="2" t="s">
        <v>31</v>
      </c>
      <c r="K1218">
        <v>1</v>
      </c>
      <c r="L1218" s="2" t="s">
        <v>2402</v>
      </c>
      <c r="M1218" s="2" t="s">
        <v>2403</v>
      </c>
      <c r="N1218">
        <v>20.350000000000001</v>
      </c>
      <c r="O1218" s="1">
        <v>45140</v>
      </c>
      <c r="P1218" s="1">
        <v>45149</v>
      </c>
      <c r="Q1218" s="2" t="s">
        <v>34</v>
      </c>
      <c r="R1218" s="2">
        <v>626</v>
      </c>
    </row>
    <row r="1219" spans="1:18" x14ac:dyDescent="0.25">
      <c r="A1219" s="1">
        <v>45344</v>
      </c>
      <c r="B1219" s="2" t="s">
        <v>26</v>
      </c>
      <c r="C1219" s="2" t="s">
        <v>41</v>
      </c>
      <c r="D1219">
        <v>6</v>
      </c>
      <c r="E1219">
        <v>181</v>
      </c>
      <c r="F1219" s="2" t="s">
        <v>28</v>
      </c>
      <c r="G1219" s="2" t="s">
        <v>20</v>
      </c>
      <c r="H1219">
        <v>0</v>
      </c>
      <c r="I1219" s="2" t="s">
        <v>30</v>
      </c>
      <c r="J1219" s="2" t="s">
        <v>59</v>
      </c>
      <c r="K1219">
        <v>0</v>
      </c>
      <c r="L1219" s="2" t="s">
        <v>2404</v>
      </c>
      <c r="M1219" s="2" t="s">
        <v>2405</v>
      </c>
      <c r="N1219">
        <v>27.65</v>
      </c>
      <c r="O1219" s="1">
        <v>45344</v>
      </c>
      <c r="P1219" s="1">
        <v>45349</v>
      </c>
      <c r="Q1219" s="2" t="s">
        <v>34</v>
      </c>
      <c r="R1219" s="2">
        <v>1086</v>
      </c>
    </row>
    <row r="1220" spans="1:18" x14ac:dyDescent="0.25">
      <c r="A1220" s="1">
        <v>45625</v>
      </c>
      <c r="B1220" s="2" t="s">
        <v>35</v>
      </c>
      <c r="C1220" s="2" t="s">
        <v>50</v>
      </c>
      <c r="D1220">
        <v>15</v>
      </c>
      <c r="E1220">
        <v>570</v>
      </c>
      <c r="F1220" s="2" t="s">
        <v>51</v>
      </c>
      <c r="G1220" s="2" t="s">
        <v>20</v>
      </c>
      <c r="H1220">
        <v>0.05</v>
      </c>
      <c r="I1220" s="2" t="s">
        <v>42</v>
      </c>
      <c r="J1220" s="2" t="s">
        <v>31</v>
      </c>
      <c r="K1220">
        <v>0</v>
      </c>
      <c r="L1220" s="2" t="s">
        <v>2406</v>
      </c>
      <c r="M1220" s="2" t="s">
        <v>2407</v>
      </c>
      <c r="N1220">
        <v>7.62</v>
      </c>
      <c r="O1220" s="1">
        <v>45625</v>
      </c>
      <c r="P1220" s="1">
        <v>45635</v>
      </c>
      <c r="Q1220" s="2" t="s">
        <v>39</v>
      </c>
      <c r="R1220" s="2">
        <v>8122</v>
      </c>
    </row>
    <row r="1221" spans="1:18" x14ac:dyDescent="0.25">
      <c r="A1221" s="1">
        <v>45128</v>
      </c>
      <c r="B1221" s="2" t="s">
        <v>35</v>
      </c>
      <c r="C1221" s="2" t="s">
        <v>50</v>
      </c>
      <c r="D1221">
        <v>9</v>
      </c>
      <c r="E1221">
        <v>588</v>
      </c>
      <c r="F1221" s="2" t="s">
        <v>51</v>
      </c>
      <c r="G1221" s="2" t="s">
        <v>20</v>
      </c>
      <c r="H1221">
        <v>0.15</v>
      </c>
      <c r="I1221" s="2" t="s">
        <v>62</v>
      </c>
      <c r="J1221" s="2" t="s">
        <v>22</v>
      </c>
      <c r="K1221">
        <v>0</v>
      </c>
      <c r="L1221" s="2" t="s">
        <v>2408</v>
      </c>
      <c r="M1221" s="2" t="s">
        <v>2409</v>
      </c>
      <c r="N1221">
        <v>24.64</v>
      </c>
      <c r="O1221" s="1">
        <v>45128</v>
      </c>
      <c r="P1221" s="1">
        <v>45138</v>
      </c>
      <c r="Q1221" s="2" t="s">
        <v>39</v>
      </c>
      <c r="R1221" s="2">
        <v>4498</v>
      </c>
    </row>
    <row r="1222" spans="1:18" x14ac:dyDescent="0.25">
      <c r="A1222" s="1">
        <v>45030</v>
      </c>
      <c r="B1222" s="2" t="s">
        <v>40</v>
      </c>
      <c r="C1222" s="2" t="s">
        <v>27</v>
      </c>
      <c r="D1222">
        <v>6</v>
      </c>
      <c r="E1222">
        <v>196</v>
      </c>
      <c r="F1222" s="2" t="s">
        <v>46</v>
      </c>
      <c r="G1222" s="2" t="s">
        <v>29</v>
      </c>
      <c r="H1222">
        <v>0.1</v>
      </c>
      <c r="I1222" s="2" t="s">
        <v>47</v>
      </c>
      <c r="J1222" s="2" t="s">
        <v>22</v>
      </c>
      <c r="K1222">
        <v>0</v>
      </c>
      <c r="L1222" s="2" t="s">
        <v>2410</v>
      </c>
      <c r="M1222" s="2" t="s">
        <v>2411</v>
      </c>
      <c r="N1222">
        <v>38.65</v>
      </c>
      <c r="O1222" s="1">
        <v>45030</v>
      </c>
      <c r="P1222" s="1">
        <v>45033</v>
      </c>
      <c r="Q1222" s="2" t="s">
        <v>45</v>
      </c>
      <c r="R1222" s="2">
        <v>1058</v>
      </c>
    </row>
    <row r="1223" spans="1:18" x14ac:dyDescent="0.25">
      <c r="A1223" s="1">
        <v>44958</v>
      </c>
      <c r="B1223" s="2" t="s">
        <v>35</v>
      </c>
      <c r="C1223" s="2" t="s">
        <v>27</v>
      </c>
      <c r="D1223">
        <v>8</v>
      </c>
      <c r="E1223">
        <v>430</v>
      </c>
      <c r="F1223" s="2" t="s">
        <v>19</v>
      </c>
      <c r="G1223" s="2" t="s">
        <v>20</v>
      </c>
      <c r="H1223">
        <v>0.05</v>
      </c>
      <c r="I1223" s="2" t="s">
        <v>62</v>
      </c>
      <c r="J1223" s="2" t="s">
        <v>56</v>
      </c>
      <c r="K1223">
        <v>0</v>
      </c>
      <c r="L1223" s="2" t="s">
        <v>2412</v>
      </c>
      <c r="M1223" s="2" t="s">
        <v>2413</v>
      </c>
      <c r="N1223">
        <v>38.450000000000003</v>
      </c>
      <c r="O1223" s="1">
        <v>44958</v>
      </c>
      <c r="P1223" s="1">
        <v>44962</v>
      </c>
      <c r="Q1223" s="2" t="s">
        <v>39</v>
      </c>
      <c r="R1223" s="2">
        <v>3268</v>
      </c>
    </row>
    <row r="1224" spans="1:18" x14ac:dyDescent="0.25">
      <c r="A1224" s="1">
        <v>45473</v>
      </c>
      <c r="B1224" s="2" t="s">
        <v>17</v>
      </c>
      <c r="C1224" s="2" t="s">
        <v>50</v>
      </c>
      <c r="D1224">
        <v>14</v>
      </c>
      <c r="E1224">
        <v>430</v>
      </c>
      <c r="F1224" s="2" t="s">
        <v>28</v>
      </c>
      <c r="G1224" s="2" t="s">
        <v>29</v>
      </c>
      <c r="H1224">
        <v>0.1</v>
      </c>
      <c r="I1224" s="2" t="s">
        <v>21</v>
      </c>
      <c r="J1224" s="2" t="s">
        <v>59</v>
      </c>
      <c r="K1224">
        <v>0</v>
      </c>
      <c r="L1224" s="2" t="s">
        <v>2414</v>
      </c>
      <c r="M1224" s="2" t="s">
        <v>2415</v>
      </c>
      <c r="N1224">
        <v>45.78</v>
      </c>
      <c r="O1224" s="1">
        <v>45473</v>
      </c>
      <c r="P1224" s="1">
        <v>45478</v>
      </c>
      <c r="Q1224" s="2" t="s">
        <v>25</v>
      </c>
      <c r="R1224" s="2">
        <v>5418</v>
      </c>
    </row>
    <row r="1225" spans="1:18" x14ac:dyDescent="0.25">
      <c r="A1225" s="1">
        <v>45217</v>
      </c>
      <c r="B1225" s="2" t="s">
        <v>40</v>
      </c>
      <c r="C1225" s="2" t="s">
        <v>27</v>
      </c>
      <c r="D1225">
        <v>13</v>
      </c>
      <c r="E1225">
        <v>127</v>
      </c>
      <c r="F1225" s="2" t="s">
        <v>51</v>
      </c>
      <c r="G1225" s="2" t="s">
        <v>20</v>
      </c>
      <c r="H1225">
        <v>0</v>
      </c>
      <c r="I1225" s="2" t="s">
        <v>30</v>
      </c>
      <c r="J1225" s="2" t="s">
        <v>53</v>
      </c>
      <c r="K1225">
        <v>0</v>
      </c>
      <c r="L1225" s="2" t="s">
        <v>2416</v>
      </c>
      <c r="M1225" s="2" t="s">
        <v>2417</v>
      </c>
      <c r="N1225">
        <v>6.15</v>
      </c>
      <c r="O1225" s="1">
        <v>45217</v>
      </c>
      <c r="P1225" s="1">
        <v>45220</v>
      </c>
      <c r="Q1225" s="2" t="s">
        <v>45</v>
      </c>
      <c r="R1225" s="2">
        <v>1651</v>
      </c>
    </row>
    <row r="1226" spans="1:18" x14ac:dyDescent="0.25">
      <c r="A1226" s="1">
        <v>45477</v>
      </c>
      <c r="B1226" s="2" t="s">
        <v>17</v>
      </c>
      <c r="C1226" s="2" t="s">
        <v>50</v>
      </c>
      <c r="D1226">
        <v>6</v>
      </c>
      <c r="E1226">
        <v>422</v>
      </c>
      <c r="F1226" s="2" t="s">
        <v>19</v>
      </c>
      <c r="G1226" s="2" t="s">
        <v>20</v>
      </c>
      <c r="H1226">
        <v>0.05</v>
      </c>
      <c r="I1226" s="2" t="s">
        <v>62</v>
      </c>
      <c r="J1226" s="2" t="s">
        <v>59</v>
      </c>
      <c r="K1226">
        <v>0</v>
      </c>
      <c r="L1226" s="2" t="s">
        <v>2418</v>
      </c>
      <c r="M1226" s="2" t="s">
        <v>2419</v>
      </c>
      <c r="N1226">
        <v>41.31</v>
      </c>
      <c r="O1226" s="1">
        <v>45477</v>
      </c>
      <c r="P1226" s="1">
        <v>45486</v>
      </c>
      <c r="Q1226" s="2" t="s">
        <v>25</v>
      </c>
      <c r="R1226" s="2">
        <v>2405</v>
      </c>
    </row>
    <row r="1227" spans="1:18" x14ac:dyDescent="0.25">
      <c r="A1227" s="1">
        <v>45477</v>
      </c>
      <c r="B1227" s="2" t="s">
        <v>17</v>
      </c>
      <c r="C1227" s="2" t="s">
        <v>75</v>
      </c>
      <c r="D1227">
        <v>5</v>
      </c>
      <c r="E1227">
        <v>226</v>
      </c>
      <c r="F1227" s="2" t="s">
        <v>28</v>
      </c>
      <c r="G1227" s="2" t="s">
        <v>20</v>
      </c>
      <c r="H1227">
        <v>0.15</v>
      </c>
      <c r="I1227" s="2" t="s">
        <v>47</v>
      </c>
      <c r="J1227" s="2" t="s">
        <v>31</v>
      </c>
      <c r="K1227">
        <v>0</v>
      </c>
      <c r="L1227" s="2" t="s">
        <v>2420</v>
      </c>
      <c r="M1227" s="2" t="s">
        <v>2421</v>
      </c>
      <c r="N1227">
        <v>47.6</v>
      </c>
      <c r="O1227" s="1">
        <v>45477</v>
      </c>
      <c r="P1227" s="1">
        <v>45485</v>
      </c>
      <c r="Q1227" s="2" t="s">
        <v>25</v>
      </c>
      <c r="R1227" s="2">
        <v>960</v>
      </c>
    </row>
    <row r="1228" spans="1:18" x14ac:dyDescent="0.25">
      <c r="A1228" s="1">
        <v>45134</v>
      </c>
      <c r="B1228" s="2" t="s">
        <v>35</v>
      </c>
      <c r="C1228" s="2" t="s">
        <v>50</v>
      </c>
      <c r="D1228">
        <v>10</v>
      </c>
      <c r="E1228">
        <v>322</v>
      </c>
      <c r="F1228" s="2" t="s">
        <v>28</v>
      </c>
      <c r="G1228" s="2" t="s">
        <v>29</v>
      </c>
      <c r="H1228">
        <v>0.15</v>
      </c>
      <c r="I1228" s="2" t="s">
        <v>52</v>
      </c>
      <c r="J1228" s="2" t="s">
        <v>56</v>
      </c>
      <c r="K1228">
        <v>0</v>
      </c>
      <c r="L1228" s="2" t="s">
        <v>2422</v>
      </c>
      <c r="M1228" s="2" t="s">
        <v>2423</v>
      </c>
      <c r="N1228">
        <v>28.72</v>
      </c>
      <c r="O1228" s="1">
        <v>45134</v>
      </c>
      <c r="P1228" s="1">
        <v>45140</v>
      </c>
      <c r="Q1228" s="2" t="s">
        <v>39</v>
      </c>
      <c r="R1228" s="2">
        <v>2737</v>
      </c>
    </row>
    <row r="1229" spans="1:18" x14ac:dyDescent="0.25">
      <c r="A1229" s="1">
        <v>45717</v>
      </c>
      <c r="B1229" s="2" t="s">
        <v>65</v>
      </c>
      <c r="C1229" s="2" t="s">
        <v>36</v>
      </c>
      <c r="D1229">
        <v>4</v>
      </c>
      <c r="E1229">
        <v>209</v>
      </c>
      <c r="F1229" s="2" t="s">
        <v>19</v>
      </c>
      <c r="G1229" s="2" t="s">
        <v>29</v>
      </c>
      <c r="H1229">
        <v>0.05</v>
      </c>
      <c r="I1229" s="2" t="s">
        <v>30</v>
      </c>
      <c r="J1229" s="2" t="s">
        <v>31</v>
      </c>
      <c r="K1229">
        <v>0</v>
      </c>
      <c r="L1229" s="2" t="s">
        <v>2424</v>
      </c>
      <c r="M1229" s="2" t="s">
        <v>2425</v>
      </c>
      <c r="N1229">
        <v>6.89</v>
      </c>
      <c r="O1229" s="1">
        <v>45717</v>
      </c>
      <c r="P1229" s="1">
        <v>45722</v>
      </c>
      <c r="Q1229" s="2" t="s">
        <v>68</v>
      </c>
      <c r="R1229" s="2">
        <v>794</v>
      </c>
    </row>
    <row r="1230" spans="1:18" x14ac:dyDescent="0.25">
      <c r="A1230" s="1">
        <v>44980</v>
      </c>
      <c r="B1230" s="2" t="s">
        <v>40</v>
      </c>
      <c r="C1230" s="2" t="s">
        <v>36</v>
      </c>
      <c r="D1230">
        <v>16</v>
      </c>
      <c r="E1230">
        <v>326</v>
      </c>
      <c r="F1230" s="2" t="s">
        <v>46</v>
      </c>
      <c r="G1230" s="2" t="s">
        <v>20</v>
      </c>
      <c r="H1230">
        <v>0.1</v>
      </c>
      <c r="I1230" s="2" t="s">
        <v>42</v>
      </c>
      <c r="J1230" s="2" t="s">
        <v>53</v>
      </c>
      <c r="K1230">
        <v>0</v>
      </c>
      <c r="L1230" s="2" t="s">
        <v>2426</v>
      </c>
      <c r="M1230" s="2" t="s">
        <v>2427</v>
      </c>
      <c r="N1230">
        <v>44.3</v>
      </c>
      <c r="O1230" s="1">
        <v>44980</v>
      </c>
      <c r="P1230" s="1">
        <v>44982</v>
      </c>
      <c r="Q1230" s="2" t="s">
        <v>45</v>
      </c>
      <c r="R1230" s="2">
        <v>4694</v>
      </c>
    </row>
    <row r="1231" spans="1:18" x14ac:dyDescent="0.25">
      <c r="A1231" s="1">
        <v>44937</v>
      </c>
      <c r="B1231" s="2" t="s">
        <v>17</v>
      </c>
      <c r="C1231" s="2" t="s">
        <v>50</v>
      </c>
      <c r="D1231">
        <v>13</v>
      </c>
      <c r="E1231">
        <v>515</v>
      </c>
      <c r="F1231" s="2" t="s">
        <v>51</v>
      </c>
      <c r="G1231" s="2" t="s">
        <v>29</v>
      </c>
      <c r="H1231">
        <v>0</v>
      </c>
      <c r="I1231" s="2" t="s">
        <v>62</v>
      </c>
      <c r="J1231" s="2" t="s">
        <v>22</v>
      </c>
      <c r="K1231">
        <v>0</v>
      </c>
      <c r="L1231" s="2" t="s">
        <v>2428</v>
      </c>
      <c r="M1231" s="2" t="s">
        <v>2429</v>
      </c>
      <c r="N1231">
        <v>43.37</v>
      </c>
      <c r="O1231" s="1">
        <v>44937</v>
      </c>
      <c r="P1231" s="1">
        <v>44946</v>
      </c>
      <c r="Q1231" s="2" t="s">
        <v>25</v>
      </c>
      <c r="R1231" s="2">
        <v>6695</v>
      </c>
    </row>
    <row r="1232" spans="1:18" x14ac:dyDescent="0.25">
      <c r="A1232" s="1">
        <v>45398</v>
      </c>
      <c r="B1232" s="2" t="s">
        <v>65</v>
      </c>
      <c r="C1232" s="2" t="s">
        <v>75</v>
      </c>
      <c r="D1232">
        <v>7</v>
      </c>
      <c r="E1232">
        <v>130</v>
      </c>
      <c r="F1232" s="2" t="s">
        <v>28</v>
      </c>
      <c r="G1232" s="2" t="s">
        <v>20</v>
      </c>
      <c r="H1232">
        <v>0</v>
      </c>
      <c r="I1232" s="2" t="s">
        <v>47</v>
      </c>
      <c r="J1232" s="2" t="s">
        <v>31</v>
      </c>
      <c r="K1232">
        <v>0</v>
      </c>
      <c r="L1232" s="2" t="s">
        <v>2430</v>
      </c>
      <c r="M1232" s="2" t="s">
        <v>2431</v>
      </c>
      <c r="N1232">
        <v>13.12</v>
      </c>
      <c r="O1232" s="1">
        <v>45398</v>
      </c>
      <c r="P1232" s="1">
        <v>45402</v>
      </c>
      <c r="Q1232" s="2" t="s">
        <v>68</v>
      </c>
      <c r="R1232" s="2">
        <v>910</v>
      </c>
    </row>
    <row r="1233" spans="1:18" x14ac:dyDescent="0.25">
      <c r="A1233" s="1">
        <v>45360</v>
      </c>
      <c r="B1233" s="2" t="s">
        <v>40</v>
      </c>
      <c r="C1233" s="2" t="s">
        <v>50</v>
      </c>
      <c r="D1233">
        <v>17</v>
      </c>
      <c r="E1233">
        <v>376</v>
      </c>
      <c r="F1233" s="2" t="s">
        <v>46</v>
      </c>
      <c r="G1233" s="2" t="s">
        <v>29</v>
      </c>
      <c r="H1233">
        <v>0.05</v>
      </c>
      <c r="I1233" s="2" t="s">
        <v>52</v>
      </c>
      <c r="J1233" s="2" t="s">
        <v>31</v>
      </c>
      <c r="K1233">
        <v>1</v>
      </c>
      <c r="L1233" s="2" t="s">
        <v>2432</v>
      </c>
      <c r="M1233" s="2" t="s">
        <v>2433</v>
      </c>
      <c r="N1233">
        <v>31.96</v>
      </c>
      <c r="O1233" s="1">
        <v>45360</v>
      </c>
      <c r="P1233" s="1">
        <v>45363</v>
      </c>
      <c r="Q1233" s="2" t="s">
        <v>45</v>
      </c>
      <c r="R1233" s="2">
        <v>6072</v>
      </c>
    </row>
    <row r="1234" spans="1:18" x14ac:dyDescent="0.25">
      <c r="A1234" s="1">
        <v>45572</v>
      </c>
      <c r="B1234" s="2" t="s">
        <v>26</v>
      </c>
      <c r="C1234" s="2" t="s">
        <v>41</v>
      </c>
      <c r="D1234">
        <v>8</v>
      </c>
      <c r="E1234">
        <v>385</v>
      </c>
      <c r="F1234" s="2" t="s">
        <v>28</v>
      </c>
      <c r="G1234" s="2" t="s">
        <v>20</v>
      </c>
      <c r="H1234">
        <v>0</v>
      </c>
      <c r="I1234" s="2" t="s">
        <v>62</v>
      </c>
      <c r="J1234" s="2" t="s">
        <v>59</v>
      </c>
      <c r="K1234">
        <v>0</v>
      </c>
      <c r="L1234" s="2" t="s">
        <v>2434</v>
      </c>
      <c r="M1234" s="2" t="s">
        <v>2435</v>
      </c>
      <c r="N1234">
        <v>8.89</v>
      </c>
      <c r="O1234" s="1">
        <v>45572</v>
      </c>
      <c r="P1234" s="1">
        <v>45576</v>
      </c>
      <c r="Q1234" s="2" t="s">
        <v>34</v>
      </c>
      <c r="R1234" s="2">
        <v>3080</v>
      </c>
    </row>
    <row r="1235" spans="1:18" x14ac:dyDescent="0.25">
      <c r="A1235" s="1">
        <v>45205</v>
      </c>
      <c r="B1235" s="2" t="s">
        <v>65</v>
      </c>
      <c r="C1235" s="2" t="s">
        <v>126</v>
      </c>
      <c r="D1235">
        <v>2</v>
      </c>
      <c r="E1235">
        <v>474</v>
      </c>
      <c r="F1235" s="2" t="s">
        <v>51</v>
      </c>
      <c r="G1235" s="2" t="s">
        <v>20</v>
      </c>
      <c r="H1235">
        <v>0</v>
      </c>
      <c r="I1235" s="2" t="s">
        <v>47</v>
      </c>
      <c r="J1235" s="2" t="s">
        <v>31</v>
      </c>
      <c r="K1235">
        <v>1</v>
      </c>
      <c r="L1235" s="2" t="s">
        <v>2436</v>
      </c>
      <c r="M1235" s="2" t="s">
        <v>2437</v>
      </c>
      <c r="N1235">
        <v>14.41</v>
      </c>
      <c r="O1235" s="1">
        <v>45205</v>
      </c>
      <c r="P1235" s="1">
        <v>45214</v>
      </c>
      <c r="Q1235" s="2" t="s">
        <v>68</v>
      </c>
      <c r="R1235" s="2">
        <v>948</v>
      </c>
    </row>
    <row r="1236" spans="1:18" x14ac:dyDescent="0.25">
      <c r="A1236" s="1">
        <v>45024</v>
      </c>
      <c r="B1236" s="2" t="s">
        <v>65</v>
      </c>
      <c r="C1236" s="2" t="s">
        <v>50</v>
      </c>
      <c r="D1236">
        <v>15</v>
      </c>
      <c r="E1236">
        <v>506</v>
      </c>
      <c r="F1236" s="2" t="s">
        <v>19</v>
      </c>
      <c r="G1236" s="2" t="s">
        <v>20</v>
      </c>
      <c r="H1236">
        <v>0.05</v>
      </c>
      <c r="I1236" s="2" t="s">
        <v>30</v>
      </c>
      <c r="J1236" s="2" t="s">
        <v>22</v>
      </c>
      <c r="K1236">
        <v>0</v>
      </c>
      <c r="L1236" s="2" t="s">
        <v>2438</v>
      </c>
      <c r="M1236" s="2" t="s">
        <v>2439</v>
      </c>
      <c r="N1236">
        <v>41.73</v>
      </c>
      <c r="O1236" s="1">
        <v>45024</v>
      </c>
      <c r="P1236" s="1">
        <v>45029</v>
      </c>
      <c r="Q1236" s="2" t="s">
        <v>68</v>
      </c>
      <c r="R1236" s="2">
        <v>7210</v>
      </c>
    </row>
    <row r="1237" spans="1:18" x14ac:dyDescent="0.25">
      <c r="A1237" s="1">
        <v>45342</v>
      </c>
      <c r="B1237" s="2" t="s">
        <v>26</v>
      </c>
      <c r="C1237" s="2" t="s">
        <v>27</v>
      </c>
      <c r="D1237">
        <v>1</v>
      </c>
      <c r="E1237">
        <v>67</v>
      </c>
      <c r="F1237" s="2" t="s">
        <v>51</v>
      </c>
      <c r="G1237" s="2" t="s">
        <v>29</v>
      </c>
      <c r="H1237">
        <v>0.15</v>
      </c>
      <c r="I1237" s="2" t="s">
        <v>30</v>
      </c>
      <c r="J1237" s="2" t="s">
        <v>53</v>
      </c>
      <c r="K1237">
        <v>0</v>
      </c>
      <c r="L1237" s="2" t="s">
        <v>2440</v>
      </c>
      <c r="M1237" s="2" t="s">
        <v>2441</v>
      </c>
      <c r="N1237">
        <v>6.14</v>
      </c>
      <c r="O1237" s="1">
        <v>45342</v>
      </c>
      <c r="P1237" s="1">
        <v>45349</v>
      </c>
      <c r="Q1237" s="2" t="s">
        <v>34</v>
      </c>
      <c r="R1237" s="2">
        <v>57</v>
      </c>
    </row>
    <row r="1238" spans="1:18" x14ac:dyDescent="0.25">
      <c r="A1238" s="1">
        <v>44956</v>
      </c>
      <c r="B1238" s="2" t="s">
        <v>65</v>
      </c>
      <c r="C1238" s="2" t="s">
        <v>41</v>
      </c>
      <c r="D1238">
        <v>15</v>
      </c>
      <c r="E1238">
        <v>274</v>
      </c>
      <c r="F1238" s="2" t="s">
        <v>19</v>
      </c>
      <c r="G1238" s="2" t="s">
        <v>29</v>
      </c>
      <c r="H1238">
        <v>0.15</v>
      </c>
      <c r="I1238" s="2" t="s">
        <v>42</v>
      </c>
      <c r="J1238" s="2" t="s">
        <v>53</v>
      </c>
      <c r="K1238">
        <v>0</v>
      </c>
      <c r="L1238" s="2" t="s">
        <v>2442</v>
      </c>
      <c r="M1238" s="2" t="s">
        <v>2443</v>
      </c>
      <c r="N1238">
        <v>21.56</v>
      </c>
      <c r="O1238" s="1">
        <v>44956</v>
      </c>
      <c r="P1238" s="1">
        <v>44965</v>
      </c>
      <c r="Q1238" s="2" t="s">
        <v>68</v>
      </c>
      <c r="R1238" s="2">
        <v>3494</v>
      </c>
    </row>
    <row r="1239" spans="1:18" x14ac:dyDescent="0.25">
      <c r="A1239" s="1">
        <v>45058</v>
      </c>
      <c r="B1239" s="2" t="s">
        <v>26</v>
      </c>
      <c r="C1239" s="2" t="s">
        <v>50</v>
      </c>
      <c r="D1239">
        <v>2</v>
      </c>
      <c r="E1239">
        <v>334</v>
      </c>
      <c r="F1239" s="2" t="s">
        <v>19</v>
      </c>
      <c r="G1239" s="2" t="s">
        <v>20</v>
      </c>
      <c r="H1239">
        <v>0</v>
      </c>
      <c r="I1239" s="2" t="s">
        <v>30</v>
      </c>
      <c r="J1239" s="2" t="s">
        <v>56</v>
      </c>
      <c r="K1239">
        <v>0</v>
      </c>
      <c r="L1239" s="2" t="s">
        <v>2444</v>
      </c>
      <c r="M1239" s="2" t="s">
        <v>2445</v>
      </c>
      <c r="N1239">
        <v>31.53</v>
      </c>
      <c r="O1239" s="1">
        <v>45058</v>
      </c>
      <c r="P1239" s="1">
        <v>45066</v>
      </c>
      <c r="Q1239" s="2" t="s">
        <v>34</v>
      </c>
      <c r="R1239" s="2">
        <v>668</v>
      </c>
    </row>
    <row r="1240" spans="1:18" x14ac:dyDescent="0.25">
      <c r="A1240" s="1">
        <v>45299</v>
      </c>
      <c r="B1240" s="2" t="s">
        <v>26</v>
      </c>
      <c r="C1240" s="2" t="s">
        <v>41</v>
      </c>
      <c r="D1240">
        <v>7</v>
      </c>
      <c r="E1240">
        <v>563</v>
      </c>
      <c r="F1240" s="2" t="s">
        <v>28</v>
      </c>
      <c r="G1240" s="2" t="s">
        <v>29</v>
      </c>
      <c r="H1240">
        <v>0.15</v>
      </c>
      <c r="I1240" s="2" t="s">
        <v>21</v>
      </c>
      <c r="J1240" s="2" t="s">
        <v>22</v>
      </c>
      <c r="K1240">
        <v>0</v>
      </c>
      <c r="L1240" s="2" t="s">
        <v>2446</v>
      </c>
      <c r="M1240" s="2" t="s">
        <v>2447</v>
      </c>
      <c r="N1240">
        <v>19.95</v>
      </c>
      <c r="O1240" s="1">
        <v>45299</v>
      </c>
      <c r="P1240" s="1">
        <v>45303</v>
      </c>
      <c r="Q1240" s="2" t="s">
        <v>34</v>
      </c>
      <c r="R1240" s="2">
        <v>3350</v>
      </c>
    </row>
    <row r="1241" spans="1:18" x14ac:dyDescent="0.25">
      <c r="A1241" s="1">
        <v>45448</v>
      </c>
      <c r="B1241" s="2" t="s">
        <v>35</v>
      </c>
      <c r="C1241" s="2" t="s">
        <v>50</v>
      </c>
      <c r="D1241">
        <v>7</v>
      </c>
      <c r="E1241">
        <v>14</v>
      </c>
      <c r="F1241" s="2" t="s">
        <v>51</v>
      </c>
      <c r="G1241" s="2" t="s">
        <v>29</v>
      </c>
      <c r="H1241">
        <v>0.05</v>
      </c>
      <c r="I1241" s="2" t="s">
        <v>30</v>
      </c>
      <c r="J1241" s="2" t="s">
        <v>56</v>
      </c>
      <c r="K1241">
        <v>0</v>
      </c>
      <c r="L1241" s="2" t="s">
        <v>2448</v>
      </c>
      <c r="M1241" s="2" t="s">
        <v>146</v>
      </c>
      <c r="N1241">
        <v>19.45</v>
      </c>
      <c r="O1241" s="1">
        <v>45448</v>
      </c>
      <c r="P1241" s="1">
        <v>45451</v>
      </c>
      <c r="Q1241" s="2" t="s">
        <v>39</v>
      </c>
      <c r="R1241" s="2">
        <v>93</v>
      </c>
    </row>
    <row r="1242" spans="1:18" x14ac:dyDescent="0.25">
      <c r="A1242" s="1">
        <v>45798</v>
      </c>
      <c r="B1242" s="2" t="s">
        <v>17</v>
      </c>
      <c r="C1242" s="2" t="s">
        <v>27</v>
      </c>
      <c r="D1242">
        <v>11</v>
      </c>
      <c r="E1242">
        <v>35</v>
      </c>
      <c r="F1242" s="2" t="s">
        <v>19</v>
      </c>
      <c r="G1242" s="2" t="s">
        <v>20</v>
      </c>
      <c r="H1242">
        <v>0.1</v>
      </c>
      <c r="I1242" s="2" t="s">
        <v>52</v>
      </c>
      <c r="J1242" s="2" t="s">
        <v>31</v>
      </c>
      <c r="K1242">
        <v>0</v>
      </c>
      <c r="L1242" s="2" t="s">
        <v>2449</v>
      </c>
      <c r="M1242" s="2" t="s">
        <v>2450</v>
      </c>
      <c r="N1242">
        <v>9.31</v>
      </c>
      <c r="O1242" s="1">
        <v>45798</v>
      </c>
      <c r="P1242" s="1">
        <v>45800</v>
      </c>
      <c r="Q1242" s="2" t="s">
        <v>25</v>
      </c>
      <c r="R1242" s="2">
        <v>346</v>
      </c>
    </row>
    <row r="1243" spans="1:18" x14ac:dyDescent="0.25">
      <c r="A1243" s="1">
        <v>45798</v>
      </c>
      <c r="B1243" s="2" t="s">
        <v>17</v>
      </c>
      <c r="C1243" s="2" t="s">
        <v>41</v>
      </c>
      <c r="D1243">
        <v>7</v>
      </c>
      <c r="E1243">
        <v>15</v>
      </c>
      <c r="F1243" s="2" t="s">
        <v>28</v>
      </c>
      <c r="G1243" s="2" t="s">
        <v>29</v>
      </c>
      <c r="H1243">
        <v>0</v>
      </c>
      <c r="I1243" s="2" t="s">
        <v>30</v>
      </c>
      <c r="J1243" s="2" t="s">
        <v>59</v>
      </c>
      <c r="K1243">
        <v>1</v>
      </c>
      <c r="L1243" s="2" t="s">
        <v>2451</v>
      </c>
      <c r="M1243" s="2" t="s">
        <v>2452</v>
      </c>
      <c r="N1243">
        <v>46.57</v>
      </c>
      <c r="O1243" s="1">
        <v>45798</v>
      </c>
      <c r="P1243" s="1">
        <v>45803</v>
      </c>
      <c r="Q1243" s="2" t="s">
        <v>25</v>
      </c>
      <c r="R1243" s="2">
        <v>105</v>
      </c>
    </row>
    <row r="1244" spans="1:18" x14ac:dyDescent="0.25">
      <c r="A1244" s="1">
        <v>44990</v>
      </c>
      <c r="B1244" s="2" t="s">
        <v>17</v>
      </c>
      <c r="C1244" s="2" t="s">
        <v>126</v>
      </c>
      <c r="D1244">
        <v>11</v>
      </c>
      <c r="E1244">
        <v>488</v>
      </c>
      <c r="F1244" s="2" t="s">
        <v>19</v>
      </c>
      <c r="G1244" s="2" t="s">
        <v>20</v>
      </c>
      <c r="H1244">
        <v>0.05</v>
      </c>
      <c r="I1244" s="2" t="s">
        <v>62</v>
      </c>
      <c r="J1244" s="2" t="s">
        <v>59</v>
      </c>
      <c r="K1244">
        <v>1</v>
      </c>
      <c r="L1244" s="2" t="s">
        <v>2453</v>
      </c>
      <c r="M1244" s="2" t="s">
        <v>2454</v>
      </c>
      <c r="N1244">
        <v>37.47</v>
      </c>
      <c r="O1244" s="1">
        <v>44990</v>
      </c>
      <c r="P1244" s="1">
        <v>44996</v>
      </c>
      <c r="Q1244" s="2" t="s">
        <v>25</v>
      </c>
      <c r="R1244" s="2">
        <v>5100</v>
      </c>
    </row>
    <row r="1245" spans="1:18" x14ac:dyDescent="0.25">
      <c r="A1245" s="1">
        <v>45592</v>
      </c>
      <c r="B1245" s="2" t="s">
        <v>26</v>
      </c>
      <c r="C1245" s="2" t="s">
        <v>75</v>
      </c>
      <c r="D1245">
        <v>10</v>
      </c>
      <c r="E1245">
        <v>268</v>
      </c>
      <c r="F1245" s="2" t="s">
        <v>19</v>
      </c>
      <c r="G1245" s="2" t="s">
        <v>29</v>
      </c>
      <c r="H1245">
        <v>0.05</v>
      </c>
      <c r="I1245" s="2" t="s">
        <v>30</v>
      </c>
      <c r="J1245" s="2" t="s">
        <v>53</v>
      </c>
      <c r="K1245">
        <v>0</v>
      </c>
      <c r="L1245" s="2" t="s">
        <v>2455</v>
      </c>
      <c r="M1245" s="2" t="s">
        <v>1867</v>
      </c>
      <c r="N1245">
        <v>25.86</v>
      </c>
      <c r="O1245" s="1">
        <v>45592</v>
      </c>
      <c r="P1245" s="1">
        <v>45598</v>
      </c>
      <c r="Q1245" s="2" t="s">
        <v>34</v>
      </c>
      <c r="R1245" s="2">
        <v>2546</v>
      </c>
    </row>
    <row r="1246" spans="1:18" x14ac:dyDescent="0.25">
      <c r="A1246" s="1">
        <v>45740</v>
      </c>
      <c r="B1246" s="2" t="s">
        <v>35</v>
      </c>
      <c r="C1246" s="2" t="s">
        <v>75</v>
      </c>
      <c r="D1246">
        <v>5</v>
      </c>
      <c r="E1246">
        <v>64</v>
      </c>
      <c r="F1246" s="2" t="s">
        <v>46</v>
      </c>
      <c r="G1246" s="2" t="s">
        <v>29</v>
      </c>
      <c r="H1246">
        <v>0.1</v>
      </c>
      <c r="I1246" s="2" t="s">
        <v>21</v>
      </c>
      <c r="J1246" s="2" t="s">
        <v>31</v>
      </c>
      <c r="K1246">
        <v>0</v>
      </c>
      <c r="L1246" s="2" t="s">
        <v>2456</v>
      </c>
      <c r="M1246" s="2" t="s">
        <v>2457</v>
      </c>
      <c r="N1246">
        <v>21.17</v>
      </c>
      <c r="O1246" s="1">
        <v>45740</v>
      </c>
      <c r="P1246" s="1">
        <v>45745</v>
      </c>
      <c r="Q1246" s="2" t="s">
        <v>39</v>
      </c>
      <c r="R1246" s="2">
        <v>288</v>
      </c>
    </row>
    <row r="1247" spans="1:18" x14ac:dyDescent="0.25">
      <c r="A1247" s="1">
        <v>45556</v>
      </c>
      <c r="B1247" s="2" t="s">
        <v>65</v>
      </c>
      <c r="C1247" s="2" t="s">
        <v>27</v>
      </c>
      <c r="D1247">
        <v>15</v>
      </c>
      <c r="E1247">
        <v>467</v>
      </c>
      <c r="F1247" s="2" t="s">
        <v>28</v>
      </c>
      <c r="G1247" s="2" t="s">
        <v>29</v>
      </c>
      <c r="H1247">
        <v>0.05</v>
      </c>
      <c r="I1247" s="2" t="s">
        <v>30</v>
      </c>
      <c r="J1247" s="2" t="s">
        <v>59</v>
      </c>
      <c r="K1247">
        <v>1</v>
      </c>
      <c r="L1247" s="2" t="s">
        <v>2458</v>
      </c>
      <c r="M1247" s="2" t="s">
        <v>2459</v>
      </c>
      <c r="N1247">
        <v>36.68</v>
      </c>
      <c r="O1247" s="1">
        <v>45556</v>
      </c>
      <c r="P1247" s="1">
        <v>45562</v>
      </c>
      <c r="Q1247" s="2" t="s">
        <v>68</v>
      </c>
      <c r="R1247" s="2">
        <v>6655</v>
      </c>
    </row>
    <row r="1248" spans="1:18" x14ac:dyDescent="0.25">
      <c r="A1248" s="1">
        <v>45795</v>
      </c>
      <c r="B1248" s="2" t="s">
        <v>35</v>
      </c>
      <c r="C1248" s="2" t="s">
        <v>36</v>
      </c>
      <c r="D1248">
        <v>8</v>
      </c>
      <c r="E1248">
        <v>505</v>
      </c>
      <c r="F1248" s="2" t="s">
        <v>19</v>
      </c>
      <c r="G1248" s="2" t="s">
        <v>29</v>
      </c>
      <c r="H1248">
        <v>0.05</v>
      </c>
      <c r="I1248" s="2" t="s">
        <v>62</v>
      </c>
      <c r="J1248" s="2" t="s">
        <v>56</v>
      </c>
      <c r="K1248">
        <v>0</v>
      </c>
      <c r="L1248" s="2" t="s">
        <v>2460</v>
      </c>
      <c r="M1248" s="2" t="s">
        <v>2461</v>
      </c>
      <c r="N1248">
        <v>22.88</v>
      </c>
      <c r="O1248" s="1">
        <v>45795</v>
      </c>
      <c r="P1248" s="1">
        <v>45804</v>
      </c>
      <c r="Q1248" s="2" t="s">
        <v>39</v>
      </c>
      <c r="R1248" s="2">
        <v>3838</v>
      </c>
    </row>
    <row r="1249" spans="1:18" x14ac:dyDescent="0.25">
      <c r="A1249" s="1">
        <v>45484</v>
      </c>
      <c r="B1249" s="2" t="s">
        <v>17</v>
      </c>
      <c r="C1249" s="2" t="s">
        <v>50</v>
      </c>
      <c r="D1249">
        <v>6</v>
      </c>
      <c r="E1249">
        <v>101</v>
      </c>
      <c r="F1249" s="2" t="s">
        <v>28</v>
      </c>
      <c r="G1249" s="2" t="s">
        <v>20</v>
      </c>
      <c r="H1249">
        <v>0.1</v>
      </c>
      <c r="I1249" s="2" t="s">
        <v>42</v>
      </c>
      <c r="J1249" s="2" t="s">
        <v>53</v>
      </c>
      <c r="K1249">
        <v>0</v>
      </c>
      <c r="L1249" s="2" t="s">
        <v>2462</v>
      </c>
      <c r="M1249" s="2" t="s">
        <v>2463</v>
      </c>
      <c r="N1249">
        <v>12.98</v>
      </c>
      <c r="O1249" s="1">
        <v>45484</v>
      </c>
      <c r="P1249" s="1">
        <v>45487</v>
      </c>
      <c r="Q1249" s="2" t="s">
        <v>25</v>
      </c>
      <c r="R1249" s="2">
        <v>545</v>
      </c>
    </row>
    <row r="1250" spans="1:18" x14ac:dyDescent="0.25">
      <c r="A1250" s="1">
        <v>45684</v>
      </c>
      <c r="B1250" s="2" t="s">
        <v>35</v>
      </c>
      <c r="C1250" s="2" t="s">
        <v>75</v>
      </c>
      <c r="D1250">
        <v>8</v>
      </c>
      <c r="E1250">
        <v>353</v>
      </c>
      <c r="F1250" s="2" t="s">
        <v>46</v>
      </c>
      <c r="G1250" s="2" t="s">
        <v>29</v>
      </c>
      <c r="H1250">
        <v>0.05</v>
      </c>
      <c r="I1250" s="2" t="s">
        <v>47</v>
      </c>
      <c r="J1250" s="2" t="s">
        <v>59</v>
      </c>
      <c r="K1250">
        <v>0</v>
      </c>
      <c r="L1250" s="2" t="s">
        <v>2464</v>
      </c>
      <c r="M1250" s="2" t="s">
        <v>2465</v>
      </c>
      <c r="N1250">
        <v>30.8</v>
      </c>
      <c r="O1250" s="1">
        <v>45684</v>
      </c>
      <c r="P1250" s="1">
        <v>45692</v>
      </c>
      <c r="Q1250" s="2" t="s">
        <v>39</v>
      </c>
      <c r="R1250" s="2">
        <v>2683</v>
      </c>
    </row>
    <row r="1251" spans="1:18" x14ac:dyDescent="0.25">
      <c r="A1251" s="1">
        <v>45256</v>
      </c>
      <c r="B1251" s="2" t="s">
        <v>17</v>
      </c>
      <c r="C1251" s="2" t="s">
        <v>18</v>
      </c>
      <c r="D1251">
        <v>9</v>
      </c>
      <c r="E1251">
        <v>526</v>
      </c>
      <c r="F1251" s="2" t="s">
        <v>19</v>
      </c>
      <c r="G1251" s="2" t="s">
        <v>29</v>
      </c>
      <c r="H1251">
        <v>0</v>
      </c>
      <c r="I1251" s="2" t="s">
        <v>62</v>
      </c>
      <c r="J1251" s="2" t="s">
        <v>59</v>
      </c>
      <c r="K1251">
        <v>0</v>
      </c>
      <c r="L1251" s="2" t="s">
        <v>2466</v>
      </c>
      <c r="M1251" s="2" t="s">
        <v>1408</v>
      </c>
      <c r="N1251">
        <v>15.47</v>
      </c>
      <c r="O1251" s="1">
        <v>45256</v>
      </c>
      <c r="P1251" s="1">
        <v>45266</v>
      </c>
      <c r="Q1251" s="2" t="s">
        <v>25</v>
      </c>
      <c r="R1251" s="2">
        <v>4734</v>
      </c>
    </row>
    <row r="1252" spans="1:18" x14ac:dyDescent="0.25">
      <c r="A1252" s="1">
        <v>45445</v>
      </c>
      <c r="B1252" s="2" t="s">
        <v>40</v>
      </c>
      <c r="C1252" s="2" t="s">
        <v>126</v>
      </c>
      <c r="D1252">
        <v>18</v>
      </c>
      <c r="E1252">
        <v>519</v>
      </c>
      <c r="F1252" s="2" t="s">
        <v>46</v>
      </c>
      <c r="G1252" s="2" t="s">
        <v>29</v>
      </c>
      <c r="H1252">
        <v>0.15</v>
      </c>
      <c r="I1252" s="2" t="s">
        <v>21</v>
      </c>
      <c r="J1252" s="2" t="s">
        <v>59</v>
      </c>
      <c r="K1252">
        <v>0</v>
      </c>
      <c r="L1252" s="2" t="s">
        <v>2467</v>
      </c>
      <c r="M1252" s="2" t="s">
        <v>2468</v>
      </c>
      <c r="N1252">
        <v>32.96</v>
      </c>
      <c r="O1252" s="1">
        <v>45445</v>
      </c>
      <c r="P1252" s="1">
        <v>45447</v>
      </c>
      <c r="Q1252" s="2" t="s">
        <v>45</v>
      </c>
      <c r="R1252" s="2">
        <v>7941</v>
      </c>
    </row>
    <row r="1253" spans="1:18" x14ac:dyDescent="0.25">
      <c r="A1253" s="1">
        <v>44943</v>
      </c>
      <c r="B1253" s="2" t="s">
        <v>35</v>
      </c>
      <c r="C1253" s="2" t="s">
        <v>41</v>
      </c>
      <c r="D1253">
        <v>18</v>
      </c>
      <c r="E1253">
        <v>108</v>
      </c>
      <c r="F1253" s="2" t="s">
        <v>51</v>
      </c>
      <c r="G1253" s="2" t="s">
        <v>20</v>
      </c>
      <c r="H1253">
        <v>0.05</v>
      </c>
      <c r="I1253" s="2" t="s">
        <v>42</v>
      </c>
      <c r="J1253" s="2" t="s">
        <v>22</v>
      </c>
      <c r="K1253">
        <v>0</v>
      </c>
      <c r="L1253" s="2" t="s">
        <v>2469</v>
      </c>
      <c r="M1253" s="2" t="s">
        <v>2470</v>
      </c>
      <c r="N1253">
        <v>10.72</v>
      </c>
      <c r="O1253" s="1">
        <v>44943</v>
      </c>
      <c r="P1253" s="1">
        <v>44950</v>
      </c>
      <c r="Q1253" s="2" t="s">
        <v>39</v>
      </c>
      <c r="R1253" s="2">
        <v>1847</v>
      </c>
    </row>
    <row r="1254" spans="1:18" x14ac:dyDescent="0.25">
      <c r="A1254" s="1">
        <v>45780</v>
      </c>
      <c r="B1254" s="2" t="s">
        <v>35</v>
      </c>
      <c r="C1254" s="2" t="s">
        <v>36</v>
      </c>
      <c r="D1254">
        <v>13</v>
      </c>
      <c r="E1254">
        <v>421</v>
      </c>
      <c r="F1254" s="2" t="s">
        <v>51</v>
      </c>
      <c r="G1254" s="2" t="s">
        <v>20</v>
      </c>
      <c r="H1254">
        <v>0.05</v>
      </c>
      <c r="I1254" s="2" t="s">
        <v>42</v>
      </c>
      <c r="J1254" s="2" t="s">
        <v>22</v>
      </c>
      <c r="K1254">
        <v>0</v>
      </c>
      <c r="L1254" s="2" t="s">
        <v>2471</v>
      </c>
      <c r="M1254" s="2" t="s">
        <v>2472</v>
      </c>
      <c r="N1254">
        <v>24.51</v>
      </c>
      <c r="O1254" s="1">
        <v>45780</v>
      </c>
      <c r="P1254" s="1">
        <v>45788</v>
      </c>
      <c r="Q1254" s="2" t="s">
        <v>39</v>
      </c>
      <c r="R1254" s="2">
        <v>5199</v>
      </c>
    </row>
    <row r="1255" spans="1:18" x14ac:dyDescent="0.25">
      <c r="A1255" s="1">
        <v>45662</v>
      </c>
      <c r="B1255" s="2" t="s">
        <v>35</v>
      </c>
      <c r="C1255" s="2" t="s">
        <v>126</v>
      </c>
      <c r="D1255">
        <v>17</v>
      </c>
      <c r="E1255">
        <v>6</v>
      </c>
      <c r="F1255" s="2" t="s">
        <v>28</v>
      </c>
      <c r="G1255" s="2" t="s">
        <v>20</v>
      </c>
      <c r="H1255">
        <v>0.15</v>
      </c>
      <c r="I1255" s="2" t="s">
        <v>21</v>
      </c>
      <c r="J1255" s="2" t="s">
        <v>22</v>
      </c>
      <c r="K1255">
        <v>0</v>
      </c>
      <c r="L1255" s="2" t="s">
        <v>2473</v>
      </c>
      <c r="M1255" s="2" t="s">
        <v>2474</v>
      </c>
      <c r="N1255">
        <v>44.85</v>
      </c>
      <c r="O1255" s="1">
        <v>45662</v>
      </c>
      <c r="P1255" s="1">
        <v>45670</v>
      </c>
      <c r="Q1255" s="2" t="s">
        <v>39</v>
      </c>
      <c r="R1255" s="2">
        <v>87</v>
      </c>
    </row>
    <row r="1256" spans="1:18" x14ac:dyDescent="0.25">
      <c r="A1256" s="1">
        <v>45342</v>
      </c>
      <c r="B1256" s="2" t="s">
        <v>17</v>
      </c>
      <c r="C1256" s="2" t="s">
        <v>27</v>
      </c>
      <c r="D1256">
        <v>4</v>
      </c>
      <c r="E1256">
        <v>453</v>
      </c>
      <c r="F1256" s="2" t="s">
        <v>19</v>
      </c>
      <c r="G1256" s="2" t="s">
        <v>29</v>
      </c>
      <c r="H1256">
        <v>0</v>
      </c>
      <c r="I1256" s="2" t="s">
        <v>52</v>
      </c>
      <c r="J1256" s="2" t="s">
        <v>56</v>
      </c>
      <c r="K1256">
        <v>0</v>
      </c>
      <c r="L1256" s="2" t="s">
        <v>2475</v>
      </c>
      <c r="M1256" s="2" t="s">
        <v>2476</v>
      </c>
      <c r="N1256">
        <v>32.01</v>
      </c>
      <c r="O1256" s="1">
        <v>45342</v>
      </c>
      <c r="P1256" s="1">
        <v>45352</v>
      </c>
      <c r="Q1256" s="2" t="s">
        <v>25</v>
      </c>
      <c r="R1256" s="2">
        <v>1812</v>
      </c>
    </row>
    <row r="1257" spans="1:18" x14ac:dyDescent="0.25">
      <c r="A1257" s="1">
        <v>45286</v>
      </c>
      <c r="B1257" s="2" t="s">
        <v>35</v>
      </c>
      <c r="C1257" s="2" t="s">
        <v>50</v>
      </c>
      <c r="D1257">
        <v>7</v>
      </c>
      <c r="E1257">
        <v>157</v>
      </c>
      <c r="F1257" s="2" t="s">
        <v>28</v>
      </c>
      <c r="G1257" s="2" t="s">
        <v>20</v>
      </c>
      <c r="H1257">
        <v>0.15</v>
      </c>
      <c r="I1257" s="2" t="s">
        <v>30</v>
      </c>
      <c r="J1257" s="2" t="s">
        <v>22</v>
      </c>
      <c r="K1257">
        <v>1</v>
      </c>
      <c r="L1257" s="2" t="s">
        <v>2477</v>
      </c>
      <c r="M1257" s="2" t="s">
        <v>865</v>
      </c>
      <c r="N1257">
        <v>39.72</v>
      </c>
      <c r="O1257" s="1">
        <v>45286</v>
      </c>
      <c r="P1257" s="1">
        <v>45295</v>
      </c>
      <c r="Q1257" s="2" t="s">
        <v>39</v>
      </c>
      <c r="R1257" s="2">
        <v>934</v>
      </c>
    </row>
    <row r="1258" spans="1:18" x14ac:dyDescent="0.25">
      <c r="A1258" s="1">
        <v>44992</v>
      </c>
      <c r="B1258" s="2" t="s">
        <v>35</v>
      </c>
      <c r="C1258" s="2" t="s">
        <v>126</v>
      </c>
      <c r="D1258">
        <v>11</v>
      </c>
      <c r="E1258">
        <v>551</v>
      </c>
      <c r="F1258" s="2" t="s">
        <v>46</v>
      </c>
      <c r="G1258" s="2" t="s">
        <v>29</v>
      </c>
      <c r="H1258">
        <v>0.1</v>
      </c>
      <c r="I1258" s="2" t="s">
        <v>62</v>
      </c>
      <c r="J1258" s="2" t="s">
        <v>22</v>
      </c>
      <c r="K1258">
        <v>0</v>
      </c>
      <c r="L1258" s="2" t="s">
        <v>2478</v>
      </c>
      <c r="M1258" s="2" t="s">
        <v>2479</v>
      </c>
      <c r="N1258">
        <v>21.82</v>
      </c>
      <c r="O1258" s="1">
        <v>44992</v>
      </c>
      <c r="P1258" s="1">
        <v>44997</v>
      </c>
      <c r="Q1258" s="2" t="s">
        <v>39</v>
      </c>
      <c r="R1258" s="2">
        <v>5455</v>
      </c>
    </row>
    <row r="1259" spans="1:18" x14ac:dyDescent="0.25">
      <c r="A1259" s="1">
        <v>45548</v>
      </c>
      <c r="B1259" s="2" t="s">
        <v>35</v>
      </c>
      <c r="C1259" s="2" t="s">
        <v>41</v>
      </c>
      <c r="D1259">
        <v>5</v>
      </c>
      <c r="E1259">
        <v>173</v>
      </c>
      <c r="F1259" s="2" t="s">
        <v>46</v>
      </c>
      <c r="G1259" s="2" t="s">
        <v>20</v>
      </c>
      <c r="H1259">
        <v>0.15</v>
      </c>
      <c r="I1259" s="2" t="s">
        <v>30</v>
      </c>
      <c r="J1259" s="2" t="s">
        <v>59</v>
      </c>
      <c r="K1259">
        <v>0</v>
      </c>
      <c r="L1259" s="2" t="s">
        <v>2480</v>
      </c>
      <c r="M1259" s="2" t="s">
        <v>2481</v>
      </c>
      <c r="N1259">
        <v>28.3</v>
      </c>
      <c r="O1259" s="1">
        <v>45548</v>
      </c>
      <c r="P1259" s="1">
        <v>45557</v>
      </c>
      <c r="Q1259" s="2" t="s">
        <v>39</v>
      </c>
      <c r="R1259" s="2">
        <v>735</v>
      </c>
    </row>
    <row r="1260" spans="1:18" x14ac:dyDescent="0.25">
      <c r="A1260" s="1">
        <v>45293</v>
      </c>
      <c r="B1260" s="2" t="s">
        <v>17</v>
      </c>
      <c r="C1260" s="2" t="s">
        <v>75</v>
      </c>
      <c r="D1260">
        <v>16</v>
      </c>
      <c r="E1260">
        <v>145</v>
      </c>
      <c r="F1260" s="2" t="s">
        <v>19</v>
      </c>
      <c r="G1260" s="2" t="s">
        <v>20</v>
      </c>
      <c r="H1260">
        <v>0</v>
      </c>
      <c r="I1260" s="2" t="s">
        <v>21</v>
      </c>
      <c r="J1260" s="2" t="s">
        <v>53</v>
      </c>
      <c r="K1260">
        <v>1</v>
      </c>
      <c r="L1260" s="2" t="s">
        <v>2482</v>
      </c>
      <c r="M1260" s="2" t="s">
        <v>2483</v>
      </c>
      <c r="N1260">
        <v>29.64</v>
      </c>
      <c r="O1260" s="1">
        <v>45293</v>
      </c>
      <c r="P1260" s="1">
        <v>45303</v>
      </c>
      <c r="Q1260" s="2" t="s">
        <v>25</v>
      </c>
      <c r="R1260" s="2">
        <v>2320</v>
      </c>
    </row>
    <row r="1261" spans="1:18" x14ac:dyDescent="0.25">
      <c r="A1261" s="1">
        <v>45696</v>
      </c>
      <c r="B1261" s="2" t="s">
        <v>26</v>
      </c>
      <c r="C1261" s="2" t="s">
        <v>126</v>
      </c>
      <c r="D1261">
        <v>10</v>
      </c>
      <c r="E1261">
        <v>67</v>
      </c>
      <c r="F1261" s="2" t="s">
        <v>46</v>
      </c>
      <c r="G1261" s="2" t="s">
        <v>29</v>
      </c>
      <c r="H1261">
        <v>0.1</v>
      </c>
      <c r="I1261" s="2" t="s">
        <v>52</v>
      </c>
      <c r="J1261" s="2" t="s">
        <v>31</v>
      </c>
      <c r="K1261">
        <v>1</v>
      </c>
      <c r="L1261" s="2" t="s">
        <v>2484</v>
      </c>
      <c r="M1261" s="2" t="s">
        <v>132</v>
      </c>
      <c r="N1261">
        <v>20.58</v>
      </c>
      <c r="O1261" s="1">
        <v>45696</v>
      </c>
      <c r="P1261" s="1">
        <v>45706</v>
      </c>
      <c r="Q1261" s="2" t="s">
        <v>34</v>
      </c>
      <c r="R1261" s="2">
        <v>603</v>
      </c>
    </row>
    <row r="1262" spans="1:18" x14ac:dyDescent="0.25">
      <c r="A1262" s="1">
        <v>45720</v>
      </c>
      <c r="B1262" s="2" t="s">
        <v>26</v>
      </c>
      <c r="C1262" s="2" t="s">
        <v>126</v>
      </c>
      <c r="D1262">
        <v>15</v>
      </c>
      <c r="E1262">
        <v>141</v>
      </c>
      <c r="F1262" s="2" t="s">
        <v>51</v>
      </c>
      <c r="G1262" s="2" t="s">
        <v>20</v>
      </c>
      <c r="H1262">
        <v>0</v>
      </c>
      <c r="I1262" s="2" t="s">
        <v>47</v>
      </c>
      <c r="J1262" s="2" t="s">
        <v>59</v>
      </c>
      <c r="K1262">
        <v>0</v>
      </c>
      <c r="L1262" s="2" t="s">
        <v>2485</v>
      </c>
      <c r="M1262" s="2" t="s">
        <v>2486</v>
      </c>
      <c r="N1262">
        <v>19.63</v>
      </c>
      <c r="O1262" s="1">
        <v>45720</v>
      </c>
      <c r="P1262" s="1">
        <v>45728</v>
      </c>
      <c r="Q1262" s="2" t="s">
        <v>34</v>
      </c>
      <c r="R1262" s="2">
        <v>2115</v>
      </c>
    </row>
    <row r="1263" spans="1:18" x14ac:dyDescent="0.25">
      <c r="A1263" s="1">
        <v>45363</v>
      </c>
      <c r="B1263" s="2" t="s">
        <v>40</v>
      </c>
      <c r="C1263" s="2" t="s">
        <v>75</v>
      </c>
      <c r="D1263">
        <v>1</v>
      </c>
      <c r="E1263">
        <v>535</v>
      </c>
      <c r="F1263" s="2" t="s">
        <v>51</v>
      </c>
      <c r="G1263" s="2" t="s">
        <v>29</v>
      </c>
      <c r="H1263">
        <v>0.05</v>
      </c>
      <c r="I1263" s="2" t="s">
        <v>42</v>
      </c>
      <c r="J1263" s="2" t="s">
        <v>22</v>
      </c>
      <c r="K1263">
        <v>0</v>
      </c>
      <c r="L1263" s="2" t="s">
        <v>2487</v>
      </c>
      <c r="M1263" s="2" t="s">
        <v>2488</v>
      </c>
      <c r="N1263">
        <v>22.68</v>
      </c>
      <c r="O1263" s="1">
        <v>45363</v>
      </c>
      <c r="P1263" s="1">
        <v>45372</v>
      </c>
      <c r="Q1263" s="2" t="s">
        <v>45</v>
      </c>
      <c r="R1263" s="2">
        <v>508</v>
      </c>
    </row>
    <row r="1264" spans="1:18" x14ac:dyDescent="0.25">
      <c r="A1264" s="1">
        <v>45476</v>
      </c>
      <c r="B1264" s="2" t="s">
        <v>17</v>
      </c>
      <c r="C1264" s="2" t="s">
        <v>27</v>
      </c>
      <c r="D1264">
        <v>9</v>
      </c>
      <c r="E1264">
        <v>560</v>
      </c>
      <c r="F1264" s="2" t="s">
        <v>51</v>
      </c>
      <c r="G1264" s="2" t="s">
        <v>29</v>
      </c>
      <c r="H1264">
        <v>0.05</v>
      </c>
      <c r="I1264" s="2" t="s">
        <v>47</v>
      </c>
      <c r="J1264" s="2" t="s">
        <v>31</v>
      </c>
      <c r="K1264">
        <v>0</v>
      </c>
      <c r="L1264" s="2" t="s">
        <v>2489</v>
      </c>
      <c r="M1264" s="2" t="s">
        <v>2490</v>
      </c>
      <c r="N1264">
        <v>22.81</v>
      </c>
      <c r="O1264" s="1">
        <v>45476</v>
      </c>
      <c r="P1264" s="1">
        <v>45480</v>
      </c>
      <c r="Q1264" s="2" t="s">
        <v>25</v>
      </c>
      <c r="R1264" s="2">
        <v>4788</v>
      </c>
    </row>
    <row r="1265" spans="1:18" x14ac:dyDescent="0.25">
      <c r="A1265" s="1">
        <v>45662</v>
      </c>
      <c r="B1265" s="2" t="s">
        <v>35</v>
      </c>
      <c r="C1265" s="2" t="s">
        <v>18</v>
      </c>
      <c r="D1265">
        <v>8</v>
      </c>
      <c r="E1265">
        <v>275</v>
      </c>
      <c r="F1265" s="2" t="s">
        <v>51</v>
      </c>
      <c r="G1265" s="2" t="s">
        <v>29</v>
      </c>
      <c r="H1265">
        <v>0.1</v>
      </c>
      <c r="I1265" s="2" t="s">
        <v>52</v>
      </c>
      <c r="J1265" s="2" t="s">
        <v>59</v>
      </c>
      <c r="K1265">
        <v>0</v>
      </c>
      <c r="L1265" s="2" t="s">
        <v>2491</v>
      </c>
      <c r="M1265" s="2" t="s">
        <v>2492</v>
      </c>
      <c r="N1265">
        <v>18.260000000000002</v>
      </c>
      <c r="O1265" s="1">
        <v>45662</v>
      </c>
      <c r="P1265" s="1">
        <v>45670</v>
      </c>
      <c r="Q1265" s="2" t="s">
        <v>39</v>
      </c>
      <c r="R1265" s="2">
        <v>1980</v>
      </c>
    </row>
    <row r="1266" spans="1:18" x14ac:dyDescent="0.25">
      <c r="A1266" s="1">
        <v>45372</v>
      </c>
      <c r="B1266" s="2" t="s">
        <v>17</v>
      </c>
      <c r="C1266" s="2" t="s">
        <v>27</v>
      </c>
      <c r="D1266">
        <v>3</v>
      </c>
      <c r="E1266">
        <v>106</v>
      </c>
      <c r="F1266" s="2" t="s">
        <v>51</v>
      </c>
      <c r="G1266" s="2" t="s">
        <v>29</v>
      </c>
      <c r="H1266">
        <v>0.05</v>
      </c>
      <c r="I1266" s="2" t="s">
        <v>62</v>
      </c>
      <c r="J1266" s="2" t="s">
        <v>56</v>
      </c>
      <c r="K1266">
        <v>1</v>
      </c>
      <c r="L1266" s="2" t="s">
        <v>2493</v>
      </c>
      <c r="M1266" s="2" t="s">
        <v>2494</v>
      </c>
      <c r="N1266">
        <v>12.12</v>
      </c>
      <c r="O1266" s="1">
        <v>45372</v>
      </c>
      <c r="P1266" s="1">
        <v>45379</v>
      </c>
      <c r="Q1266" s="2" t="s">
        <v>25</v>
      </c>
      <c r="R1266" s="2">
        <v>302</v>
      </c>
    </row>
    <row r="1267" spans="1:18" x14ac:dyDescent="0.25">
      <c r="A1267" s="1">
        <v>45744</v>
      </c>
      <c r="B1267" s="2" t="s">
        <v>40</v>
      </c>
      <c r="C1267" s="2" t="s">
        <v>50</v>
      </c>
      <c r="D1267">
        <v>15</v>
      </c>
      <c r="E1267">
        <v>569</v>
      </c>
      <c r="F1267" s="2" t="s">
        <v>51</v>
      </c>
      <c r="G1267" s="2" t="s">
        <v>29</v>
      </c>
      <c r="H1267">
        <v>0.1</v>
      </c>
      <c r="I1267" s="2" t="s">
        <v>42</v>
      </c>
      <c r="J1267" s="2" t="s">
        <v>31</v>
      </c>
      <c r="K1267">
        <v>0</v>
      </c>
      <c r="L1267" s="2" t="s">
        <v>2495</v>
      </c>
      <c r="M1267" s="2" t="s">
        <v>2496</v>
      </c>
      <c r="N1267">
        <v>8.5399999999999991</v>
      </c>
      <c r="O1267" s="1">
        <v>45744</v>
      </c>
      <c r="P1267" s="1">
        <v>45750</v>
      </c>
      <c r="Q1267" s="2" t="s">
        <v>45</v>
      </c>
      <c r="R1267" s="2">
        <v>7682</v>
      </c>
    </row>
    <row r="1268" spans="1:18" x14ac:dyDescent="0.25">
      <c r="A1268" s="1">
        <v>45760</v>
      </c>
      <c r="B1268" s="2" t="s">
        <v>40</v>
      </c>
      <c r="C1268" s="2" t="s">
        <v>18</v>
      </c>
      <c r="D1268">
        <v>20</v>
      </c>
      <c r="E1268">
        <v>190</v>
      </c>
      <c r="F1268" s="2" t="s">
        <v>19</v>
      </c>
      <c r="G1268" s="2" t="s">
        <v>29</v>
      </c>
      <c r="H1268">
        <v>0.1</v>
      </c>
      <c r="I1268" s="2" t="s">
        <v>62</v>
      </c>
      <c r="J1268" s="2" t="s">
        <v>31</v>
      </c>
      <c r="K1268">
        <v>0</v>
      </c>
      <c r="L1268" s="2" t="s">
        <v>2497</v>
      </c>
      <c r="M1268" s="2" t="s">
        <v>2498</v>
      </c>
      <c r="N1268">
        <v>49.93</v>
      </c>
      <c r="O1268" s="1">
        <v>45760</v>
      </c>
      <c r="P1268" s="1">
        <v>45765</v>
      </c>
      <c r="Q1268" s="2" t="s">
        <v>45</v>
      </c>
      <c r="R1268" s="2">
        <v>3420</v>
      </c>
    </row>
    <row r="1269" spans="1:18" x14ac:dyDescent="0.25">
      <c r="A1269" s="1">
        <v>45412</v>
      </c>
      <c r="B1269" s="2" t="s">
        <v>65</v>
      </c>
      <c r="C1269" s="2" t="s">
        <v>41</v>
      </c>
      <c r="D1269">
        <v>19</v>
      </c>
      <c r="E1269">
        <v>433</v>
      </c>
      <c r="F1269" s="2" t="s">
        <v>46</v>
      </c>
      <c r="G1269" s="2" t="s">
        <v>29</v>
      </c>
      <c r="H1269">
        <v>0.05</v>
      </c>
      <c r="I1269" s="2" t="s">
        <v>62</v>
      </c>
      <c r="J1269" s="2" t="s">
        <v>22</v>
      </c>
      <c r="K1269">
        <v>0</v>
      </c>
      <c r="L1269" s="2" t="s">
        <v>2499</v>
      </c>
      <c r="M1269" s="2" t="s">
        <v>2500</v>
      </c>
      <c r="N1269">
        <v>7.59</v>
      </c>
      <c r="O1269" s="1">
        <v>45412</v>
      </c>
      <c r="P1269" s="1">
        <v>45421</v>
      </c>
      <c r="Q1269" s="2" t="s">
        <v>68</v>
      </c>
      <c r="R1269" s="2">
        <v>7816</v>
      </c>
    </row>
    <row r="1270" spans="1:18" x14ac:dyDescent="0.25">
      <c r="A1270" s="1">
        <v>45703</v>
      </c>
      <c r="B1270" s="2" t="s">
        <v>26</v>
      </c>
      <c r="C1270" s="2" t="s">
        <v>27</v>
      </c>
      <c r="D1270">
        <v>1</v>
      </c>
      <c r="E1270">
        <v>93</v>
      </c>
      <c r="F1270" s="2" t="s">
        <v>46</v>
      </c>
      <c r="G1270" s="2" t="s">
        <v>20</v>
      </c>
      <c r="H1270">
        <v>0.15</v>
      </c>
      <c r="I1270" s="2" t="s">
        <v>21</v>
      </c>
      <c r="J1270" s="2" t="s">
        <v>56</v>
      </c>
      <c r="K1270">
        <v>0</v>
      </c>
      <c r="L1270" s="2" t="s">
        <v>2501</v>
      </c>
      <c r="M1270" s="2" t="s">
        <v>2502</v>
      </c>
      <c r="N1270">
        <v>48.46</v>
      </c>
      <c r="O1270" s="1">
        <v>45703</v>
      </c>
      <c r="P1270" s="1">
        <v>45707</v>
      </c>
      <c r="Q1270" s="2" t="s">
        <v>34</v>
      </c>
      <c r="R1270" s="2">
        <v>79</v>
      </c>
    </row>
    <row r="1271" spans="1:18" x14ac:dyDescent="0.25">
      <c r="A1271" s="1">
        <v>45706</v>
      </c>
      <c r="B1271" s="2" t="s">
        <v>65</v>
      </c>
      <c r="C1271" s="2" t="s">
        <v>18</v>
      </c>
      <c r="D1271">
        <v>1</v>
      </c>
      <c r="E1271">
        <v>263</v>
      </c>
      <c r="F1271" s="2" t="s">
        <v>51</v>
      </c>
      <c r="G1271" s="2" t="s">
        <v>20</v>
      </c>
      <c r="H1271">
        <v>0.1</v>
      </c>
      <c r="I1271" s="2" t="s">
        <v>21</v>
      </c>
      <c r="J1271" s="2" t="s">
        <v>53</v>
      </c>
      <c r="K1271">
        <v>0</v>
      </c>
      <c r="L1271" s="2" t="s">
        <v>2503</v>
      </c>
      <c r="M1271" s="2" t="s">
        <v>2504</v>
      </c>
      <c r="N1271">
        <v>36.28</v>
      </c>
      <c r="O1271" s="1">
        <v>45706</v>
      </c>
      <c r="P1271" s="1">
        <v>45711</v>
      </c>
      <c r="Q1271" s="2" t="s">
        <v>68</v>
      </c>
      <c r="R1271" s="2">
        <v>237</v>
      </c>
    </row>
    <row r="1272" spans="1:18" x14ac:dyDescent="0.25">
      <c r="A1272" s="1">
        <v>45177</v>
      </c>
      <c r="B1272" s="2" t="s">
        <v>65</v>
      </c>
      <c r="C1272" s="2" t="s">
        <v>27</v>
      </c>
      <c r="D1272">
        <v>11</v>
      </c>
      <c r="E1272">
        <v>359</v>
      </c>
      <c r="F1272" s="2" t="s">
        <v>19</v>
      </c>
      <c r="G1272" s="2" t="s">
        <v>20</v>
      </c>
      <c r="H1272">
        <v>0</v>
      </c>
      <c r="I1272" s="2" t="s">
        <v>42</v>
      </c>
      <c r="J1272" s="2" t="s">
        <v>53</v>
      </c>
      <c r="K1272">
        <v>0</v>
      </c>
      <c r="L1272" s="2" t="s">
        <v>2505</v>
      </c>
      <c r="M1272" s="2" t="s">
        <v>2506</v>
      </c>
      <c r="N1272">
        <v>29.19</v>
      </c>
      <c r="O1272" s="1">
        <v>45177</v>
      </c>
      <c r="P1272" s="1">
        <v>45179</v>
      </c>
      <c r="Q1272" s="2" t="s">
        <v>68</v>
      </c>
      <c r="R1272" s="2">
        <v>3949</v>
      </c>
    </row>
    <row r="1273" spans="1:18" x14ac:dyDescent="0.25">
      <c r="A1273" s="1">
        <v>45326</v>
      </c>
      <c r="B1273" s="2" t="s">
        <v>40</v>
      </c>
      <c r="C1273" s="2" t="s">
        <v>75</v>
      </c>
      <c r="D1273">
        <v>18</v>
      </c>
      <c r="E1273">
        <v>596</v>
      </c>
      <c r="F1273" s="2" t="s">
        <v>19</v>
      </c>
      <c r="G1273" s="2" t="s">
        <v>29</v>
      </c>
      <c r="H1273">
        <v>0</v>
      </c>
      <c r="I1273" s="2" t="s">
        <v>42</v>
      </c>
      <c r="J1273" s="2" t="s">
        <v>59</v>
      </c>
      <c r="K1273">
        <v>0</v>
      </c>
      <c r="L1273" s="2" t="s">
        <v>2507</v>
      </c>
      <c r="M1273" s="2" t="s">
        <v>2508</v>
      </c>
      <c r="N1273">
        <v>42.91</v>
      </c>
      <c r="O1273" s="1">
        <v>45326</v>
      </c>
      <c r="P1273" s="1">
        <v>45328</v>
      </c>
      <c r="Q1273" s="2" t="s">
        <v>45</v>
      </c>
      <c r="R1273" s="2">
        <v>10728</v>
      </c>
    </row>
    <row r="1274" spans="1:18" x14ac:dyDescent="0.25">
      <c r="A1274" s="1">
        <v>45621</v>
      </c>
      <c r="B1274" s="2" t="s">
        <v>35</v>
      </c>
      <c r="C1274" s="2" t="s">
        <v>50</v>
      </c>
      <c r="D1274">
        <v>14</v>
      </c>
      <c r="E1274">
        <v>574</v>
      </c>
      <c r="F1274" s="2" t="s">
        <v>51</v>
      </c>
      <c r="G1274" s="2" t="s">
        <v>20</v>
      </c>
      <c r="H1274">
        <v>0.15</v>
      </c>
      <c r="I1274" s="2" t="s">
        <v>52</v>
      </c>
      <c r="J1274" s="2" t="s">
        <v>53</v>
      </c>
      <c r="K1274">
        <v>0</v>
      </c>
      <c r="L1274" s="2" t="s">
        <v>2509</v>
      </c>
      <c r="M1274" s="2" t="s">
        <v>2510</v>
      </c>
      <c r="N1274">
        <v>12.07</v>
      </c>
      <c r="O1274" s="1">
        <v>45621</v>
      </c>
      <c r="P1274" s="1">
        <v>45631</v>
      </c>
      <c r="Q1274" s="2" t="s">
        <v>39</v>
      </c>
      <c r="R1274" s="2">
        <v>6831</v>
      </c>
    </row>
    <row r="1275" spans="1:18" x14ac:dyDescent="0.25">
      <c r="A1275" s="1">
        <v>45656</v>
      </c>
      <c r="B1275" s="2" t="s">
        <v>35</v>
      </c>
      <c r="C1275" s="2" t="s">
        <v>18</v>
      </c>
      <c r="D1275">
        <v>18</v>
      </c>
      <c r="E1275">
        <v>444</v>
      </c>
      <c r="F1275" s="2" t="s">
        <v>51</v>
      </c>
      <c r="G1275" s="2" t="s">
        <v>29</v>
      </c>
      <c r="H1275">
        <v>0</v>
      </c>
      <c r="I1275" s="2" t="s">
        <v>42</v>
      </c>
      <c r="J1275" s="2" t="s">
        <v>59</v>
      </c>
      <c r="K1275">
        <v>0</v>
      </c>
      <c r="L1275" s="2" t="s">
        <v>2511</v>
      </c>
      <c r="M1275" s="2" t="s">
        <v>2512</v>
      </c>
      <c r="N1275">
        <v>5.41</v>
      </c>
      <c r="O1275" s="1">
        <v>45656</v>
      </c>
      <c r="P1275" s="1">
        <v>45659</v>
      </c>
      <c r="Q1275" s="2" t="s">
        <v>39</v>
      </c>
      <c r="R1275" s="2">
        <v>7992</v>
      </c>
    </row>
    <row r="1276" spans="1:18" x14ac:dyDescent="0.25">
      <c r="A1276" s="1">
        <v>45174</v>
      </c>
      <c r="B1276" s="2" t="s">
        <v>65</v>
      </c>
      <c r="C1276" s="2" t="s">
        <v>75</v>
      </c>
      <c r="D1276">
        <v>19</v>
      </c>
      <c r="E1276">
        <v>431</v>
      </c>
      <c r="F1276" s="2" t="s">
        <v>28</v>
      </c>
      <c r="G1276" s="2" t="s">
        <v>29</v>
      </c>
      <c r="H1276">
        <v>0.1</v>
      </c>
      <c r="I1276" s="2" t="s">
        <v>21</v>
      </c>
      <c r="J1276" s="2" t="s">
        <v>31</v>
      </c>
      <c r="K1276">
        <v>0</v>
      </c>
      <c r="L1276" s="2" t="s">
        <v>2513</v>
      </c>
      <c r="M1276" s="2" t="s">
        <v>2514</v>
      </c>
      <c r="N1276">
        <v>49.23</v>
      </c>
      <c r="O1276" s="1">
        <v>45174</v>
      </c>
      <c r="P1276" s="1">
        <v>45179</v>
      </c>
      <c r="Q1276" s="2" t="s">
        <v>68</v>
      </c>
      <c r="R1276" s="2">
        <v>7370</v>
      </c>
    </row>
    <row r="1277" spans="1:18" x14ac:dyDescent="0.25">
      <c r="A1277" s="1">
        <v>45139</v>
      </c>
      <c r="B1277" s="2" t="s">
        <v>65</v>
      </c>
      <c r="C1277" s="2" t="s">
        <v>126</v>
      </c>
      <c r="D1277">
        <v>19</v>
      </c>
      <c r="E1277">
        <v>67</v>
      </c>
      <c r="F1277" s="2" t="s">
        <v>46</v>
      </c>
      <c r="G1277" s="2" t="s">
        <v>29</v>
      </c>
      <c r="H1277">
        <v>0</v>
      </c>
      <c r="I1277" s="2" t="s">
        <v>42</v>
      </c>
      <c r="J1277" s="2" t="s">
        <v>56</v>
      </c>
      <c r="K1277">
        <v>0</v>
      </c>
      <c r="L1277" s="2" t="s">
        <v>2515</v>
      </c>
      <c r="M1277" s="2" t="s">
        <v>2516</v>
      </c>
      <c r="N1277">
        <v>32.04</v>
      </c>
      <c r="O1277" s="1">
        <v>45139</v>
      </c>
      <c r="P1277" s="1">
        <v>45149</v>
      </c>
      <c r="Q1277" s="2" t="s">
        <v>68</v>
      </c>
      <c r="R1277" s="2">
        <v>1273</v>
      </c>
    </row>
    <row r="1278" spans="1:18" x14ac:dyDescent="0.25">
      <c r="A1278" s="1">
        <v>44932</v>
      </c>
      <c r="B1278" s="2" t="s">
        <v>40</v>
      </c>
      <c r="C1278" s="2" t="s">
        <v>75</v>
      </c>
      <c r="D1278">
        <v>11</v>
      </c>
      <c r="E1278">
        <v>26</v>
      </c>
      <c r="F1278" s="2" t="s">
        <v>46</v>
      </c>
      <c r="G1278" s="2" t="s">
        <v>29</v>
      </c>
      <c r="H1278">
        <v>0.15</v>
      </c>
      <c r="I1278" s="2" t="s">
        <v>47</v>
      </c>
      <c r="J1278" s="2" t="s">
        <v>53</v>
      </c>
      <c r="K1278">
        <v>0</v>
      </c>
      <c r="L1278" s="2" t="s">
        <v>2517</v>
      </c>
      <c r="M1278" s="2" t="s">
        <v>2518</v>
      </c>
      <c r="N1278">
        <v>30.12</v>
      </c>
      <c r="O1278" s="1">
        <v>44932</v>
      </c>
      <c r="P1278" s="1">
        <v>44934</v>
      </c>
      <c r="Q1278" s="2" t="s">
        <v>45</v>
      </c>
      <c r="R1278" s="2">
        <v>243</v>
      </c>
    </row>
    <row r="1279" spans="1:18" x14ac:dyDescent="0.25">
      <c r="A1279" s="1">
        <v>45779</v>
      </c>
      <c r="B1279" s="2" t="s">
        <v>40</v>
      </c>
      <c r="C1279" s="2" t="s">
        <v>27</v>
      </c>
      <c r="D1279">
        <v>4</v>
      </c>
      <c r="E1279">
        <v>369</v>
      </c>
      <c r="F1279" s="2" t="s">
        <v>51</v>
      </c>
      <c r="G1279" s="2" t="s">
        <v>20</v>
      </c>
      <c r="H1279">
        <v>0</v>
      </c>
      <c r="I1279" s="2" t="s">
        <v>52</v>
      </c>
      <c r="J1279" s="2" t="s">
        <v>31</v>
      </c>
      <c r="K1279">
        <v>0</v>
      </c>
      <c r="L1279" s="2" t="s">
        <v>2519</v>
      </c>
      <c r="M1279" s="2" t="s">
        <v>2520</v>
      </c>
      <c r="N1279">
        <v>48.57</v>
      </c>
      <c r="O1279" s="1">
        <v>45779</v>
      </c>
      <c r="P1279" s="1">
        <v>45783</v>
      </c>
      <c r="Q1279" s="2" t="s">
        <v>45</v>
      </c>
      <c r="R1279" s="2">
        <v>1476</v>
      </c>
    </row>
    <row r="1280" spans="1:18" x14ac:dyDescent="0.25">
      <c r="A1280" s="1">
        <v>45281</v>
      </c>
      <c r="B1280" s="2" t="s">
        <v>65</v>
      </c>
      <c r="C1280" s="2" t="s">
        <v>50</v>
      </c>
      <c r="D1280">
        <v>7</v>
      </c>
      <c r="E1280">
        <v>257</v>
      </c>
      <c r="F1280" s="2" t="s">
        <v>51</v>
      </c>
      <c r="G1280" s="2" t="s">
        <v>29</v>
      </c>
      <c r="H1280">
        <v>0.05</v>
      </c>
      <c r="I1280" s="2" t="s">
        <v>21</v>
      </c>
      <c r="J1280" s="2" t="s">
        <v>53</v>
      </c>
      <c r="K1280">
        <v>0</v>
      </c>
      <c r="L1280" s="2" t="s">
        <v>2521</v>
      </c>
      <c r="M1280" s="2" t="s">
        <v>2522</v>
      </c>
      <c r="N1280">
        <v>35.520000000000003</v>
      </c>
      <c r="O1280" s="1">
        <v>45281</v>
      </c>
      <c r="P1280" s="1">
        <v>45288</v>
      </c>
      <c r="Q1280" s="2" t="s">
        <v>68</v>
      </c>
      <c r="R1280" s="2">
        <v>1709</v>
      </c>
    </row>
    <row r="1281" spans="1:18" x14ac:dyDescent="0.25">
      <c r="A1281" s="1">
        <v>45545</v>
      </c>
      <c r="B1281" s="2" t="s">
        <v>17</v>
      </c>
      <c r="C1281" s="2" t="s">
        <v>18</v>
      </c>
      <c r="D1281">
        <v>14</v>
      </c>
      <c r="E1281">
        <v>86</v>
      </c>
      <c r="F1281" s="2" t="s">
        <v>19</v>
      </c>
      <c r="G1281" s="2" t="s">
        <v>20</v>
      </c>
      <c r="H1281">
        <v>0</v>
      </c>
      <c r="I1281" s="2" t="s">
        <v>42</v>
      </c>
      <c r="J1281" s="2" t="s">
        <v>31</v>
      </c>
      <c r="K1281">
        <v>0</v>
      </c>
      <c r="L1281" s="2" t="s">
        <v>2523</v>
      </c>
      <c r="M1281" s="2" t="s">
        <v>2524</v>
      </c>
      <c r="N1281">
        <v>16.079999999999998</v>
      </c>
      <c r="O1281" s="1">
        <v>45545</v>
      </c>
      <c r="P1281" s="1">
        <v>45549</v>
      </c>
      <c r="Q1281" s="2" t="s">
        <v>25</v>
      </c>
      <c r="R1281" s="2">
        <v>1204</v>
      </c>
    </row>
    <row r="1282" spans="1:18" x14ac:dyDescent="0.25">
      <c r="A1282" s="1">
        <v>45387</v>
      </c>
      <c r="B1282" s="2" t="s">
        <v>40</v>
      </c>
      <c r="C1282" s="2" t="s">
        <v>41</v>
      </c>
      <c r="D1282">
        <v>9</v>
      </c>
      <c r="E1282">
        <v>268</v>
      </c>
      <c r="F1282" s="2" t="s">
        <v>51</v>
      </c>
      <c r="G1282" s="2" t="s">
        <v>29</v>
      </c>
      <c r="H1282">
        <v>0.15</v>
      </c>
      <c r="I1282" s="2" t="s">
        <v>21</v>
      </c>
      <c r="J1282" s="2" t="s">
        <v>53</v>
      </c>
      <c r="K1282">
        <v>0</v>
      </c>
      <c r="L1282" s="2" t="s">
        <v>2525</v>
      </c>
      <c r="M1282" s="2" t="s">
        <v>2526</v>
      </c>
      <c r="N1282">
        <v>8.48</v>
      </c>
      <c r="O1282" s="1">
        <v>45387</v>
      </c>
      <c r="P1282" s="1">
        <v>45392</v>
      </c>
      <c r="Q1282" s="2" t="s">
        <v>45</v>
      </c>
      <c r="R1282" s="2">
        <v>2050</v>
      </c>
    </row>
    <row r="1283" spans="1:18" x14ac:dyDescent="0.25">
      <c r="A1283" s="1">
        <v>45133</v>
      </c>
      <c r="B1283" s="2" t="s">
        <v>17</v>
      </c>
      <c r="C1283" s="2" t="s">
        <v>36</v>
      </c>
      <c r="D1283">
        <v>15</v>
      </c>
      <c r="E1283">
        <v>262</v>
      </c>
      <c r="F1283" s="2" t="s">
        <v>51</v>
      </c>
      <c r="G1283" s="2" t="s">
        <v>20</v>
      </c>
      <c r="H1283">
        <v>0.15</v>
      </c>
      <c r="I1283" s="2" t="s">
        <v>52</v>
      </c>
      <c r="J1283" s="2" t="s">
        <v>22</v>
      </c>
      <c r="K1283">
        <v>0</v>
      </c>
      <c r="L1283" s="2" t="s">
        <v>2527</v>
      </c>
      <c r="M1283" s="2" t="s">
        <v>2528</v>
      </c>
      <c r="N1283">
        <v>40.68</v>
      </c>
      <c r="O1283" s="1">
        <v>45133</v>
      </c>
      <c r="P1283" s="1">
        <v>45138</v>
      </c>
      <c r="Q1283" s="2" t="s">
        <v>25</v>
      </c>
      <c r="R1283" s="2">
        <v>3340</v>
      </c>
    </row>
    <row r="1284" spans="1:18" x14ac:dyDescent="0.25">
      <c r="A1284" s="1">
        <v>45242</v>
      </c>
      <c r="B1284" s="2" t="s">
        <v>17</v>
      </c>
      <c r="C1284" s="2" t="s">
        <v>126</v>
      </c>
      <c r="D1284">
        <v>11</v>
      </c>
      <c r="E1284">
        <v>200</v>
      </c>
      <c r="F1284" s="2" t="s">
        <v>28</v>
      </c>
      <c r="G1284" s="2" t="s">
        <v>29</v>
      </c>
      <c r="H1284">
        <v>0.05</v>
      </c>
      <c r="I1284" s="2" t="s">
        <v>62</v>
      </c>
      <c r="J1284" s="2" t="s">
        <v>56</v>
      </c>
      <c r="K1284">
        <v>0</v>
      </c>
      <c r="L1284" s="2" t="s">
        <v>2529</v>
      </c>
      <c r="M1284" s="2" t="s">
        <v>2486</v>
      </c>
      <c r="N1284">
        <v>48.94</v>
      </c>
      <c r="O1284" s="1">
        <v>45242</v>
      </c>
      <c r="P1284" s="1">
        <v>45244</v>
      </c>
      <c r="Q1284" s="2" t="s">
        <v>25</v>
      </c>
      <c r="R1284" s="2">
        <v>2090</v>
      </c>
    </row>
    <row r="1285" spans="1:18" x14ac:dyDescent="0.25">
      <c r="A1285" s="1">
        <v>45765</v>
      </c>
      <c r="B1285" s="2" t="s">
        <v>40</v>
      </c>
      <c r="C1285" s="2" t="s">
        <v>27</v>
      </c>
      <c r="D1285">
        <v>5</v>
      </c>
      <c r="E1285">
        <v>505</v>
      </c>
      <c r="F1285" s="2" t="s">
        <v>46</v>
      </c>
      <c r="G1285" s="2" t="s">
        <v>29</v>
      </c>
      <c r="H1285">
        <v>0.05</v>
      </c>
      <c r="I1285" s="2" t="s">
        <v>52</v>
      </c>
      <c r="J1285" s="2" t="s">
        <v>31</v>
      </c>
      <c r="K1285">
        <v>0</v>
      </c>
      <c r="L1285" s="2" t="s">
        <v>2530</v>
      </c>
      <c r="M1285" s="2" t="s">
        <v>2531</v>
      </c>
      <c r="N1285">
        <v>22.12</v>
      </c>
      <c r="O1285" s="1">
        <v>45765</v>
      </c>
      <c r="P1285" s="1">
        <v>45767</v>
      </c>
      <c r="Q1285" s="2" t="s">
        <v>45</v>
      </c>
      <c r="R1285" s="2">
        <v>2399</v>
      </c>
    </row>
    <row r="1286" spans="1:18" x14ac:dyDescent="0.25">
      <c r="A1286" s="1">
        <v>45150</v>
      </c>
      <c r="B1286" s="2" t="s">
        <v>26</v>
      </c>
      <c r="C1286" s="2" t="s">
        <v>41</v>
      </c>
      <c r="D1286">
        <v>8</v>
      </c>
      <c r="E1286">
        <v>28</v>
      </c>
      <c r="F1286" s="2" t="s">
        <v>46</v>
      </c>
      <c r="G1286" s="2" t="s">
        <v>20</v>
      </c>
      <c r="H1286">
        <v>0.05</v>
      </c>
      <c r="I1286" s="2" t="s">
        <v>30</v>
      </c>
      <c r="J1286" s="2" t="s">
        <v>59</v>
      </c>
      <c r="K1286">
        <v>1</v>
      </c>
      <c r="L1286" s="2" t="s">
        <v>2532</v>
      </c>
      <c r="M1286" s="2" t="s">
        <v>2533</v>
      </c>
      <c r="N1286">
        <v>23.19</v>
      </c>
      <c r="O1286" s="1">
        <v>45150</v>
      </c>
      <c r="P1286" s="1">
        <v>45157</v>
      </c>
      <c r="Q1286" s="2" t="s">
        <v>34</v>
      </c>
      <c r="R1286" s="2">
        <v>213</v>
      </c>
    </row>
    <row r="1287" spans="1:18" x14ac:dyDescent="0.25">
      <c r="A1287" s="1">
        <v>45638</v>
      </c>
      <c r="B1287" s="2" t="s">
        <v>65</v>
      </c>
      <c r="C1287" s="2" t="s">
        <v>126</v>
      </c>
      <c r="D1287">
        <v>17</v>
      </c>
      <c r="E1287">
        <v>495</v>
      </c>
      <c r="F1287" s="2" t="s">
        <v>51</v>
      </c>
      <c r="G1287" s="2" t="s">
        <v>20</v>
      </c>
      <c r="H1287">
        <v>0.1</v>
      </c>
      <c r="I1287" s="2" t="s">
        <v>30</v>
      </c>
      <c r="J1287" s="2" t="s">
        <v>22</v>
      </c>
      <c r="K1287">
        <v>1</v>
      </c>
      <c r="L1287" s="2" t="s">
        <v>2534</v>
      </c>
      <c r="M1287" s="2" t="s">
        <v>2535</v>
      </c>
      <c r="N1287">
        <v>26.37</v>
      </c>
      <c r="O1287" s="1">
        <v>45638</v>
      </c>
      <c r="P1287" s="1">
        <v>45647</v>
      </c>
      <c r="Q1287" s="2" t="s">
        <v>68</v>
      </c>
      <c r="R1287" s="2">
        <v>7574</v>
      </c>
    </row>
    <row r="1288" spans="1:18" x14ac:dyDescent="0.25">
      <c r="A1288" s="1">
        <v>45784</v>
      </c>
      <c r="B1288" s="2" t="s">
        <v>65</v>
      </c>
      <c r="C1288" s="2" t="s">
        <v>27</v>
      </c>
      <c r="D1288">
        <v>14</v>
      </c>
      <c r="E1288">
        <v>142</v>
      </c>
      <c r="F1288" s="2" t="s">
        <v>51</v>
      </c>
      <c r="G1288" s="2" t="s">
        <v>29</v>
      </c>
      <c r="H1288">
        <v>0.05</v>
      </c>
      <c r="I1288" s="2" t="s">
        <v>42</v>
      </c>
      <c r="J1288" s="2" t="s">
        <v>31</v>
      </c>
      <c r="K1288">
        <v>0</v>
      </c>
      <c r="L1288" s="2" t="s">
        <v>2536</v>
      </c>
      <c r="M1288" s="2" t="s">
        <v>2537</v>
      </c>
      <c r="N1288">
        <v>33.65</v>
      </c>
      <c r="O1288" s="1">
        <v>45784</v>
      </c>
      <c r="P1288" s="1">
        <v>45790</v>
      </c>
      <c r="Q1288" s="2" t="s">
        <v>68</v>
      </c>
      <c r="R1288" s="2">
        <v>1889</v>
      </c>
    </row>
    <row r="1289" spans="1:18" x14ac:dyDescent="0.25">
      <c r="A1289" s="1">
        <v>45726</v>
      </c>
      <c r="B1289" s="2" t="s">
        <v>17</v>
      </c>
      <c r="C1289" s="2" t="s">
        <v>41</v>
      </c>
      <c r="D1289">
        <v>16</v>
      </c>
      <c r="E1289">
        <v>504</v>
      </c>
      <c r="F1289" s="2" t="s">
        <v>51</v>
      </c>
      <c r="G1289" s="2" t="s">
        <v>20</v>
      </c>
      <c r="H1289">
        <v>0</v>
      </c>
      <c r="I1289" s="2" t="s">
        <v>62</v>
      </c>
      <c r="J1289" s="2" t="s">
        <v>56</v>
      </c>
      <c r="K1289">
        <v>1</v>
      </c>
      <c r="L1289" s="2" t="s">
        <v>2538</v>
      </c>
      <c r="M1289" s="2" t="s">
        <v>556</v>
      </c>
      <c r="N1289">
        <v>11.67</v>
      </c>
      <c r="O1289" s="1">
        <v>45726</v>
      </c>
      <c r="P1289" s="1">
        <v>45729</v>
      </c>
      <c r="Q1289" s="2" t="s">
        <v>25</v>
      </c>
      <c r="R1289" s="2">
        <v>8064</v>
      </c>
    </row>
    <row r="1290" spans="1:18" x14ac:dyDescent="0.25">
      <c r="A1290" s="1">
        <v>45809</v>
      </c>
      <c r="B1290" s="2" t="s">
        <v>17</v>
      </c>
      <c r="C1290" s="2" t="s">
        <v>36</v>
      </c>
      <c r="D1290">
        <v>7</v>
      </c>
      <c r="E1290">
        <v>122</v>
      </c>
      <c r="F1290" s="2" t="s">
        <v>19</v>
      </c>
      <c r="G1290" s="2" t="s">
        <v>29</v>
      </c>
      <c r="H1290">
        <v>0</v>
      </c>
      <c r="I1290" s="2" t="s">
        <v>47</v>
      </c>
      <c r="J1290" s="2" t="s">
        <v>53</v>
      </c>
      <c r="K1290">
        <v>0</v>
      </c>
      <c r="L1290" s="2" t="s">
        <v>2539</v>
      </c>
      <c r="M1290" s="2" t="s">
        <v>2540</v>
      </c>
      <c r="N1290">
        <v>30.21</v>
      </c>
      <c r="O1290" s="1">
        <v>45809</v>
      </c>
      <c r="P1290" s="1">
        <v>45818</v>
      </c>
      <c r="Q1290" s="2" t="s">
        <v>25</v>
      </c>
      <c r="R1290" s="2">
        <v>854</v>
      </c>
    </row>
    <row r="1291" spans="1:18" x14ac:dyDescent="0.25">
      <c r="A1291" s="1">
        <v>45796</v>
      </c>
      <c r="B1291" s="2" t="s">
        <v>65</v>
      </c>
      <c r="C1291" s="2" t="s">
        <v>41</v>
      </c>
      <c r="D1291">
        <v>7</v>
      </c>
      <c r="E1291">
        <v>338</v>
      </c>
      <c r="F1291" s="2" t="s">
        <v>19</v>
      </c>
      <c r="G1291" s="2" t="s">
        <v>29</v>
      </c>
      <c r="H1291">
        <v>0.15</v>
      </c>
      <c r="I1291" s="2" t="s">
        <v>30</v>
      </c>
      <c r="J1291" s="2" t="s">
        <v>22</v>
      </c>
      <c r="K1291">
        <v>0</v>
      </c>
      <c r="L1291" s="2" t="s">
        <v>2541</v>
      </c>
      <c r="M1291" s="2" t="s">
        <v>2542</v>
      </c>
      <c r="N1291">
        <v>5.82</v>
      </c>
      <c r="O1291" s="1">
        <v>45796</v>
      </c>
      <c r="P1291" s="1">
        <v>45798</v>
      </c>
      <c r="Q1291" s="2" t="s">
        <v>68</v>
      </c>
      <c r="R1291" s="2">
        <v>2011</v>
      </c>
    </row>
    <row r="1292" spans="1:18" x14ac:dyDescent="0.25">
      <c r="A1292" s="1">
        <v>44965</v>
      </c>
      <c r="B1292" s="2" t="s">
        <v>17</v>
      </c>
      <c r="C1292" s="2" t="s">
        <v>75</v>
      </c>
      <c r="D1292">
        <v>4</v>
      </c>
      <c r="E1292">
        <v>225</v>
      </c>
      <c r="F1292" s="2" t="s">
        <v>51</v>
      </c>
      <c r="G1292" s="2" t="s">
        <v>20</v>
      </c>
      <c r="H1292">
        <v>0</v>
      </c>
      <c r="I1292" s="2" t="s">
        <v>42</v>
      </c>
      <c r="J1292" s="2" t="s">
        <v>56</v>
      </c>
      <c r="K1292">
        <v>0</v>
      </c>
      <c r="L1292" s="2" t="s">
        <v>2543</v>
      </c>
      <c r="M1292" s="2" t="s">
        <v>2544</v>
      </c>
      <c r="N1292">
        <v>43.86</v>
      </c>
      <c r="O1292" s="1">
        <v>44965</v>
      </c>
      <c r="P1292" s="1">
        <v>44973</v>
      </c>
      <c r="Q1292" s="2" t="s">
        <v>25</v>
      </c>
      <c r="R1292" s="2">
        <v>900</v>
      </c>
    </row>
    <row r="1293" spans="1:18" x14ac:dyDescent="0.25">
      <c r="A1293" s="1">
        <v>45771</v>
      </c>
      <c r="B1293" s="2" t="s">
        <v>40</v>
      </c>
      <c r="C1293" s="2" t="s">
        <v>36</v>
      </c>
      <c r="D1293">
        <v>16</v>
      </c>
      <c r="E1293">
        <v>510</v>
      </c>
      <c r="F1293" s="2" t="s">
        <v>46</v>
      </c>
      <c r="G1293" s="2" t="s">
        <v>20</v>
      </c>
      <c r="H1293">
        <v>0.1</v>
      </c>
      <c r="I1293" s="2" t="s">
        <v>47</v>
      </c>
      <c r="J1293" s="2" t="s">
        <v>59</v>
      </c>
      <c r="K1293">
        <v>0</v>
      </c>
      <c r="L1293" s="2" t="s">
        <v>2545</v>
      </c>
      <c r="M1293" s="2" t="s">
        <v>2546</v>
      </c>
      <c r="N1293">
        <v>41.78</v>
      </c>
      <c r="O1293" s="1">
        <v>45771</v>
      </c>
      <c r="P1293" s="1">
        <v>45780</v>
      </c>
      <c r="Q1293" s="2" t="s">
        <v>45</v>
      </c>
      <c r="R1293" s="2">
        <v>7344</v>
      </c>
    </row>
    <row r="1294" spans="1:18" x14ac:dyDescent="0.25">
      <c r="A1294" s="1">
        <v>45536</v>
      </c>
      <c r="B1294" s="2" t="s">
        <v>35</v>
      </c>
      <c r="C1294" s="2" t="s">
        <v>75</v>
      </c>
      <c r="D1294">
        <v>14</v>
      </c>
      <c r="E1294">
        <v>298</v>
      </c>
      <c r="F1294" s="2" t="s">
        <v>19</v>
      </c>
      <c r="G1294" s="2" t="s">
        <v>20</v>
      </c>
      <c r="H1294">
        <v>0.1</v>
      </c>
      <c r="I1294" s="2" t="s">
        <v>52</v>
      </c>
      <c r="J1294" s="2" t="s">
        <v>56</v>
      </c>
      <c r="K1294">
        <v>0</v>
      </c>
      <c r="L1294" s="2" t="s">
        <v>2547</v>
      </c>
      <c r="M1294" s="2" t="s">
        <v>2548</v>
      </c>
      <c r="N1294">
        <v>31.44</v>
      </c>
      <c r="O1294" s="1">
        <v>45536</v>
      </c>
      <c r="P1294" s="1">
        <v>45543</v>
      </c>
      <c r="Q1294" s="2" t="s">
        <v>39</v>
      </c>
      <c r="R1294" s="2">
        <v>3755</v>
      </c>
    </row>
    <row r="1295" spans="1:18" x14ac:dyDescent="0.25">
      <c r="A1295" s="1">
        <v>45603</v>
      </c>
      <c r="B1295" s="2" t="s">
        <v>40</v>
      </c>
      <c r="C1295" s="2" t="s">
        <v>126</v>
      </c>
      <c r="D1295">
        <v>13</v>
      </c>
      <c r="E1295">
        <v>365</v>
      </c>
      <c r="F1295" s="2" t="s">
        <v>46</v>
      </c>
      <c r="G1295" s="2" t="s">
        <v>29</v>
      </c>
      <c r="H1295">
        <v>0.05</v>
      </c>
      <c r="I1295" s="2" t="s">
        <v>52</v>
      </c>
      <c r="J1295" s="2" t="s">
        <v>22</v>
      </c>
      <c r="K1295">
        <v>0</v>
      </c>
      <c r="L1295" s="2" t="s">
        <v>2549</v>
      </c>
      <c r="M1295" s="2" t="s">
        <v>2550</v>
      </c>
      <c r="N1295">
        <v>13.97</v>
      </c>
      <c r="O1295" s="1">
        <v>45603</v>
      </c>
      <c r="P1295" s="1">
        <v>45609</v>
      </c>
      <c r="Q1295" s="2" t="s">
        <v>45</v>
      </c>
      <c r="R1295" s="2">
        <v>4508</v>
      </c>
    </row>
    <row r="1296" spans="1:18" x14ac:dyDescent="0.25">
      <c r="A1296" s="1">
        <v>45625</v>
      </c>
      <c r="B1296" s="2" t="s">
        <v>17</v>
      </c>
      <c r="C1296" s="2" t="s">
        <v>41</v>
      </c>
      <c r="D1296">
        <v>1</v>
      </c>
      <c r="E1296">
        <v>139</v>
      </c>
      <c r="F1296" s="2" t="s">
        <v>46</v>
      </c>
      <c r="G1296" s="2" t="s">
        <v>20</v>
      </c>
      <c r="H1296">
        <v>0</v>
      </c>
      <c r="I1296" s="2" t="s">
        <v>47</v>
      </c>
      <c r="J1296" s="2" t="s">
        <v>59</v>
      </c>
      <c r="K1296">
        <v>1</v>
      </c>
      <c r="L1296" s="2" t="s">
        <v>2551</v>
      </c>
      <c r="M1296" s="2" t="s">
        <v>2552</v>
      </c>
      <c r="N1296">
        <v>35.92</v>
      </c>
      <c r="O1296" s="1">
        <v>45625</v>
      </c>
      <c r="P1296" s="1">
        <v>45628</v>
      </c>
      <c r="Q1296" s="2" t="s">
        <v>25</v>
      </c>
      <c r="R1296" s="2">
        <v>139</v>
      </c>
    </row>
    <row r="1297" spans="1:18" x14ac:dyDescent="0.25">
      <c r="A1297" s="1">
        <v>45026</v>
      </c>
      <c r="B1297" s="2" t="s">
        <v>65</v>
      </c>
      <c r="C1297" s="2" t="s">
        <v>41</v>
      </c>
      <c r="D1297">
        <v>6</v>
      </c>
      <c r="E1297">
        <v>544</v>
      </c>
      <c r="F1297" s="2" t="s">
        <v>46</v>
      </c>
      <c r="G1297" s="2" t="s">
        <v>29</v>
      </c>
      <c r="H1297">
        <v>0</v>
      </c>
      <c r="I1297" s="2" t="s">
        <v>62</v>
      </c>
      <c r="J1297" s="2" t="s">
        <v>59</v>
      </c>
      <c r="K1297">
        <v>1</v>
      </c>
      <c r="L1297" s="2" t="s">
        <v>2553</v>
      </c>
      <c r="M1297" s="2" t="s">
        <v>2554</v>
      </c>
      <c r="N1297">
        <v>13.19</v>
      </c>
      <c r="O1297" s="1">
        <v>45026</v>
      </c>
      <c r="P1297" s="1">
        <v>45036</v>
      </c>
      <c r="Q1297" s="2" t="s">
        <v>68</v>
      </c>
      <c r="R1297" s="2">
        <v>3264</v>
      </c>
    </row>
    <row r="1298" spans="1:18" x14ac:dyDescent="0.25">
      <c r="A1298" s="1">
        <v>45301</v>
      </c>
      <c r="B1298" s="2" t="s">
        <v>35</v>
      </c>
      <c r="C1298" s="2" t="s">
        <v>126</v>
      </c>
      <c r="D1298">
        <v>19</v>
      </c>
      <c r="E1298">
        <v>220</v>
      </c>
      <c r="F1298" s="2" t="s">
        <v>28</v>
      </c>
      <c r="G1298" s="2" t="s">
        <v>29</v>
      </c>
      <c r="H1298">
        <v>0</v>
      </c>
      <c r="I1298" s="2" t="s">
        <v>30</v>
      </c>
      <c r="J1298" s="2" t="s">
        <v>59</v>
      </c>
      <c r="K1298">
        <v>0</v>
      </c>
      <c r="L1298" s="2" t="s">
        <v>2555</v>
      </c>
      <c r="M1298" s="2" t="s">
        <v>2556</v>
      </c>
      <c r="N1298">
        <v>15.38</v>
      </c>
      <c r="O1298" s="1">
        <v>45301</v>
      </c>
      <c r="P1298" s="1">
        <v>45307</v>
      </c>
      <c r="Q1298" s="2" t="s">
        <v>39</v>
      </c>
      <c r="R1298" s="2">
        <v>4180</v>
      </c>
    </row>
    <row r="1299" spans="1:18" x14ac:dyDescent="0.25">
      <c r="A1299" s="1">
        <v>45794</v>
      </c>
      <c r="B1299" s="2" t="s">
        <v>26</v>
      </c>
      <c r="C1299" s="2" t="s">
        <v>27</v>
      </c>
      <c r="D1299">
        <v>6</v>
      </c>
      <c r="E1299">
        <v>94</v>
      </c>
      <c r="F1299" s="2" t="s">
        <v>46</v>
      </c>
      <c r="G1299" s="2" t="s">
        <v>29</v>
      </c>
      <c r="H1299">
        <v>0.05</v>
      </c>
      <c r="I1299" s="2" t="s">
        <v>30</v>
      </c>
      <c r="J1299" s="2" t="s">
        <v>59</v>
      </c>
      <c r="K1299">
        <v>1</v>
      </c>
      <c r="L1299" s="2" t="s">
        <v>2557</v>
      </c>
      <c r="M1299" s="2" t="s">
        <v>2558</v>
      </c>
      <c r="N1299">
        <v>49.26</v>
      </c>
      <c r="O1299" s="1">
        <v>45794</v>
      </c>
      <c r="P1299" s="1">
        <v>45800</v>
      </c>
      <c r="Q1299" s="2" t="s">
        <v>34</v>
      </c>
      <c r="R1299" s="2">
        <v>536</v>
      </c>
    </row>
    <row r="1300" spans="1:18" x14ac:dyDescent="0.25">
      <c r="A1300" s="1">
        <v>45499</v>
      </c>
      <c r="B1300" s="2" t="s">
        <v>40</v>
      </c>
      <c r="C1300" s="2" t="s">
        <v>18</v>
      </c>
      <c r="D1300">
        <v>9</v>
      </c>
      <c r="E1300">
        <v>487</v>
      </c>
      <c r="F1300" s="2" t="s">
        <v>28</v>
      </c>
      <c r="G1300" s="2" t="s">
        <v>29</v>
      </c>
      <c r="H1300">
        <v>0.15</v>
      </c>
      <c r="I1300" s="2" t="s">
        <v>30</v>
      </c>
      <c r="J1300" s="2" t="s">
        <v>22</v>
      </c>
      <c r="K1300">
        <v>0</v>
      </c>
      <c r="L1300" s="2" t="s">
        <v>2559</v>
      </c>
      <c r="M1300" s="2" t="s">
        <v>2560</v>
      </c>
      <c r="N1300">
        <v>38.72</v>
      </c>
      <c r="O1300" s="1">
        <v>45499</v>
      </c>
      <c r="P1300" s="1">
        <v>45503</v>
      </c>
      <c r="Q1300" s="2" t="s">
        <v>45</v>
      </c>
      <c r="R1300" s="2">
        <v>3726</v>
      </c>
    </row>
    <row r="1301" spans="1:18" x14ac:dyDescent="0.25">
      <c r="A1301" s="1">
        <v>45652</v>
      </c>
      <c r="B1301" s="2" t="s">
        <v>26</v>
      </c>
      <c r="C1301" s="2" t="s">
        <v>36</v>
      </c>
      <c r="D1301">
        <v>12</v>
      </c>
      <c r="E1301">
        <v>579</v>
      </c>
      <c r="F1301" s="2" t="s">
        <v>51</v>
      </c>
      <c r="G1301" s="2" t="s">
        <v>29</v>
      </c>
      <c r="H1301">
        <v>0.15</v>
      </c>
      <c r="I1301" s="2" t="s">
        <v>42</v>
      </c>
      <c r="J1301" s="2" t="s">
        <v>59</v>
      </c>
      <c r="K1301">
        <v>0</v>
      </c>
      <c r="L1301" s="2" t="s">
        <v>2561</v>
      </c>
      <c r="M1301" s="2" t="s">
        <v>2562</v>
      </c>
      <c r="N1301">
        <v>25.84</v>
      </c>
      <c r="O1301" s="1">
        <v>45652</v>
      </c>
      <c r="P1301" s="1">
        <v>45660</v>
      </c>
      <c r="Q1301" s="2" t="s">
        <v>34</v>
      </c>
      <c r="R1301" s="2">
        <v>5906</v>
      </c>
    </row>
    <row r="1302" spans="1:18" x14ac:dyDescent="0.25">
      <c r="A1302" s="1">
        <v>45680</v>
      </c>
      <c r="B1302" s="2" t="s">
        <v>17</v>
      </c>
      <c r="C1302" s="2" t="s">
        <v>75</v>
      </c>
      <c r="D1302">
        <v>7</v>
      </c>
      <c r="E1302">
        <v>197</v>
      </c>
      <c r="F1302" s="2" t="s">
        <v>46</v>
      </c>
      <c r="G1302" s="2" t="s">
        <v>29</v>
      </c>
      <c r="H1302">
        <v>0</v>
      </c>
      <c r="I1302" s="2" t="s">
        <v>52</v>
      </c>
      <c r="J1302" s="2" t="s">
        <v>56</v>
      </c>
      <c r="K1302">
        <v>0</v>
      </c>
      <c r="L1302" s="2" t="s">
        <v>2563</v>
      </c>
      <c r="M1302" s="2" t="s">
        <v>1111</v>
      </c>
      <c r="N1302">
        <v>44.92</v>
      </c>
      <c r="O1302" s="1">
        <v>45680</v>
      </c>
      <c r="P1302" s="1">
        <v>45688</v>
      </c>
      <c r="Q1302" s="2" t="s">
        <v>25</v>
      </c>
      <c r="R1302" s="2">
        <v>1379</v>
      </c>
    </row>
    <row r="1303" spans="1:18" x14ac:dyDescent="0.25">
      <c r="A1303" s="1">
        <v>45376</v>
      </c>
      <c r="B1303" s="2" t="s">
        <v>26</v>
      </c>
      <c r="C1303" s="2" t="s">
        <v>27</v>
      </c>
      <c r="D1303">
        <v>7</v>
      </c>
      <c r="E1303">
        <v>446</v>
      </c>
      <c r="F1303" s="2" t="s">
        <v>19</v>
      </c>
      <c r="G1303" s="2" t="s">
        <v>20</v>
      </c>
      <c r="H1303">
        <v>0.1</v>
      </c>
      <c r="I1303" s="2" t="s">
        <v>30</v>
      </c>
      <c r="J1303" s="2" t="s">
        <v>56</v>
      </c>
      <c r="K1303">
        <v>0</v>
      </c>
      <c r="L1303" s="2" t="s">
        <v>2564</v>
      </c>
      <c r="M1303" s="2" t="s">
        <v>2565</v>
      </c>
      <c r="N1303">
        <v>47.23</v>
      </c>
      <c r="O1303" s="1">
        <v>45376</v>
      </c>
      <c r="P1303" s="1">
        <v>45383</v>
      </c>
      <c r="Q1303" s="2" t="s">
        <v>34</v>
      </c>
      <c r="R1303" s="2">
        <v>2810</v>
      </c>
    </row>
    <row r="1304" spans="1:18" x14ac:dyDescent="0.25">
      <c r="A1304" s="1">
        <v>45720</v>
      </c>
      <c r="B1304" s="2" t="s">
        <v>40</v>
      </c>
      <c r="C1304" s="2" t="s">
        <v>75</v>
      </c>
      <c r="D1304">
        <v>11</v>
      </c>
      <c r="E1304">
        <v>447</v>
      </c>
      <c r="F1304" s="2" t="s">
        <v>51</v>
      </c>
      <c r="G1304" s="2" t="s">
        <v>20</v>
      </c>
      <c r="H1304">
        <v>0</v>
      </c>
      <c r="I1304" s="2" t="s">
        <v>30</v>
      </c>
      <c r="J1304" s="2" t="s">
        <v>31</v>
      </c>
      <c r="K1304">
        <v>0</v>
      </c>
      <c r="L1304" s="2" t="s">
        <v>2566</v>
      </c>
      <c r="M1304" s="2" t="s">
        <v>1177</v>
      </c>
      <c r="N1304">
        <v>36.72</v>
      </c>
      <c r="O1304" s="1">
        <v>45720</v>
      </c>
      <c r="P1304" s="1">
        <v>45727</v>
      </c>
      <c r="Q1304" s="2" t="s">
        <v>45</v>
      </c>
      <c r="R1304" s="2">
        <v>4917</v>
      </c>
    </row>
    <row r="1305" spans="1:18" x14ac:dyDescent="0.25">
      <c r="A1305" s="1">
        <v>45219</v>
      </c>
      <c r="B1305" s="2" t="s">
        <v>26</v>
      </c>
      <c r="C1305" s="2" t="s">
        <v>36</v>
      </c>
      <c r="D1305">
        <v>14</v>
      </c>
      <c r="E1305">
        <v>275</v>
      </c>
      <c r="F1305" s="2" t="s">
        <v>19</v>
      </c>
      <c r="G1305" s="2" t="s">
        <v>29</v>
      </c>
      <c r="H1305">
        <v>0.1</v>
      </c>
      <c r="I1305" s="2" t="s">
        <v>47</v>
      </c>
      <c r="J1305" s="2" t="s">
        <v>22</v>
      </c>
      <c r="K1305">
        <v>1</v>
      </c>
      <c r="L1305" s="2" t="s">
        <v>2567</v>
      </c>
      <c r="M1305" s="2" t="s">
        <v>2568</v>
      </c>
      <c r="N1305">
        <v>32.799999999999997</v>
      </c>
      <c r="O1305" s="1">
        <v>45219</v>
      </c>
      <c r="P1305" s="1">
        <v>45223</v>
      </c>
      <c r="Q1305" s="2" t="s">
        <v>34</v>
      </c>
      <c r="R1305" s="2">
        <v>3465</v>
      </c>
    </row>
    <row r="1306" spans="1:18" x14ac:dyDescent="0.25">
      <c r="A1306" s="1">
        <v>45554</v>
      </c>
      <c r="B1306" s="2" t="s">
        <v>40</v>
      </c>
      <c r="C1306" s="2" t="s">
        <v>36</v>
      </c>
      <c r="D1306">
        <v>2</v>
      </c>
      <c r="E1306">
        <v>28</v>
      </c>
      <c r="F1306" s="2" t="s">
        <v>19</v>
      </c>
      <c r="G1306" s="2" t="s">
        <v>29</v>
      </c>
      <c r="H1306">
        <v>0.15</v>
      </c>
      <c r="I1306" s="2" t="s">
        <v>42</v>
      </c>
      <c r="J1306" s="2" t="s">
        <v>53</v>
      </c>
      <c r="K1306">
        <v>0</v>
      </c>
      <c r="L1306" s="2" t="s">
        <v>2569</v>
      </c>
      <c r="M1306" s="2" t="s">
        <v>2570</v>
      </c>
      <c r="N1306">
        <v>21.73</v>
      </c>
      <c r="O1306" s="1">
        <v>45554</v>
      </c>
      <c r="P1306" s="1">
        <v>45563</v>
      </c>
      <c r="Q1306" s="2" t="s">
        <v>45</v>
      </c>
      <c r="R1306" s="2">
        <v>48</v>
      </c>
    </row>
    <row r="1307" spans="1:18" x14ac:dyDescent="0.25">
      <c r="A1307" s="1">
        <v>45192</v>
      </c>
      <c r="B1307" s="2" t="s">
        <v>35</v>
      </c>
      <c r="C1307" s="2" t="s">
        <v>50</v>
      </c>
      <c r="D1307">
        <v>17</v>
      </c>
      <c r="E1307">
        <v>439</v>
      </c>
      <c r="F1307" s="2" t="s">
        <v>19</v>
      </c>
      <c r="G1307" s="2" t="s">
        <v>29</v>
      </c>
      <c r="H1307">
        <v>0</v>
      </c>
      <c r="I1307" s="2" t="s">
        <v>42</v>
      </c>
      <c r="J1307" s="2" t="s">
        <v>22</v>
      </c>
      <c r="K1307">
        <v>0</v>
      </c>
      <c r="L1307" s="2" t="s">
        <v>2571</v>
      </c>
      <c r="M1307" s="2" t="s">
        <v>2572</v>
      </c>
      <c r="N1307">
        <v>12.87</v>
      </c>
      <c r="O1307" s="1">
        <v>45192</v>
      </c>
      <c r="P1307" s="1">
        <v>45195</v>
      </c>
      <c r="Q1307" s="2" t="s">
        <v>39</v>
      </c>
      <c r="R1307" s="2">
        <v>7463</v>
      </c>
    </row>
    <row r="1308" spans="1:18" x14ac:dyDescent="0.25">
      <c r="A1308" s="1">
        <v>45657</v>
      </c>
      <c r="B1308" s="2" t="s">
        <v>17</v>
      </c>
      <c r="C1308" s="2" t="s">
        <v>126</v>
      </c>
      <c r="D1308">
        <v>15</v>
      </c>
      <c r="E1308">
        <v>574</v>
      </c>
      <c r="F1308" s="2" t="s">
        <v>46</v>
      </c>
      <c r="G1308" s="2" t="s">
        <v>29</v>
      </c>
      <c r="H1308">
        <v>0</v>
      </c>
      <c r="I1308" s="2" t="s">
        <v>30</v>
      </c>
      <c r="J1308" s="2" t="s">
        <v>31</v>
      </c>
      <c r="K1308">
        <v>0</v>
      </c>
      <c r="L1308" s="2" t="s">
        <v>2573</v>
      </c>
      <c r="M1308" s="2" t="s">
        <v>1314</v>
      </c>
      <c r="N1308">
        <v>35.869999999999997</v>
      </c>
      <c r="O1308" s="1">
        <v>45657</v>
      </c>
      <c r="P1308" s="1">
        <v>45659</v>
      </c>
      <c r="Q1308" s="2" t="s">
        <v>25</v>
      </c>
      <c r="R1308" s="2">
        <v>8610</v>
      </c>
    </row>
    <row r="1309" spans="1:18" x14ac:dyDescent="0.25">
      <c r="A1309" s="1">
        <v>45314</v>
      </c>
      <c r="B1309" s="2" t="s">
        <v>35</v>
      </c>
      <c r="C1309" s="2" t="s">
        <v>36</v>
      </c>
      <c r="D1309">
        <v>19</v>
      </c>
      <c r="E1309">
        <v>360</v>
      </c>
      <c r="F1309" s="2" t="s">
        <v>46</v>
      </c>
      <c r="G1309" s="2" t="s">
        <v>20</v>
      </c>
      <c r="H1309">
        <v>0.05</v>
      </c>
      <c r="I1309" s="2" t="s">
        <v>21</v>
      </c>
      <c r="J1309" s="2" t="s">
        <v>56</v>
      </c>
      <c r="K1309">
        <v>0</v>
      </c>
      <c r="L1309" s="2" t="s">
        <v>2574</v>
      </c>
      <c r="M1309" s="2" t="s">
        <v>1860</v>
      </c>
      <c r="N1309">
        <v>33.19</v>
      </c>
      <c r="O1309" s="1">
        <v>45314</v>
      </c>
      <c r="P1309" s="1">
        <v>45322</v>
      </c>
      <c r="Q1309" s="2" t="s">
        <v>39</v>
      </c>
      <c r="R1309" s="2">
        <v>6498</v>
      </c>
    </row>
    <row r="1310" spans="1:18" x14ac:dyDescent="0.25">
      <c r="A1310" s="1">
        <v>45090</v>
      </c>
      <c r="B1310" s="2" t="s">
        <v>17</v>
      </c>
      <c r="C1310" s="2" t="s">
        <v>18</v>
      </c>
      <c r="D1310">
        <v>7</v>
      </c>
      <c r="E1310">
        <v>535</v>
      </c>
      <c r="F1310" s="2" t="s">
        <v>46</v>
      </c>
      <c r="G1310" s="2" t="s">
        <v>29</v>
      </c>
      <c r="H1310">
        <v>0.1</v>
      </c>
      <c r="I1310" s="2" t="s">
        <v>42</v>
      </c>
      <c r="J1310" s="2" t="s">
        <v>56</v>
      </c>
      <c r="K1310">
        <v>0</v>
      </c>
      <c r="L1310" s="2" t="s">
        <v>2575</v>
      </c>
      <c r="M1310" s="2" t="s">
        <v>2576</v>
      </c>
      <c r="N1310">
        <v>10.44</v>
      </c>
      <c r="O1310" s="1">
        <v>45090</v>
      </c>
      <c r="P1310" s="1">
        <v>45100</v>
      </c>
      <c r="Q1310" s="2" t="s">
        <v>25</v>
      </c>
      <c r="R1310" s="2">
        <v>3370</v>
      </c>
    </row>
    <row r="1311" spans="1:18" x14ac:dyDescent="0.25">
      <c r="A1311" s="1">
        <v>45108</v>
      </c>
      <c r="B1311" s="2" t="s">
        <v>17</v>
      </c>
      <c r="C1311" s="2" t="s">
        <v>41</v>
      </c>
      <c r="D1311">
        <v>19</v>
      </c>
      <c r="E1311">
        <v>161</v>
      </c>
      <c r="F1311" s="2" t="s">
        <v>28</v>
      </c>
      <c r="G1311" s="2" t="s">
        <v>20</v>
      </c>
      <c r="H1311">
        <v>0</v>
      </c>
      <c r="I1311" s="2" t="s">
        <v>52</v>
      </c>
      <c r="J1311" s="2" t="s">
        <v>53</v>
      </c>
      <c r="K1311">
        <v>0</v>
      </c>
      <c r="L1311" s="2" t="s">
        <v>2577</v>
      </c>
      <c r="M1311" s="2" t="s">
        <v>2578</v>
      </c>
      <c r="N1311">
        <v>5.46</v>
      </c>
      <c r="O1311" s="1">
        <v>45108</v>
      </c>
      <c r="P1311" s="1">
        <v>45113</v>
      </c>
      <c r="Q1311" s="2" t="s">
        <v>25</v>
      </c>
      <c r="R1311" s="2">
        <v>3059</v>
      </c>
    </row>
    <row r="1312" spans="1:18" x14ac:dyDescent="0.25">
      <c r="A1312" s="1">
        <v>45738</v>
      </c>
      <c r="B1312" s="2" t="s">
        <v>26</v>
      </c>
      <c r="C1312" s="2" t="s">
        <v>18</v>
      </c>
      <c r="D1312">
        <v>11</v>
      </c>
      <c r="E1312">
        <v>30</v>
      </c>
      <c r="F1312" s="2" t="s">
        <v>51</v>
      </c>
      <c r="G1312" s="2" t="s">
        <v>29</v>
      </c>
      <c r="H1312">
        <v>0.15</v>
      </c>
      <c r="I1312" s="2" t="s">
        <v>47</v>
      </c>
      <c r="J1312" s="2" t="s">
        <v>59</v>
      </c>
      <c r="K1312">
        <v>1</v>
      </c>
      <c r="L1312" s="2" t="s">
        <v>2579</v>
      </c>
      <c r="M1312" s="2" t="s">
        <v>2580</v>
      </c>
      <c r="N1312">
        <v>34.96</v>
      </c>
      <c r="O1312" s="1">
        <v>45738</v>
      </c>
      <c r="P1312" s="1">
        <v>45741</v>
      </c>
      <c r="Q1312" s="2" t="s">
        <v>34</v>
      </c>
      <c r="R1312" s="2">
        <v>280</v>
      </c>
    </row>
    <row r="1313" spans="1:18" x14ac:dyDescent="0.25">
      <c r="A1313" s="1">
        <v>45695</v>
      </c>
      <c r="B1313" s="2" t="s">
        <v>26</v>
      </c>
      <c r="C1313" s="2" t="s">
        <v>18</v>
      </c>
      <c r="D1313">
        <v>16</v>
      </c>
      <c r="E1313">
        <v>173</v>
      </c>
      <c r="F1313" s="2" t="s">
        <v>19</v>
      </c>
      <c r="G1313" s="2" t="s">
        <v>20</v>
      </c>
      <c r="H1313">
        <v>0.15</v>
      </c>
      <c r="I1313" s="2" t="s">
        <v>52</v>
      </c>
      <c r="J1313" s="2" t="s">
        <v>53</v>
      </c>
      <c r="K1313">
        <v>1</v>
      </c>
      <c r="L1313" s="2" t="s">
        <v>2581</v>
      </c>
      <c r="M1313" s="2" t="s">
        <v>2582</v>
      </c>
      <c r="N1313">
        <v>41.87</v>
      </c>
      <c r="O1313" s="1">
        <v>45695</v>
      </c>
      <c r="P1313" s="1">
        <v>45703</v>
      </c>
      <c r="Q1313" s="2" t="s">
        <v>34</v>
      </c>
      <c r="R1313" s="2">
        <v>2353</v>
      </c>
    </row>
    <row r="1314" spans="1:18" x14ac:dyDescent="0.25">
      <c r="A1314" s="1">
        <v>45217</v>
      </c>
      <c r="B1314" s="2" t="s">
        <v>35</v>
      </c>
      <c r="C1314" s="2" t="s">
        <v>27</v>
      </c>
      <c r="D1314">
        <v>5</v>
      </c>
      <c r="E1314">
        <v>48</v>
      </c>
      <c r="F1314" s="2" t="s">
        <v>28</v>
      </c>
      <c r="G1314" s="2" t="s">
        <v>20</v>
      </c>
      <c r="H1314">
        <v>0</v>
      </c>
      <c r="I1314" s="2" t="s">
        <v>30</v>
      </c>
      <c r="J1314" s="2" t="s">
        <v>31</v>
      </c>
      <c r="K1314">
        <v>0</v>
      </c>
      <c r="L1314" s="2" t="s">
        <v>2583</v>
      </c>
      <c r="M1314" s="2" t="s">
        <v>2584</v>
      </c>
      <c r="N1314">
        <v>19.170000000000002</v>
      </c>
      <c r="O1314" s="1">
        <v>45217</v>
      </c>
      <c r="P1314" s="1">
        <v>45225</v>
      </c>
      <c r="Q1314" s="2" t="s">
        <v>39</v>
      </c>
      <c r="R1314" s="2">
        <v>240</v>
      </c>
    </row>
    <row r="1315" spans="1:18" x14ac:dyDescent="0.25">
      <c r="A1315" s="1">
        <v>45293</v>
      </c>
      <c r="B1315" s="2" t="s">
        <v>40</v>
      </c>
      <c r="C1315" s="2" t="s">
        <v>36</v>
      </c>
      <c r="D1315">
        <v>7</v>
      </c>
      <c r="E1315">
        <v>56</v>
      </c>
      <c r="F1315" s="2" t="s">
        <v>46</v>
      </c>
      <c r="G1315" s="2" t="s">
        <v>20</v>
      </c>
      <c r="H1315">
        <v>0.1</v>
      </c>
      <c r="I1315" s="2" t="s">
        <v>30</v>
      </c>
      <c r="J1315" s="2" t="s">
        <v>22</v>
      </c>
      <c r="K1315">
        <v>0</v>
      </c>
      <c r="L1315" s="2" t="s">
        <v>2585</v>
      </c>
      <c r="M1315" s="2" t="s">
        <v>2586</v>
      </c>
      <c r="N1315">
        <v>38.979999999999997</v>
      </c>
      <c r="O1315" s="1">
        <v>45293</v>
      </c>
      <c r="P1315" s="1">
        <v>45302</v>
      </c>
      <c r="Q1315" s="2" t="s">
        <v>45</v>
      </c>
      <c r="R1315" s="2">
        <v>353</v>
      </c>
    </row>
    <row r="1316" spans="1:18" x14ac:dyDescent="0.25">
      <c r="A1316" s="1">
        <v>45724</v>
      </c>
      <c r="B1316" s="2" t="s">
        <v>26</v>
      </c>
      <c r="C1316" s="2" t="s">
        <v>18</v>
      </c>
      <c r="D1316">
        <v>4</v>
      </c>
      <c r="E1316">
        <v>25</v>
      </c>
      <c r="F1316" s="2" t="s">
        <v>19</v>
      </c>
      <c r="G1316" s="2" t="s">
        <v>20</v>
      </c>
      <c r="H1316">
        <v>0.15</v>
      </c>
      <c r="I1316" s="2" t="s">
        <v>47</v>
      </c>
      <c r="J1316" s="2" t="s">
        <v>56</v>
      </c>
      <c r="K1316">
        <v>0</v>
      </c>
      <c r="L1316" s="2" t="s">
        <v>2587</v>
      </c>
      <c r="M1316" s="2" t="s">
        <v>2588</v>
      </c>
      <c r="N1316">
        <v>39.869999999999997</v>
      </c>
      <c r="O1316" s="1">
        <v>45724</v>
      </c>
      <c r="P1316" s="1">
        <v>45733</v>
      </c>
      <c r="Q1316" s="2" t="s">
        <v>34</v>
      </c>
      <c r="R1316" s="2">
        <v>85</v>
      </c>
    </row>
    <row r="1317" spans="1:18" x14ac:dyDescent="0.25">
      <c r="A1317" s="1">
        <v>45110</v>
      </c>
      <c r="B1317" s="2" t="s">
        <v>65</v>
      </c>
      <c r="C1317" s="2" t="s">
        <v>36</v>
      </c>
      <c r="D1317">
        <v>2</v>
      </c>
      <c r="E1317">
        <v>505</v>
      </c>
      <c r="F1317" s="2" t="s">
        <v>51</v>
      </c>
      <c r="G1317" s="2" t="s">
        <v>29</v>
      </c>
      <c r="H1317">
        <v>0</v>
      </c>
      <c r="I1317" s="2" t="s">
        <v>47</v>
      </c>
      <c r="J1317" s="2" t="s">
        <v>56</v>
      </c>
      <c r="K1317">
        <v>0</v>
      </c>
      <c r="L1317" s="2" t="s">
        <v>2589</v>
      </c>
      <c r="M1317" s="2" t="s">
        <v>2590</v>
      </c>
      <c r="N1317">
        <v>25.54</v>
      </c>
      <c r="O1317" s="1">
        <v>45110</v>
      </c>
      <c r="P1317" s="1">
        <v>45115</v>
      </c>
      <c r="Q1317" s="2" t="s">
        <v>68</v>
      </c>
      <c r="R1317" s="2">
        <v>1010</v>
      </c>
    </row>
    <row r="1318" spans="1:18" x14ac:dyDescent="0.25">
      <c r="A1318" s="1">
        <v>45245</v>
      </c>
      <c r="B1318" s="2" t="s">
        <v>35</v>
      </c>
      <c r="C1318" s="2" t="s">
        <v>75</v>
      </c>
      <c r="D1318">
        <v>17</v>
      </c>
      <c r="E1318">
        <v>276</v>
      </c>
      <c r="F1318" s="2" t="s">
        <v>19</v>
      </c>
      <c r="G1318" s="2" t="s">
        <v>20</v>
      </c>
      <c r="H1318">
        <v>0.1</v>
      </c>
      <c r="I1318" s="2" t="s">
        <v>62</v>
      </c>
      <c r="J1318" s="2" t="s">
        <v>31</v>
      </c>
      <c r="K1318">
        <v>0</v>
      </c>
      <c r="L1318" s="2" t="s">
        <v>2591</v>
      </c>
      <c r="M1318" s="2" t="s">
        <v>2592</v>
      </c>
      <c r="N1318">
        <v>15.43</v>
      </c>
      <c r="O1318" s="1">
        <v>45245</v>
      </c>
      <c r="P1318" s="1">
        <v>45252</v>
      </c>
      <c r="Q1318" s="2" t="s">
        <v>39</v>
      </c>
      <c r="R1318" s="2">
        <v>4223</v>
      </c>
    </row>
    <row r="1319" spans="1:18" x14ac:dyDescent="0.25">
      <c r="A1319" s="1">
        <v>45332</v>
      </c>
      <c r="B1319" s="2" t="s">
        <v>65</v>
      </c>
      <c r="C1319" s="2" t="s">
        <v>36</v>
      </c>
      <c r="D1319">
        <v>9</v>
      </c>
      <c r="E1319">
        <v>131</v>
      </c>
      <c r="F1319" s="2" t="s">
        <v>46</v>
      </c>
      <c r="G1319" s="2" t="s">
        <v>20</v>
      </c>
      <c r="H1319">
        <v>0.1</v>
      </c>
      <c r="I1319" s="2" t="s">
        <v>21</v>
      </c>
      <c r="J1319" s="2" t="s">
        <v>59</v>
      </c>
      <c r="K1319">
        <v>0</v>
      </c>
      <c r="L1319" s="2" t="s">
        <v>2593</v>
      </c>
      <c r="M1319" s="2" t="s">
        <v>2594</v>
      </c>
      <c r="N1319">
        <v>37.14</v>
      </c>
      <c r="O1319" s="1">
        <v>45332</v>
      </c>
      <c r="P1319" s="1">
        <v>45339</v>
      </c>
      <c r="Q1319" s="2" t="s">
        <v>68</v>
      </c>
      <c r="R1319" s="2">
        <v>1061</v>
      </c>
    </row>
    <row r="1320" spans="1:18" x14ac:dyDescent="0.25">
      <c r="A1320" s="1">
        <v>45756</v>
      </c>
      <c r="B1320" s="2" t="s">
        <v>65</v>
      </c>
      <c r="C1320" s="2" t="s">
        <v>50</v>
      </c>
      <c r="D1320">
        <v>12</v>
      </c>
      <c r="E1320">
        <v>313</v>
      </c>
      <c r="F1320" s="2" t="s">
        <v>46</v>
      </c>
      <c r="G1320" s="2" t="s">
        <v>29</v>
      </c>
      <c r="H1320">
        <v>0</v>
      </c>
      <c r="I1320" s="2" t="s">
        <v>21</v>
      </c>
      <c r="J1320" s="2" t="s">
        <v>31</v>
      </c>
      <c r="K1320">
        <v>0</v>
      </c>
      <c r="L1320" s="2" t="s">
        <v>2595</v>
      </c>
      <c r="M1320" s="2" t="s">
        <v>1003</v>
      </c>
      <c r="N1320">
        <v>18.46</v>
      </c>
      <c r="O1320" s="1">
        <v>45756</v>
      </c>
      <c r="P1320" s="1">
        <v>45766</v>
      </c>
      <c r="Q1320" s="2" t="s">
        <v>68</v>
      </c>
      <c r="R1320" s="2">
        <v>3756</v>
      </c>
    </row>
    <row r="1321" spans="1:18" x14ac:dyDescent="0.25">
      <c r="A1321" s="1">
        <v>45178</v>
      </c>
      <c r="B1321" s="2" t="s">
        <v>65</v>
      </c>
      <c r="C1321" s="2" t="s">
        <v>75</v>
      </c>
      <c r="D1321">
        <v>18</v>
      </c>
      <c r="E1321">
        <v>223</v>
      </c>
      <c r="F1321" s="2" t="s">
        <v>46</v>
      </c>
      <c r="G1321" s="2" t="s">
        <v>20</v>
      </c>
      <c r="H1321">
        <v>0.05</v>
      </c>
      <c r="I1321" s="2" t="s">
        <v>30</v>
      </c>
      <c r="J1321" s="2" t="s">
        <v>31</v>
      </c>
      <c r="K1321">
        <v>0</v>
      </c>
      <c r="L1321" s="2" t="s">
        <v>2596</v>
      </c>
      <c r="M1321" s="2" t="s">
        <v>2597</v>
      </c>
      <c r="N1321">
        <v>12.91</v>
      </c>
      <c r="O1321" s="1">
        <v>45178</v>
      </c>
      <c r="P1321" s="1">
        <v>45181</v>
      </c>
      <c r="Q1321" s="2" t="s">
        <v>68</v>
      </c>
      <c r="R1321" s="2">
        <v>3813</v>
      </c>
    </row>
    <row r="1322" spans="1:18" x14ac:dyDescent="0.25">
      <c r="A1322" s="1">
        <v>45004</v>
      </c>
      <c r="B1322" s="2" t="s">
        <v>17</v>
      </c>
      <c r="C1322" s="2" t="s">
        <v>27</v>
      </c>
      <c r="D1322">
        <v>13</v>
      </c>
      <c r="E1322">
        <v>374</v>
      </c>
      <c r="F1322" s="2" t="s">
        <v>51</v>
      </c>
      <c r="G1322" s="2" t="s">
        <v>20</v>
      </c>
      <c r="H1322">
        <v>0.05</v>
      </c>
      <c r="I1322" s="2" t="s">
        <v>52</v>
      </c>
      <c r="J1322" s="2" t="s">
        <v>56</v>
      </c>
      <c r="K1322">
        <v>0</v>
      </c>
      <c r="L1322" s="2" t="s">
        <v>2598</v>
      </c>
      <c r="M1322" s="2" t="s">
        <v>2599</v>
      </c>
      <c r="N1322">
        <v>26.32</v>
      </c>
      <c r="O1322" s="1">
        <v>45004</v>
      </c>
      <c r="P1322" s="1">
        <v>45011</v>
      </c>
      <c r="Q1322" s="2" t="s">
        <v>25</v>
      </c>
      <c r="R1322" s="2">
        <v>4619</v>
      </c>
    </row>
    <row r="1323" spans="1:18" x14ac:dyDescent="0.25">
      <c r="A1323" s="1">
        <v>45657</v>
      </c>
      <c r="B1323" s="2" t="s">
        <v>40</v>
      </c>
      <c r="C1323" s="2" t="s">
        <v>126</v>
      </c>
      <c r="D1323">
        <v>11</v>
      </c>
      <c r="E1323">
        <v>331</v>
      </c>
      <c r="F1323" s="2" t="s">
        <v>19</v>
      </c>
      <c r="G1323" s="2" t="s">
        <v>20</v>
      </c>
      <c r="H1323">
        <v>0.1</v>
      </c>
      <c r="I1323" s="2" t="s">
        <v>30</v>
      </c>
      <c r="J1323" s="2" t="s">
        <v>53</v>
      </c>
      <c r="K1323">
        <v>0</v>
      </c>
      <c r="L1323" s="2" t="s">
        <v>2600</v>
      </c>
      <c r="M1323" s="2" t="s">
        <v>1909</v>
      </c>
      <c r="N1323">
        <v>6.22</v>
      </c>
      <c r="O1323" s="1">
        <v>45657</v>
      </c>
      <c r="P1323" s="1">
        <v>45659</v>
      </c>
      <c r="Q1323" s="2" t="s">
        <v>45</v>
      </c>
      <c r="R1323" s="2">
        <v>3277</v>
      </c>
    </row>
    <row r="1324" spans="1:18" x14ac:dyDescent="0.25">
      <c r="A1324" s="1">
        <v>45254</v>
      </c>
      <c r="B1324" s="2" t="s">
        <v>40</v>
      </c>
      <c r="C1324" s="2" t="s">
        <v>27</v>
      </c>
      <c r="D1324">
        <v>5</v>
      </c>
      <c r="E1324">
        <v>534</v>
      </c>
      <c r="F1324" s="2" t="s">
        <v>51</v>
      </c>
      <c r="G1324" s="2" t="s">
        <v>20</v>
      </c>
      <c r="H1324">
        <v>0</v>
      </c>
      <c r="I1324" s="2" t="s">
        <v>47</v>
      </c>
      <c r="J1324" s="2" t="s">
        <v>53</v>
      </c>
      <c r="K1324">
        <v>1</v>
      </c>
      <c r="L1324" s="2" t="s">
        <v>2601</v>
      </c>
      <c r="M1324" s="2" t="s">
        <v>2602</v>
      </c>
      <c r="N1324">
        <v>9.08</v>
      </c>
      <c r="O1324" s="1">
        <v>45254</v>
      </c>
      <c r="P1324" s="1">
        <v>45256</v>
      </c>
      <c r="Q1324" s="2" t="s">
        <v>45</v>
      </c>
      <c r="R1324" s="2">
        <v>2670</v>
      </c>
    </row>
    <row r="1325" spans="1:18" x14ac:dyDescent="0.25">
      <c r="A1325" s="1">
        <v>45792</v>
      </c>
      <c r="B1325" s="2" t="s">
        <v>17</v>
      </c>
      <c r="C1325" s="2" t="s">
        <v>41</v>
      </c>
      <c r="D1325">
        <v>10</v>
      </c>
      <c r="E1325">
        <v>492</v>
      </c>
      <c r="F1325" s="2" t="s">
        <v>28</v>
      </c>
      <c r="G1325" s="2" t="s">
        <v>29</v>
      </c>
      <c r="H1325">
        <v>0</v>
      </c>
      <c r="I1325" s="2" t="s">
        <v>30</v>
      </c>
      <c r="J1325" s="2" t="s">
        <v>31</v>
      </c>
      <c r="K1325">
        <v>0</v>
      </c>
      <c r="L1325" s="2" t="s">
        <v>2603</v>
      </c>
      <c r="M1325" s="2" t="s">
        <v>2604</v>
      </c>
      <c r="N1325">
        <v>38.89</v>
      </c>
      <c r="O1325" s="1">
        <v>45792</v>
      </c>
      <c r="P1325" s="1">
        <v>45799</v>
      </c>
      <c r="Q1325" s="2" t="s">
        <v>25</v>
      </c>
      <c r="R1325" s="2">
        <v>4920</v>
      </c>
    </row>
    <row r="1326" spans="1:18" x14ac:dyDescent="0.25">
      <c r="A1326" s="1">
        <v>45753</v>
      </c>
      <c r="B1326" s="2" t="s">
        <v>26</v>
      </c>
      <c r="C1326" s="2" t="s">
        <v>75</v>
      </c>
      <c r="D1326">
        <v>9</v>
      </c>
      <c r="E1326">
        <v>544</v>
      </c>
      <c r="F1326" s="2" t="s">
        <v>51</v>
      </c>
      <c r="G1326" s="2" t="s">
        <v>29</v>
      </c>
      <c r="H1326">
        <v>0.15</v>
      </c>
      <c r="I1326" s="2" t="s">
        <v>52</v>
      </c>
      <c r="J1326" s="2" t="s">
        <v>56</v>
      </c>
      <c r="K1326">
        <v>0</v>
      </c>
      <c r="L1326" s="2" t="s">
        <v>2605</v>
      </c>
      <c r="M1326" s="2" t="s">
        <v>2606</v>
      </c>
      <c r="N1326">
        <v>7.54</v>
      </c>
      <c r="O1326" s="1">
        <v>45753</v>
      </c>
      <c r="P1326" s="1">
        <v>45758</v>
      </c>
      <c r="Q1326" s="2" t="s">
        <v>34</v>
      </c>
      <c r="R1326" s="2">
        <v>4162</v>
      </c>
    </row>
    <row r="1327" spans="1:18" x14ac:dyDescent="0.25">
      <c r="A1327" s="1">
        <v>45328</v>
      </c>
      <c r="B1327" s="2" t="s">
        <v>26</v>
      </c>
      <c r="C1327" s="2" t="s">
        <v>36</v>
      </c>
      <c r="D1327">
        <v>17</v>
      </c>
      <c r="E1327">
        <v>142</v>
      </c>
      <c r="F1327" s="2" t="s">
        <v>51</v>
      </c>
      <c r="G1327" s="2" t="s">
        <v>20</v>
      </c>
      <c r="H1327">
        <v>0.1</v>
      </c>
      <c r="I1327" s="2" t="s">
        <v>62</v>
      </c>
      <c r="J1327" s="2" t="s">
        <v>59</v>
      </c>
      <c r="K1327">
        <v>1</v>
      </c>
      <c r="L1327" s="2" t="s">
        <v>2607</v>
      </c>
      <c r="M1327" s="2" t="s">
        <v>2608</v>
      </c>
      <c r="N1327">
        <v>9.98</v>
      </c>
      <c r="O1327" s="1">
        <v>45328</v>
      </c>
      <c r="P1327" s="1">
        <v>45336</v>
      </c>
      <c r="Q1327" s="2" t="s">
        <v>34</v>
      </c>
      <c r="R1327" s="2">
        <v>2173</v>
      </c>
    </row>
    <row r="1328" spans="1:18" x14ac:dyDescent="0.25">
      <c r="A1328" s="1">
        <v>45791</v>
      </c>
      <c r="B1328" s="2" t="s">
        <v>35</v>
      </c>
      <c r="C1328" s="2" t="s">
        <v>18</v>
      </c>
      <c r="D1328">
        <v>12</v>
      </c>
      <c r="E1328">
        <v>503</v>
      </c>
      <c r="F1328" s="2" t="s">
        <v>51</v>
      </c>
      <c r="G1328" s="2" t="s">
        <v>20</v>
      </c>
      <c r="H1328">
        <v>0.1</v>
      </c>
      <c r="I1328" s="2" t="s">
        <v>30</v>
      </c>
      <c r="J1328" s="2" t="s">
        <v>53</v>
      </c>
      <c r="K1328">
        <v>0</v>
      </c>
      <c r="L1328" s="2" t="s">
        <v>2609</v>
      </c>
      <c r="M1328" s="2" t="s">
        <v>2610</v>
      </c>
      <c r="N1328">
        <v>6.49</v>
      </c>
      <c r="O1328" s="1">
        <v>45791</v>
      </c>
      <c r="P1328" s="1">
        <v>45797</v>
      </c>
      <c r="Q1328" s="2" t="s">
        <v>39</v>
      </c>
      <c r="R1328" s="2">
        <v>5432</v>
      </c>
    </row>
    <row r="1329" spans="1:18" x14ac:dyDescent="0.25">
      <c r="A1329" s="1">
        <v>44939</v>
      </c>
      <c r="B1329" s="2" t="s">
        <v>17</v>
      </c>
      <c r="C1329" s="2" t="s">
        <v>75</v>
      </c>
      <c r="D1329">
        <v>10</v>
      </c>
      <c r="E1329">
        <v>155</v>
      </c>
      <c r="F1329" s="2" t="s">
        <v>51</v>
      </c>
      <c r="G1329" s="2" t="s">
        <v>20</v>
      </c>
      <c r="H1329">
        <v>0.05</v>
      </c>
      <c r="I1329" s="2" t="s">
        <v>42</v>
      </c>
      <c r="J1329" s="2" t="s">
        <v>31</v>
      </c>
      <c r="K1329">
        <v>0</v>
      </c>
      <c r="L1329" s="2" t="s">
        <v>2611</v>
      </c>
      <c r="M1329" s="2" t="s">
        <v>2612</v>
      </c>
      <c r="N1329">
        <v>26.49</v>
      </c>
      <c r="O1329" s="1">
        <v>44939</v>
      </c>
      <c r="P1329" s="1">
        <v>44944</v>
      </c>
      <c r="Q1329" s="2" t="s">
        <v>25</v>
      </c>
      <c r="R1329" s="2">
        <v>1472</v>
      </c>
    </row>
    <row r="1330" spans="1:18" x14ac:dyDescent="0.25">
      <c r="A1330" s="1">
        <v>45341</v>
      </c>
      <c r="B1330" s="2" t="s">
        <v>35</v>
      </c>
      <c r="C1330" s="2" t="s">
        <v>75</v>
      </c>
      <c r="D1330">
        <v>18</v>
      </c>
      <c r="E1330">
        <v>204</v>
      </c>
      <c r="F1330" s="2" t="s">
        <v>19</v>
      </c>
      <c r="G1330" s="2" t="s">
        <v>20</v>
      </c>
      <c r="H1330">
        <v>0</v>
      </c>
      <c r="I1330" s="2" t="s">
        <v>47</v>
      </c>
      <c r="J1330" s="2" t="s">
        <v>31</v>
      </c>
      <c r="K1330">
        <v>1</v>
      </c>
      <c r="L1330" s="2" t="s">
        <v>2613</v>
      </c>
      <c r="M1330" s="2" t="s">
        <v>2614</v>
      </c>
      <c r="N1330">
        <v>24.98</v>
      </c>
      <c r="O1330" s="1">
        <v>45341</v>
      </c>
      <c r="P1330" s="1">
        <v>45350</v>
      </c>
      <c r="Q1330" s="2" t="s">
        <v>39</v>
      </c>
      <c r="R1330" s="2">
        <v>3672</v>
      </c>
    </row>
    <row r="1331" spans="1:18" x14ac:dyDescent="0.25">
      <c r="A1331" s="1">
        <v>45206</v>
      </c>
      <c r="B1331" s="2" t="s">
        <v>26</v>
      </c>
      <c r="C1331" s="2" t="s">
        <v>27</v>
      </c>
      <c r="D1331">
        <v>3</v>
      </c>
      <c r="E1331">
        <v>464</v>
      </c>
      <c r="F1331" s="2" t="s">
        <v>19</v>
      </c>
      <c r="G1331" s="2" t="s">
        <v>20</v>
      </c>
      <c r="H1331">
        <v>0.15</v>
      </c>
      <c r="I1331" s="2" t="s">
        <v>30</v>
      </c>
      <c r="J1331" s="2" t="s">
        <v>31</v>
      </c>
      <c r="K1331">
        <v>0</v>
      </c>
      <c r="L1331" s="2" t="s">
        <v>2615</v>
      </c>
      <c r="M1331" s="2" t="s">
        <v>2616</v>
      </c>
      <c r="N1331">
        <v>27.45</v>
      </c>
      <c r="O1331" s="1">
        <v>45206</v>
      </c>
      <c r="P1331" s="1">
        <v>45211</v>
      </c>
      <c r="Q1331" s="2" t="s">
        <v>34</v>
      </c>
      <c r="R1331" s="2">
        <v>1183</v>
      </c>
    </row>
    <row r="1332" spans="1:18" x14ac:dyDescent="0.25">
      <c r="A1332" s="1">
        <v>45552</v>
      </c>
      <c r="B1332" s="2" t="s">
        <v>40</v>
      </c>
      <c r="C1332" s="2" t="s">
        <v>41</v>
      </c>
      <c r="D1332">
        <v>2</v>
      </c>
      <c r="E1332">
        <v>442</v>
      </c>
      <c r="F1332" s="2" t="s">
        <v>19</v>
      </c>
      <c r="G1332" s="2" t="s">
        <v>29</v>
      </c>
      <c r="H1332">
        <v>0.15</v>
      </c>
      <c r="I1332" s="2" t="s">
        <v>47</v>
      </c>
      <c r="J1332" s="2" t="s">
        <v>56</v>
      </c>
      <c r="K1332">
        <v>0</v>
      </c>
      <c r="L1332" s="2" t="s">
        <v>2617</v>
      </c>
      <c r="M1332" s="2" t="s">
        <v>2618</v>
      </c>
      <c r="N1332">
        <v>28.71</v>
      </c>
      <c r="O1332" s="1">
        <v>45552</v>
      </c>
      <c r="P1332" s="1">
        <v>45554</v>
      </c>
      <c r="Q1332" s="2" t="s">
        <v>45</v>
      </c>
      <c r="R1332" s="2">
        <v>751</v>
      </c>
    </row>
    <row r="1333" spans="1:18" x14ac:dyDescent="0.25">
      <c r="A1333" s="1">
        <v>45053</v>
      </c>
      <c r="B1333" s="2" t="s">
        <v>35</v>
      </c>
      <c r="C1333" s="2" t="s">
        <v>27</v>
      </c>
      <c r="D1333">
        <v>7</v>
      </c>
      <c r="E1333">
        <v>83</v>
      </c>
      <c r="F1333" s="2" t="s">
        <v>28</v>
      </c>
      <c r="G1333" s="2" t="s">
        <v>29</v>
      </c>
      <c r="H1333">
        <v>0.05</v>
      </c>
      <c r="I1333" s="2" t="s">
        <v>21</v>
      </c>
      <c r="J1333" s="2" t="s">
        <v>56</v>
      </c>
      <c r="K1333">
        <v>1</v>
      </c>
      <c r="L1333" s="2" t="s">
        <v>2619</v>
      </c>
      <c r="M1333" s="2" t="s">
        <v>2620</v>
      </c>
      <c r="N1333">
        <v>17.03</v>
      </c>
      <c r="O1333" s="1">
        <v>45053</v>
      </c>
      <c r="P1333" s="1">
        <v>45063</v>
      </c>
      <c r="Q1333" s="2" t="s">
        <v>39</v>
      </c>
      <c r="R1333" s="2">
        <v>552</v>
      </c>
    </row>
    <row r="1334" spans="1:18" x14ac:dyDescent="0.25">
      <c r="A1334" s="1">
        <v>45272</v>
      </c>
      <c r="B1334" s="2" t="s">
        <v>35</v>
      </c>
      <c r="C1334" s="2" t="s">
        <v>27</v>
      </c>
      <c r="D1334">
        <v>13</v>
      </c>
      <c r="E1334">
        <v>468</v>
      </c>
      <c r="F1334" s="2" t="s">
        <v>19</v>
      </c>
      <c r="G1334" s="2" t="s">
        <v>29</v>
      </c>
      <c r="H1334">
        <v>0.15</v>
      </c>
      <c r="I1334" s="2" t="s">
        <v>30</v>
      </c>
      <c r="J1334" s="2" t="s">
        <v>59</v>
      </c>
      <c r="K1334">
        <v>0</v>
      </c>
      <c r="L1334" s="2" t="s">
        <v>2621</v>
      </c>
      <c r="M1334" s="2" t="s">
        <v>371</v>
      </c>
      <c r="N1334">
        <v>29.11</v>
      </c>
      <c r="O1334" s="1">
        <v>45272</v>
      </c>
      <c r="P1334" s="1">
        <v>45281</v>
      </c>
      <c r="Q1334" s="2" t="s">
        <v>39</v>
      </c>
      <c r="R1334" s="2">
        <v>5171</v>
      </c>
    </row>
    <row r="1335" spans="1:18" x14ac:dyDescent="0.25">
      <c r="A1335" s="1">
        <v>45727</v>
      </c>
      <c r="B1335" s="2" t="s">
        <v>40</v>
      </c>
      <c r="C1335" s="2" t="s">
        <v>75</v>
      </c>
      <c r="D1335">
        <v>3</v>
      </c>
      <c r="E1335">
        <v>11</v>
      </c>
      <c r="F1335" s="2" t="s">
        <v>46</v>
      </c>
      <c r="G1335" s="2" t="s">
        <v>29</v>
      </c>
      <c r="H1335">
        <v>0.05</v>
      </c>
      <c r="I1335" s="2" t="s">
        <v>21</v>
      </c>
      <c r="J1335" s="2" t="s">
        <v>22</v>
      </c>
      <c r="K1335">
        <v>0</v>
      </c>
      <c r="L1335" s="2" t="s">
        <v>2622</v>
      </c>
      <c r="M1335" s="2" t="s">
        <v>2122</v>
      </c>
      <c r="N1335">
        <v>16.39</v>
      </c>
      <c r="O1335" s="1">
        <v>45727</v>
      </c>
      <c r="P1335" s="1">
        <v>45730</v>
      </c>
      <c r="Q1335" s="2" t="s">
        <v>45</v>
      </c>
      <c r="R1335" s="2">
        <v>31</v>
      </c>
    </row>
    <row r="1336" spans="1:18" x14ac:dyDescent="0.25">
      <c r="A1336" s="1">
        <v>45380</v>
      </c>
      <c r="B1336" s="2" t="s">
        <v>17</v>
      </c>
      <c r="C1336" s="2" t="s">
        <v>41</v>
      </c>
      <c r="D1336">
        <v>1</v>
      </c>
      <c r="E1336">
        <v>378</v>
      </c>
      <c r="F1336" s="2" t="s">
        <v>28</v>
      </c>
      <c r="G1336" s="2" t="s">
        <v>29</v>
      </c>
      <c r="H1336">
        <v>0.05</v>
      </c>
      <c r="I1336" s="2" t="s">
        <v>21</v>
      </c>
      <c r="J1336" s="2" t="s">
        <v>59</v>
      </c>
      <c r="K1336">
        <v>0</v>
      </c>
      <c r="L1336" s="2" t="s">
        <v>2623</v>
      </c>
      <c r="M1336" s="2" t="s">
        <v>2604</v>
      </c>
      <c r="N1336">
        <v>7.59</v>
      </c>
      <c r="O1336" s="1">
        <v>45380</v>
      </c>
      <c r="P1336" s="1">
        <v>45389</v>
      </c>
      <c r="Q1336" s="2" t="s">
        <v>25</v>
      </c>
      <c r="R1336" s="2">
        <v>359</v>
      </c>
    </row>
    <row r="1337" spans="1:18" x14ac:dyDescent="0.25">
      <c r="A1337" s="1">
        <v>45501</v>
      </c>
      <c r="B1337" s="2" t="s">
        <v>65</v>
      </c>
      <c r="C1337" s="2" t="s">
        <v>75</v>
      </c>
      <c r="D1337">
        <v>6</v>
      </c>
      <c r="E1337">
        <v>61</v>
      </c>
      <c r="F1337" s="2" t="s">
        <v>51</v>
      </c>
      <c r="G1337" s="2" t="s">
        <v>20</v>
      </c>
      <c r="H1337">
        <v>0</v>
      </c>
      <c r="I1337" s="2" t="s">
        <v>62</v>
      </c>
      <c r="J1337" s="2" t="s">
        <v>56</v>
      </c>
      <c r="K1337">
        <v>1</v>
      </c>
      <c r="L1337" s="2" t="s">
        <v>2624</v>
      </c>
      <c r="M1337" s="2" t="s">
        <v>2625</v>
      </c>
      <c r="N1337">
        <v>49.09</v>
      </c>
      <c r="O1337" s="1">
        <v>45501</v>
      </c>
      <c r="P1337" s="1">
        <v>45509</v>
      </c>
      <c r="Q1337" s="2" t="s">
        <v>68</v>
      </c>
      <c r="R1337" s="2">
        <v>366</v>
      </c>
    </row>
    <row r="1338" spans="1:18" x14ac:dyDescent="0.25">
      <c r="A1338" s="1">
        <v>45484</v>
      </c>
      <c r="B1338" s="2" t="s">
        <v>26</v>
      </c>
      <c r="C1338" s="2" t="s">
        <v>75</v>
      </c>
      <c r="D1338">
        <v>14</v>
      </c>
      <c r="E1338">
        <v>98</v>
      </c>
      <c r="F1338" s="2" t="s">
        <v>28</v>
      </c>
      <c r="G1338" s="2" t="s">
        <v>20</v>
      </c>
      <c r="H1338">
        <v>0.1</v>
      </c>
      <c r="I1338" s="2" t="s">
        <v>30</v>
      </c>
      <c r="J1338" s="2" t="s">
        <v>56</v>
      </c>
      <c r="K1338">
        <v>1</v>
      </c>
      <c r="L1338" s="2" t="s">
        <v>2626</v>
      </c>
      <c r="M1338" s="2" t="s">
        <v>2627</v>
      </c>
      <c r="N1338">
        <v>10.34</v>
      </c>
      <c r="O1338" s="1">
        <v>45484</v>
      </c>
      <c r="P1338" s="1">
        <v>45494</v>
      </c>
      <c r="Q1338" s="2" t="s">
        <v>34</v>
      </c>
      <c r="R1338" s="2">
        <v>1235</v>
      </c>
    </row>
    <row r="1339" spans="1:18" x14ac:dyDescent="0.25">
      <c r="A1339" s="1">
        <v>45478</v>
      </c>
      <c r="B1339" s="2" t="s">
        <v>65</v>
      </c>
      <c r="C1339" s="2" t="s">
        <v>18</v>
      </c>
      <c r="D1339">
        <v>16</v>
      </c>
      <c r="E1339">
        <v>124</v>
      </c>
      <c r="F1339" s="2" t="s">
        <v>28</v>
      </c>
      <c r="G1339" s="2" t="s">
        <v>20</v>
      </c>
      <c r="H1339">
        <v>0.15</v>
      </c>
      <c r="I1339" s="2" t="s">
        <v>30</v>
      </c>
      <c r="J1339" s="2" t="s">
        <v>31</v>
      </c>
      <c r="K1339">
        <v>1</v>
      </c>
      <c r="L1339" s="2" t="s">
        <v>2628</v>
      </c>
      <c r="M1339" s="2" t="s">
        <v>2629</v>
      </c>
      <c r="N1339">
        <v>18.02</v>
      </c>
      <c r="O1339" s="1">
        <v>45478</v>
      </c>
      <c r="P1339" s="1">
        <v>45487</v>
      </c>
      <c r="Q1339" s="2" t="s">
        <v>68</v>
      </c>
      <c r="R1339" s="2">
        <v>1686</v>
      </c>
    </row>
    <row r="1340" spans="1:18" x14ac:dyDescent="0.25">
      <c r="A1340" s="1">
        <v>45370</v>
      </c>
      <c r="B1340" s="2" t="s">
        <v>17</v>
      </c>
      <c r="C1340" s="2" t="s">
        <v>18</v>
      </c>
      <c r="D1340">
        <v>16</v>
      </c>
      <c r="E1340">
        <v>90</v>
      </c>
      <c r="F1340" s="2" t="s">
        <v>46</v>
      </c>
      <c r="G1340" s="2" t="s">
        <v>20</v>
      </c>
      <c r="H1340">
        <v>0.05</v>
      </c>
      <c r="I1340" s="2" t="s">
        <v>52</v>
      </c>
      <c r="J1340" s="2" t="s">
        <v>22</v>
      </c>
      <c r="K1340">
        <v>0</v>
      </c>
      <c r="L1340" s="2" t="s">
        <v>2630</v>
      </c>
      <c r="M1340" s="2" t="s">
        <v>2631</v>
      </c>
      <c r="N1340">
        <v>25.25</v>
      </c>
      <c r="O1340" s="1">
        <v>45370</v>
      </c>
      <c r="P1340" s="1">
        <v>45375</v>
      </c>
      <c r="Q1340" s="2" t="s">
        <v>25</v>
      </c>
      <c r="R1340" s="2">
        <v>1368</v>
      </c>
    </row>
    <row r="1341" spans="1:18" x14ac:dyDescent="0.25">
      <c r="A1341" s="1">
        <v>45285</v>
      </c>
      <c r="B1341" s="2" t="s">
        <v>40</v>
      </c>
      <c r="C1341" s="2" t="s">
        <v>75</v>
      </c>
      <c r="D1341">
        <v>18</v>
      </c>
      <c r="E1341">
        <v>471</v>
      </c>
      <c r="F1341" s="2" t="s">
        <v>46</v>
      </c>
      <c r="G1341" s="2" t="s">
        <v>20</v>
      </c>
      <c r="H1341">
        <v>0.1</v>
      </c>
      <c r="I1341" s="2" t="s">
        <v>21</v>
      </c>
      <c r="J1341" s="2" t="s">
        <v>31</v>
      </c>
      <c r="K1341">
        <v>0</v>
      </c>
      <c r="L1341" s="2" t="s">
        <v>2632</v>
      </c>
      <c r="M1341" s="2" t="s">
        <v>2633</v>
      </c>
      <c r="N1341">
        <v>14.87</v>
      </c>
      <c r="O1341" s="1">
        <v>45285</v>
      </c>
      <c r="P1341" s="1">
        <v>45289</v>
      </c>
      <c r="Q1341" s="2" t="s">
        <v>45</v>
      </c>
      <c r="R1341" s="2">
        <v>7630</v>
      </c>
    </row>
    <row r="1342" spans="1:18" x14ac:dyDescent="0.25">
      <c r="A1342" s="1">
        <v>45629</v>
      </c>
      <c r="B1342" s="2" t="s">
        <v>26</v>
      </c>
      <c r="C1342" s="2" t="s">
        <v>50</v>
      </c>
      <c r="D1342">
        <v>12</v>
      </c>
      <c r="E1342">
        <v>383</v>
      </c>
      <c r="F1342" s="2" t="s">
        <v>46</v>
      </c>
      <c r="G1342" s="2" t="s">
        <v>29</v>
      </c>
      <c r="H1342">
        <v>0</v>
      </c>
      <c r="I1342" s="2" t="s">
        <v>62</v>
      </c>
      <c r="J1342" s="2" t="s">
        <v>56</v>
      </c>
      <c r="K1342">
        <v>0</v>
      </c>
      <c r="L1342" s="2" t="s">
        <v>2634</v>
      </c>
      <c r="M1342" s="2" t="s">
        <v>2635</v>
      </c>
      <c r="N1342">
        <v>11.62</v>
      </c>
      <c r="O1342" s="1">
        <v>45629</v>
      </c>
      <c r="P1342" s="1">
        <v>45631</v>
      </c>
      <c r="Q1342" s="2" t="s">
        <v>34</v>
      </c>
      <c r="R1342" s="2">
        <v>4596</v>
      </c>
    </row>
    <row r="1343" spans="1:18" x14ac:dyDescent="0.25">
      <c r="A1343" s="1">
        <v>45177</v>
      </c>
      <c r="B1343" s="2" t="s">
        <v>17</v>
      </c>
      <c r="C1343" s="2" t="s">
        <v>75</v>
      </c>
      <c r="D1343">
        <v>20</v>
      </c>
      <c r="E1343">
        <v>294</v>
      </c>
      <c r="F1343" s="2" t="s">
        <v>19</v>
      </c>
      <c r="G1343" s="2" t="s">
        <v>29</v>
      </c>
      <c r="H1343">
        <v>0.15</v>
      </c>
      <c r="I1343" s="2" t="s">
        <v>30</v>
      </c>
      <c r="J1343" s="2" t="s">
        <v>53</v>
      </c>
      <c r="K1343">
        <v>0</v>
      </c>
      <c r="L1343" s="2" t="s">
        <v>2636</v>
      </c>
      <c r="M1343" s="2" t="s">
        <v>2637</v>
      </c>
      <c r="N1343">
        <v>9.2899999999999991</v>
      </c>
      <c r="O1343" s="1">
        <v>45177</v>
      </c>
      <c r="P1343" s="1">
        <v>45184</v>
      </c>
      <c r="Q1343" s="2" t="s">
        <v>25</v>
      </c>
      <c r="R1343" s="2">
        <v>4998</v>
      </c>
    </row>
    <row r="1344" spans="1:18" x14ac:dyDescent="0.25">
      <c r="A1344" s="1">
        <v>45296</v>
      </c>
      <c r="B1344" s="2" t="s">
        <v>17</v>
      </c>
      <c r="C1344" s="2" t="s">
        <v>36</v>
      </c>
      <c r="D1344">
        <v>2</v>
      </c>
      <c r="E1344">
        <v>454</v>
      </c>
      <c r="F1344" s="2" t="s">
        <v>19</v>
      </c>
      <c r="G1344" s="2" t="s">
        <v>20</v>
      </c>
      <c r="H1344">
        <v>0</v>
      </c>
      <c r="I1344" s="2" t="s">
        <v>52</v>
      </c>
      <c r="J1344" s="2" t="s">
        <v>22</v>
      </c>
      <c r="K1344">
        <v>0</v>
      </c>
      <c r="L1344" s="2" t="s">
        <v>2638</v>
      </c>
      <c r="M1344" s="2" t="s">
        <v>2639</v>
      </c>
      <c r="N1344">
        <v>9.7799999999999994</v>
      </c>
      <c r="O1344" s="1">
        <v>45296</v>
      </c>
      <c r="P1344" s="1">
        <v>45298</v>
      </c>
      <c r="Q1344" s="2" t="s">
        <v>25</v>
      </c>
      <c r="R1344" s="2">
        <v>908</v>
      </c>
    </row>
    <row r="1345" spans="1:18" x14ac:dyDescent="0.25">
      <c r="A1345" s="1">
        <v>45141</v>
      </c>
      <c r="B1345" s="2" t="s">
        <v>26</v>
      </c>
      <c r="C1345" s="2" t="s">
        <v>41</v>
      </c>
      <c r="D1345">
        <v>5</v>
      </c>
      <c r="E1345">
        <v>164</v>
      </c>
      <c r="F1345" s="2" t="s">
        <v>51</v>
      </c>
      <c r="G1345" s="2" t="s">
        <v>29</v>
      </c>
      <c r="H1345">
        <v>0.05</v>
      </c>
      <c r="I1345" s="2" t="s">
        <v>42</v>
      </c>
      <c r="J1345" s="2" t="s">
        <v>59</v>
      </c>
      <c r="K1345">
        <v>0</v>
      </c>
      <c r="L1345" s="2" t="s">
        <v>2640</v>
      </c>
      <c r="M1345" s="2" t="s">
        <v>2641</v>
      </c>
      <c r="N1345">
        <v>28.9</v>
      </c>
      <c r="O1345" s="1">
        <v>45141</v>
      </c>
      <c r="P1345" s="1">
        <v>45148</v>
      </c>
      <c r="Q1345" s="2" t="s">
        <v>34</v>
      </c>
      <c r="R1345" s="2">
        <v>779</v>
      </c>
    </row>
    <row r="1346" spans="1:18" x14ac:dyDescent="0.25">
      <c r="A1346" s="1">
        <v>45699</v>
      </c>
      <c r="B1346" s="2" t="s">
        <v>35</v>
      </c>
      <c r="C1346" s="2" t="s">
        <v>50</v>
      </c>
      <c r="D1346">
        <v>12</v>
      </c>
      <c r="E1346">
        <v>142</v>
      </c>
      <c r="F1346" s="2" t="s">
        <v>19</v>
      </c>
      <c r="G1346" s="2" t="s">
        <v>20</v>
      </c>
      <c r="H1346">
        <v>0</v>
      </c>
      <c r="I1346" s="2" t="s">
        <v>42</v>
      </c>
      <c r="J1346" s="2" t="s">
        <v>53</v>
      </c>
      <c r="K1346">
        <v>0</v>
      </c>
      <c r="L1346" s="2" t="s">
        <v>2642</v>
      </c>
      <c r="M1346" s="2" t="s">
        <v>2643</v>
      </c>
      <c r="N1346">
        <v>11.72</v>
      </c>
      <c r="O1346" s="1">
        <v>45699</v>
      </c>
      <c r="P1346" s="1">
        <v>45709</v>
      </c>
      <c r="Q1346" s="2" t="s">
        <v>39</v>
      </c>
      <c r="R1346" s="2">
        <v>1704</v>
      </c>
    </row>
    <row r="1347" spans="1:18" x14ac:dyDescent="0.25">
      <c r="A1347" s="1">
        <v>45094</v>
      </c>
      <c r="B1347" s="2" t="s">
        <v>26</v>
      </c>
      <c r="C1347" s="2" t="s">
        <v>41</v>
      </c>
      <c r="D1347">
        <v>6</v>
      </c>
      <c r="E1347">
        <v>332</v>
      </c>
      <c r="F1347" s="2" t="s">
        <v>19</v>
      </c>
      <c r="G1347" s="2" t="s">
        <v>20</v>
      </c>
      <c r="H1347">
        <v>0.1</v>
      </c>
      <c r="I1347" s="2" t="s">
        <v>62</v>
      </c>
      <c r="J1347" s="2" t="s">
        <v>22</v>
      </c>
      <c r="K1347">
        <v>0</v>
      </c>
      <c r="L1347" s="2" t="s">
        <v>2644</v>
      </c>
      <c r="M1347" s="2" t="s">
        <v>2645</v>
      </c>
      <c r="N1347">
        <v>21.95</v>
      </c>
      <c r="O1347" s="1">
        <v>45094</v>
      </c>
      <c r="P1347" s="1">
        <v>45098</v>
      </c>
      <c r="Q1347" s="2" t="s">
        <v>34</v>
      </c>
      <c r="R1347" s="2">
        <v>1793</v>
      </c>
    </row>
    <row r="1348" spans="1:18" x14ac:dyDescent="0.25">
      <c r="A1348" s="1">
        <v>45327</v>
      </c>
      <c r="B1348" s="2" t="s">
        <v>40</v>
      </c>
      <c r="C1348" s="2" t="s">
        <v>50</v>
      </c>
      <c r="D1348">
        <v>14</v>
      </c>
      <c r="E1348">
        <v>464</v>
      </c>
      <c r="F1348" s="2" t="s">
        <v>51</v>
      </c>
      <c r="G1348" s="2" t="s">
        <v>29</v>
      </c>
      <c r="H1348">
        <v>0.15</v>
      </c>
      <c r="I1348" s="2" t="s">
        <v>52</v>
      </c>
      <c r="J1348" s="2" t="s">
        <v>31</v>
      </c>
      <c r="K1348">
        <v>0</v>
      </c>
      <c r="L1348" s="2" t="s">
        <v>2646</v>
      </c>
      <c r="M1348" s="2" t="s">
        <v>2647</v>
      </c>
      <c r="N1348">
        <v>29.19</v>
      </c>
      <c r="O1348" s="1">
        <v>45327</v>
      </c>
      <c r="P1348" s="1">
        <v>45336</v>
      </c>
      <c r="Q1348" s="2" t="s">
        <v>45</v>
      </c>
      <c r="R1348" s="2">
        <v>5522</v>
      </c>
    </row>
    <row r="1349" spans="1:18" x14ac:dyDescent="0.25">
      <c r="A1349" s="1">
        <v>45368</v>
      </c>
      <c r="B1349" s="2" t="s">
        <v>26</v>
      </c>
      <c r="C1349" s="2" t="s">
        <v>36</v>
      </c>
      <c r="D1349">
        <v>10</v>
      </c>
      <c r="E1349">
        <v>68</v>
      </c>
      <c r="F1349" s="2" t="s">
        <v>28</v>
      </c>
      <c r="G1349" s="2" t="s">
        <v>20</v>
      </c>
      <c r="H1349">
        <v>0.15</v>
      </c>
      <c r="I1349" s="2" t="s">
        <v>52</v>
      </c>
      <c r="J1349" s="2" t="s">
        <v>53</v>
      </c>
      <c r="K1349">
        <v>0</v>
      </c>
      <c r="L1349" s="2" t="s">
        <v>2648</v>
      </c>
      <c r="M1349" s="2" t="s">
        <v>1892</v>
      </c>
      <c r="N1349">
        <v>24.33</v>
      </c>
      <c r="O1349" s="1">
        <v>45368</v>
      </c>
      <c r="P1349" s="1">
        <v>45378</v>
      </c>
      <c r="Q1349" s="2" t="s">
        <v>34</v>
      </c>
      <c r="R1349" s="2">
        <v>578</v>
      </c>
    </row>
    <row r="1350" spans="1:18" x14ac:dyDescent="0.25">
      <c r="A1350" s="1">
        <v>45325</v>
      </c>
      <c r="B1350" s="2" t="s">
        <v>40</v>
      </c>
      <c r="C1350" s="2" t="s">
        <v>18</v>
      </c>
      <c r="D1350">
        <v>8</v>
      </c>
      <c r="E1350">
        <v>27</v>
      </c>
      <c r="F1350" s="2" t="s">
        <v>46</v>
      </c>
      <c r="G1350" s="2" t="s">
        <v>20</v>
      </c>
      <c r="H1350">
        <v>0.05</v>
      </c>
      <c r="I1350" s="2" t="s">
        <v>21</v>
      </c>
      <c r="J1350" s="2" t="s">
        <v>22</v>
      </c>
      <c r="K1350">
        <v>1</v>
      </c>
      <c r="L1350" s="2" t="s">
        <v>2649</v>
      </c>
      <c r="M1350" s="2" t="s">
        <v>2650</v>
      </c>
      <c r="N1350">
        <v>42.65</v>
      </c>
      <c r="O1350" s="1">
        <v>45325</v>
      </c>
      <c r="P1350" s="1">
        <v>45331</v>
      </c>
      <c r="Q1350" s="2" t="s">
        <v>45</v>
      </c>
      <c r="R1350" s="2">
        <v>205</v>
      </c>
    </row>
    <row r="1351" spans="1:18" x14ac:dyDescent="0.25">
      <c r="A1351" s="1">
        <v>45016</v>
      </c>
      <c r="B1351" s="2" t="s">
        <v>35</v>
      </c>
      <c r="C1351" s="2" t="s">
        <v>75</v>
      </c>
      <c r="D1351">
        <v>9</v>
      </c>
      <c r="E1351">
        <v>79</v>
      </c>
      <c r="F1351" s="2" t="s">
        <v>51</v>
      </c>
      <c r="G1351" s="2" t="s">
        <v>29</v>
      </c>
      <c r="H1351">
        <v>0.1</v>
      </c>
      <c r="I1351" s="2" t="s">
        <v>30</v>
      </c>
      <c r="J1351" s="2" t="s">
        <v>22</v>
      </c>
      <c r="K1351">
        <v>0</v>
      </c>
      <c r="L1351" s="2" t="s">
        <v>2651</v>
      </c>
      <c r="M1351" s="2" t="s">
        <v>1591</v>
      </c>
      <c r="N1351">
        <v>9.2899999999999991</v>
      </c>
      <c r="O1351" s="1">
        <v>45016</v>
      </c>
      <c r="P1351" s="1">
        <v>45026</v>
      </c>
      <c r="Q1351" s="2" t="s">
        <v>39</v>
      </c>
      <c r="R1351" s="2">
        <v>640</v>
      </c>
    </row>
    <row r="1352" spans="1:18" x14ac:dyDescent="0.25">
      <c r="A1352" s="1">
        <v>45156</v>
      </c>
      <c r="B1352" s="2" t="s">
        <v>65</v>
      </c>
      <c r="C1352" s="2" t="s">
        <v>75</v>
      </c>
      <c r="D1352">
        <v>16</v>
      </c>
      <c r="E1352">
        <v>175</v>
      </c>
      <c r="F1352" s="2" t="s">
        <v>19</v>
      </c>
      <c r="G1352" s="2" t="s">
        <v>20</v>
      </c>
      <c r="H1352">
        <v>0.15</v>
      </c>
      <c r="I1352" s="2" t="s">
        <v>42</v>
      </c>
      <c r="J1352" s="2" t="s">
        <v>53</v>
      </c>
      <c r="K1352">
        <v>0</v>
      </c>
      <c r="L1352" s="2" t="s">
        <v>2652</v>
      </c>
      <c r="M1352" s="2" t="s">
        <v>2306</v>
      </c>
      <c r="N1352">
        <v>45.99</v>
      </c>
      <c r="O1352" s="1">
        <v>45156</v>
      </c>
      <c r="P1352" s="1">
        <v>45160</v>
      </c>
      <c r="Q1352" s="2" t="s">
        <v>68</v>
      </c>
      <c r="R1352" s="2">
        <v>2380</v>
      </c>
    </row>
    <row r="1353" spans="1:18" x14ac:dyDescent="0.25">
      <c r="A1353" s="1">
        <v>45179</v>
      </c>
      <c r="B1353" s="2" t="s">
        <v>40</v>
      </c>
      <c r="C1353" s="2" t="s">
        <v>126</v>
      </c>
      <c r="D1353">
        <v>4</v>
      </c>
      <c r="E1353">
        <v>306</v>
      </c>
      <c r="F1353" s="2" t="s">
        <v>46</v>
      </c>
      <c r="G1353" s="2" t="s">
        <v>20</v>
      </c>
      <c r="H1353">
        <v>0.05</v>
      </c>
      <c r="I1353" s="2" t="s">
        <v>47</v>
      </c>
      <c r="J1353" s="2" t="s">
        <v>31</v>
      </c>
      <c r="K1353">
        <v>1</v>
      </c>
      <c r="L1353" s="2" t="s">
        <v>2653</v>
      </c>
      <c r="M1353" s="2" t="s">
        <v>1324</v>
      </c>
      <c r="N1353">
        <v>32.75</v>
      </c>
      <c r="O1353" s="1">
        <v>45179</v>
      </c>
      <c r="P1353" s="1">
        <v>45182</v>
      </c>
      <c r="Q1353" s="2" t="s">
        <v>45</v>
      </c>
      <c r="R1353" s="2">
        <v>1163</v>
      </c>
    </row>
    <row r="1354" spans="1:18" x14ac:dyDescent="0.25">
      <c r="A1354" s="1">
        <v>45320</v>
      </c>
      <c r="B1354" s="2" t="s">
        <v>26</v>
      </c>
      <c r="C1354" s="2" t="s">
        <v>75</v>
      </c>
      <c r="D1354">
        <v>12</v>
      </c>
      <c r="E1354">
        <v>164</v>
      </c>
      <c r="F1354" s="2" t="s">
        <v>46</v>
      </c>
      <c r="G1354" s="2" t="s">
        <v>29</v>
      </c>
      <c r="H1354">
        <v>0</v>
      </c>
      <c r="I1354" s="2" t="s">
        <v>62</v>
      </c>
      <c r="J1354" s="2" t="s">
        <v>53</v>
      </c>
      <c r="K1354">
        <v>0</v>
      </c>
      <c r="L1354" s="2" t="s">
        <v>2654</v>
      </c>
      <c r="M1354" s="2" t="s">
        <v>2631</v>
      </c>
      <c r="N1354">
        <v>21.46</v>
      </c>
      <c r="O1354" s="1">
        <v>45320</v>
      </c>
      <c r="P1354" s="1">
        <v>45325</v>
      </c>
      <c r="Q1354" s="2" t="s">
        <v>34</v>
      </c>
      <c r="R1354" s="2">
        <v>1968</v>
      </c>
    </row>
    <row r="1355" spans="1:18" x14ac:dyDescent="0.25">
      <c r="A1355" s="1">
        <v>45372</v>
      </c>
      <c r="B1355" s="2" t="s">
        <v>35</v>
      </c>
      <c r="C1355" s="2" t="s">
        <v>75</v>
      </c>
      <c r="D1355">
        <v>20</v>
      </c>
      <c r="E1355">
        <v>336</v>
      </c>
      <c r="F1355" s="2" t="s">
        <v>46</v>
      </c>
      <c r="G1355" s="2" t="s">
        <v>29</v>
      </c>
      <c r="H1355">
        <v>0</v>
      </c>
      <c r="I1355" s="2" t="s">
        <v>21</v>
      </c>
      <c r="J1355" s="2" t="s">
        <v>31</v>
      </c>
      <c r="K1355">
        <v>0</v>
      </c>
      <c r="L1355" s="2" t="s">
        <v>2655</v>
      </c>
      <c r="M1355" s="2" t="s">
        <v>2656</v>
      </c>
      <c r="N1355">
        <v>25.02</v>
      </c>
      <c r="O1355" s="1">
        <v>45372</v>
      </c>
      <c r="P1355" s="1">
        <v>45381</v>
      </c>
      <c r="Q1355" s="2" t="s">
        <v>39</v>
      </c>
      <c r="R1355" s="2">
        <v>6720</v>
      </c>
    </row>
    <row r="1356" spans="1:18" x14ac:dyDescent="0.25">
      <c r="A1356" s="1">
        <v>45507</v>
      </c>
      <c r="B1356" s="2" t="s">
        <v>65</v>
      </c>
      <c r="C1356" s="2" t="s">
        <v>75</v>
      </c>
      <c r="D1356">
        <v>7</v>
      </c>
      <c r="E1356">
        <v>180</v>
      </c>
      <c r="F1356" s="2" t="s">
        <v>51</v>
      </c>
      <c r="G1356" s="2" t="s">
        <v>29</v>
      </c>
      <c r="H1356">
        <v>0.1</v>
      </c>
      <c r="I1356" s="2" t="s">
        <v>52</v>
      </c>
      <c r="J1356" s="2" t="s">
        <v>31</v>
      </c>
      <c r="K1356">
        <v>0</v>
      </c>
      <c r="L1356" s="2" t="s">
        <v>2657</v>
      </c>
      <c r="M1356" s="2" t="s">
        <v>2658</v>
      </c>
      <c r="N1356">
        <v>36.79</v>
      </c>
      <c r="O1356" s="1">
        <v>45507</v>
      </c>
      <c r="P1356" s="1">
        <v>45509</v>
      </c>
      <c r="Q1356" s="2" t="s">
        <v>68</v>
      </c>
      <c r="R1356" s="2">
        <v>1134</v>
      </c>
    </row>
    <row r="1357" spans="1:18" x14ac:dyDescent="0.25">
      <c r="A1357" s="1">
        <v>45782</v>
      </c>
      <c r="B1357" s="2" t="s">
        <v>35</v>
      </c>
      <c r="C1357" s="2" t="s">
        <v>50</v>
      </c>
      <c r="D1357">
        <v>1</v>
      </c>
      <c r="E1357">
        <v>22</v>
      </c>
      <c r="F1357" s="2" t="s">
        <v>46</v>
      </c>
      <c r="G1357" s="2" t="s">
        <v>29</v>
      </c>
      <c r="H1357">
        <v>0</v>
      </c>
      <c r="I1357" s="2" t="s">
        <v>30</v>
      </c>
      <c r="J1357" s="2" t="s">
        <v>59</v>
      </c>
      <c r="K1357">
        <v>0</v>
      </c>
      <c r="L1357" s="2" t="s">
        <v>2659</v>
      </c>
      <c r="M1357" s="2" t="s">
        <v>2660</v>
      </c>
      <c r="N1357">
        <v>7.35</v>
      </c>
      <c r="O1357" s="1">
        <v>45782</v>
      </c>
      <c r="P1357" s="1">
        <v>45791</v>
      </c>
      <c r="Q1357" s="2" t="s">
        <v>39</v>
      </c>
      <c r="R1357" s="2">
        <v>22</v>
      </c>
    </row>
    <row r="1358" spans="1:18" x14ac:dyDescent="0.25">
      <c r="A1358" s="1">
        <v>44965</v>
      </c>
      <c r="B1358" s="2" t="s">
        <v>65</v>
      </c>
      <c r="C1358" s="2" t="s">
        <v>75</v>
      </c>
      <c r="D1358">
        <v>13</v>
      </c>
      <c r="E1358">
        <v>149</v>
      </c>
      <c r="F1358" s="2" t="s">
        <v>46</v>
      </c>
      <c r="G1358" s="2" t="s">
        <v>29</v>
      </c>
      <c r="H1358">
        <v>0.1</v>
      </c>
      <c r="I1358" s="2" t="s">
        <v>21</v>
      </c>
      <c r="J1358" s="2" t="s">
        <v>59</v>
      </c>
      <c r="K1358">
        <v>1</v>
      </c>
      <c r="L1358" s="2" t="s">
        <v>2661</v>
      </c>
      <c r="M1358" s="2" t="s">
        <v>1199</v>
      </c>
      <c r="N1358">
        <v>20.9</v>
      </c>
      <c r="O1358" s="1">
        <v>44965</v>
      </c>
      <c r="P1358" s="1">
        <v>44973</v>
      </c>
      <c r="Q1358" s="2" t="s">
        <v>68</v>
      </c>
      <c r="R1358" s="2">
        <v>1743</v>
      </c>
    </row>
    <row r="1359" spans="1:18" x14ac:dyDescent="0.25">
      <c r="A1359" s="1">
        <v>45072</v>
      </c>
      <c r="B1359" s="2" t="s">
        <v>40</v>
      </c>
      <c r="C1359" s="2" t="s">
        <v>41</v>
      </c>
      <c r="D1359">
        <v>7</v>
      </c>
      <c r="E1359">
        <v>221</v>
      </c>
      <c r="F1359" s="2" t="s">
        <v>28</v>
      </c>
      <c r="G1359" s="2" t="s">
        <v>20</v>
      </c>
      <c r="H1359">
        <v>0.15</v>
      </c>
      <c r="I1359" s="2" t="s">
        <v>62</v>
      </c>
      <c r="J1359" s="2" t="s">
        <v>31</v>
      </c>
      <c r="K1359">
        <v>0</v>
      </c>
      <c r="L1359" s="2" t="s">
        <v>2662</v>
      </c>
      <c r="M1359" s="2" t="s">
        <v>2663</v>
      </c>
      <c r="N1359">
        <v>15.25</v>
      </c>
      <c r="O1359" s="1">
        <v>45072</v>
      </c>
      <c r="P1359" s="1">
        <v>45082</v>
      </c>
      <c r="Q1359" s="2" t="s">
        <v>45</v>
      </c>
      <c r="R1359" s="2">
        <v>1315</v>
      </c>
    </row>
    <row r="1360" spans="1:18" x14ac:dyDescent="0.25">
      <c r="A1360" s="1">
        <v>45488</v>
      </c>
      <c r="B1360" s="2" t="s">
        <v>17</v>
      </c>
      <c r="C1360" s="2" t="s">
        <v>41</v>
      </c>
      <c r="D1360">
        <v>1</v>
      </c>
      <c r="E1360">
        <v>364</v>
      </c>
      <c r="F1360" s="2" t="s">
        <v>28</v>
      </c>
      <c r="G1360" s="2" t="s">
        <v>29</v>
      </c>
      <c r="H1360">
        <v>0.1</v>
      </c>
      <c r="I1360" s="2" t="s">
        <v>30</v>
      </c>
      <c r="J1360" s="2" t="s">
        <v>56</v>
      </c>
      <c r="K1360">
        <v>0</v>
      </c>
      <c r="L1360" s="2" t="s">
        <v>2664</v>
      </c>
      <c r="M1360" s="2" t="s">
        <v>2665</v>
      </c>
      <c r="N1360">
        <v>8.91</v>
      </c>
      <c r="O1360" s="1">
        <v>45488</v>
      </c>
      <c r="P1360" s="1">
        <v>45495</v>
      </c>
      <c r="Q1360" s="2" t="s">
        <v>25</v>
      </c>
      <c r="R1360" s="2">
        <v>328</v>
      </c>
    </row>
    <row r="1361" spans="1:18" x14ac:dyDescent="0.25">
      <c r="A1361" s="1">
        <v>45644</v>
      </c>
      <c r="B1361" s="2" t="s">
        <v>35</v>
      </c>
      <c r="C1361" s="2" t="s">
        <v>50</v>
      </c>
      <c r="D1361">
        <v>9</v>
      </c>
      <c r="E1361">
        <v>306</v>
      </c>
      <c r="F1361" s="2" t="s">
        <v>46</v>
      </c>
      <c r="G1361" s="2" t="s">
        <v>20</v>
      </c>
      <c r="H1361">
        <v>0</v>
      </c>
      <c r="I1361" s="2" t="s">
        <v>62</v>
      </c>
      <c r="J1361" s="2" t="s">
        <v>22</v>
      </c>
      <c r="K1361">
        <v>0</v>
      </c>
      <c r="L1361" s="2" t="s">
        <v>2666</v>
      </c>
      <c r="M1361" s="2" t="s">
        <v>2667</v>
      </c>
      <c r="N1361">
        <v>15.81</v>
      </c>
      <c r="O1361" s="1">
        <v>45644</v>
      </c>
      <c r="P1361" s="1">
        <v>45653</v>
      </c>
      <c r="Q1361" s="2" t="s">
        <v>39</v>
      </c>
      <c r="R1361" s="2">
        <v>2754</v>
      </c>
    </row>
    <row r="1362" spans="1:18" x14ac:dyDescent="0.25">
      <c r="A1362" s="1">
        <v>45564</v>
      </c>
      <c r="B1362" s="2" t="s">
        <v>35</v>
      </c>
      <c r="C1362" s="2" t="s">
        <v>75</v>
      </c>
      <c r="D1362">
        <v>18</v>
      </c>
      <c r="E1362">
        <v>589</v>
      </c>
      <c r="F1362" s="2" t="s">
        <v>19</v>
      </c>
      <c r="G1362" s="2" t="s">
        <v>20</v>
      </c>
      <c r="H1362">
        <v>0.1</v>
      </c>
      <c r="I1362" s="2" t="s">
        <v>52</v>
      </c>
      <c r="J1362" s="2" t="s">
        <v>59</v>
      </c>
      <c r="K1362">
        <v>0</v>
      </c>
      <c r="L1362" s="2" t="s">
        <v>2668</v>
      </c>
      <c r="M1362" s="2" t="s">
        <v>2669</v>
      </c>
      <c r="N1362">
        <v>37.78</v>
      </c>
      <c r="O1362" s="1">
        <v>45564</v>
      </c>
      <c r="P1362" s="1">
        <v>45573</v>
      </c>
      <c r="Q1362" s="2" t="s">
        <v>39</v>
      </c>
      <c r="R1362" s="2">
        <v>9542</v>
      </c>
    </row>
    <row r="1363" spans="1:18" x14ac:dyDescent="0.25">
      <c r="A1363" s="1">
        <v>45590</v>
      </c>
      <c r="B1363" s="2" t="s">
        <v>26</v>
      </c>
      <c r="C1363" s="2" t="s">
        <v>36</v>
      </c>
      <c r="D1363">
        <v>16</v>
      </c>
      <c r="E1363">
        <v>249</v>
      </c>
      <c r="F1363" s="2" t="s">
        <v>46</v>
      </c>
      <c r="G1363" s="2" t="s">
        <v>20</v>
      </c>
      <c r="H1363">
        <v>0.1</v>
      </c>
      <c r="I1363" s="2" t="s">
        <v>30</v>
      </c>
      <c r="J1363" s="2" t="s">
        <v>59</v>
      </c>
      <c r="K1363">
        <v>0</v>
      </c>
      <c r="L1363" s="2" t="s">
        <v>2670</v>
      </c>
      <c r="M1363" s="2" t="s">
        <v>2671</v>
      </c>
      <c r="N1363">
        <v>20.92</v>
      </c>
      <c r="O1363" s="1">
        <v>45590</v>
      </c>
      <c r="P1363" s="1">
        <v>45597</v>
      </c>
      <c r="Q1363" s="2" t="s">
        <v>34</v>
      </c>
      <c r="R1363" s="2">
        <v>3586</v>
      </c>
    </row>
    <row r="1364" spans="1:18" x14ac:dyDescent="0.25">
      <c r="A1364" s="1">
        <v>45663</v>
      </c>
      <c r="B1364" s="2" t="s">
        <v>35</v>
      </c>
      <c r="C1364" s="2" t="s">
        <v>50</v>
      </c>
      <c r="D1364">
        <v>20</v>
      </c>
      <c r="E1364">
        <v>440</v>
      </c>
      <c r="F1364" s="2" t="s">
        <v>46</v>
      </c>
      <c r="G1364" s="2" t="s">
        <v>29</v>
      </c>
      <c r="H1364">
        <v>0.05</v>
      </c>
      <c r="I1364" s="2" t="s">
        <v>30</v>
      </c>
      <c r="J1364" s="2" t="s">
        <v>56</v>
      </c>
      <c r="K1364">
        <v>1</v>
      </c>
      <c r="L1364" s="2" t="s">
        <v>2672</v>
      </c>
      <c r="M1364" s="2" t="s">
        <v>2673</v>
      </c>
      <c r="N1364">
        <v>6.17</v>
      </c>
      <c r="O1364" s="1">
        <v>45663</v>
      </c>
      <c r="P1364" s="1">
        <v>45673</v>
      </c>
      <c r="Q1364" s="2" t="s">
        <v>39</v>
      </c>
      <c r="R1364" s="2">
        <v>8360</v>
      </c>
    </row>
    <row r="1365" spans="1:18" x14ac:dyDescent="0.25">
      <c r="A1365" s="1">
        <v>45249</v>
      </c>
      <c r="B1365" s="2" t="s">
        <v>40</v>
      </c>
      <c r="C1365" s="2" t="s">
        <v>75</v>
      </c>
      <c r="D1365">
        <v>3</v>
      </c>
      <c r="E1365">
        <v>101</v>
      </c>
      <c r="F1365" s="2" t="s">
        <v>28</v>
      </c>
      <c r="G1365" s="2" t="s">
        <v>20</v>
      </c>
      <c r="H1365">
        <v>0</v>
      </c>
      <c r="I1365" s="2" t="s">
        <v>47</v>
      </c>
      <c r="J1365" s="2" t="s">
        <v>56</v>
      </c>
      <c r="K1365">
        <v>0</v>
      </c>
      <c r="L1365" s="2" t="s">
        <v>2674</v>
      </c>
      <c r="M1365" s="2" t="s">
        <v>2675</v>
      </c>
      <c r="N1365">
        <v>23.15</v>
      </c>
      <c r="O1365" s="1">
        <v>45249</v>
      </c>
      <c r="P1365" s="1">
        <v>45251</v>
      </c>
      <c r="Q1365" s="2" t="s">
        <v>45</v>
      </c>
      <c r="R1365" s="2">
        <v>303</v>
      </c>
    </row>
    <row r="1366" spans="1:18" x14ac:dyDescent="0.25">
      <c r="A1366" s="1">
        <v>45393</v>
      </c>
      <c r="B1366" s="2" t="s">
        <v>26</v>
      </c>
      <c r="C1366" s="2" t="s">
        <v>27</v>
      </c>
      <c r="D1366">
        <v>17</v>
      </c>
      <c r="E1366">
        <v>312</v>
      </c>
      <c r="F1366" s="2" t="s">
        <v>28</v>
      </c>
      <c r="G1366" s="2" t="s">
        <v>29</v>
      </c>
      <c r="H1366">
        <v>0.05</v>
      </c>
      <c r="I1366" s="2" t="s">
        <v>21</v>
      </c>
      <c r="J1366" s="2" t="s">
        <v>22</v>
      </c>
      <c r="K1366">
        <v>1</v>
      </c>
      <c r="L1366" s="2" t="s">
        <v>2676</v>
      </c>
      <c r="M1366" s="2" t="s">
        <v>2677</v>
      </c>
      <c r="N1366">
        <v>29.9</v>
      </c>
      <c r="O1366" s="1">
        <v>45393</v>
      </c>
      <c r="P1366" s="1">
        <v>45399</v>
      </c>
      <c r="Q1366" s="2" t="s">
        <v>34</v>
      </c>
      <c r="R1366" s="2">
        <v>5039</v>
      </c>
    </row>
    <row r="1367" spans="1:18" x14ac:dyDescent="0.25">
      <c r="A1367" s="1">
        <v>45381</v>
      </c>
      <c r="B1367" s="2" t="s">
        <v>26</v>
      </c>
      <c r="C1367" s="2" t="s">
        <v>50</v>
      </c>
      <c r="D1367">
        <v>2</v>
      </c>
      <c r="E1367">
        <v>441</v>
      </c>
      <c r="F1367" s="2" t="s">
        <v>19</v>
      </c>
      <c r="G1367" s="2" t="s">
        <v>29</v>
      </c>
      <c r="H1367">
        <v>0.15</v>
      </c>
      <c r="I1367" s="2" t="s">
        <v>62</v>
      </c>
      <c r="J1367" s="2" t="s">
        <v>59</v>
      </c>
      <c r="K1367">
        <v>1</v>
      </c>
      <c r="L1367" s="2" t="s">
        <v>2678</v>
      </c>
      <c r="M1367" s="2" t="s">
        <v>2679</v>
      </c>
      <c r="N1367">
        <v>23.07</v>
      </c>
      <c r="O1367" s="1">
        <v>45381</v>
      </c>
      <c r="P1367" s="1">
        <v>45388</v>
      </c>
      <c r="Q1367" s="2" t="s">
        <v>34</v>
      </c>
      <c r="R1367" s="2">
        <v>750</v>
      </c>
    </row>
    <row r="1368" spans="1:18" x14ac:dyDescent="0.25">
      <c r="A1368" s="1">
        <v>45621</v>
      </c>
      <c r="B1368" s="2" t="s">
        <v>35</v>
      </c>
      <c r="C1368" s="2" t="s">
        <v>41</v>
      </c>
      <c r="D1368">
        <v>20</v>
      </c>
      <c r="E1368">
        <v>287</v>
      </c>
      <c r="F1368" s="2" t="s">
        <v>51</v>
      </c>
      <c r="G1368" s="2" t="s">
        <v>29</v>
      </c>
      <c r="H1368">
        <v>0.1</v>
      </c>
      <c r="I1368" s="2" t="s">
        <v>47</v>
      </c>
      <c r="J1368" s="2" t="s">
        <v>56</v>
      </c>
      <c r="K1368">
        <v>0</v>
      </c>
      <c r="L1368" s="2" t="s">
        <v>2680</v>
      </c>
      <c r="M1368" s="2" t="s">
        <v>490</v>
      </c>
      <c r="N1368">
        <v>15.54</v>
      </c>
      <c r="O1368" s="1">
        <v>45621</v>
      </c>
      <c r="P1368" s="1">
        <v>45625</v>
      </c>
      <c r="Q1368" s="2" t="s">
        <v>39</v>
      </c>
      <c r="R1368" s="2">
        <v>5166</v>
      </c>
    </row>
    <row r="1369" spans="1:18" x14ac:dyDescent="0.25">
      <c r="A1369" s="1">
        <v>45663</v>
      </c>
      <c r="B1369" s="2" t="s">
        <v>35</v>
      </c>
      <c r="C1369" s="2" t="s">
        <v>126</v>
      </c>
      <c r="D1369">
        <v>13</v>
      </c>
      <c r="E1369">
        <v>484</v>
      </c>
      <c r="F1369" s="2" t="s">
        <v>28</v>
      </c>
      <c r="G1369" s="2" t="s">
        <v>29</v>
      </c>
      <c r="H1369">
        <v>0.05</v>
      </c>
      <c r="I1369" s="2" t="s">
        <v>47</v>
      </c>
      <c r="J1369" s="2" t="s">
        <v>59</v>
      </c>
      <c r="K1369">
        <v>0</v>
      </c>
      <c r="L1369" s="2" t="s">
        <v>2681</v>
      </c>
      <c r="M1369" s="2" t="s">
        <v>2682</v>
      </c>
      <c r="N1369">
        <v>18.22</v>
      </c>
      <c r="O1369" s="1">
        <v>45663</v>
      </c>
      <c r="P1369" s="1">
        <v>45672</v>
      </c>
      <c r="Q1369" s="2" t="s">
        <v>39</v>
      </c>
      <c r="R1369" s="2">
        <v>5977</v>
      </c>
    </row>
    <row r="1370" spans="1:18" x14ac:dyDescent="0.25">
      <c r="A1370" s="1">
        <v>45031</v>
      </c>
      <c r="B1370" s="2" t="s">
        <v>65</v>
      </c>
      <c r="C1370" s="2" t="s">
        <v>75</v>
      </c>
      <c r="D1370">
        <v>8</v>
      </c>
      <c r="E1370">
        <v>304</v>
      </c>
      <c r="F1370" s="2" t="s">
        <v>19</v>
      </c>
      <c r="G1370" s="2" t="s">
        <v>20</v>
      </c>
      <c r="H1370">
        <v>0.05</v>
      </c>
      <c r="I1370" s="2" t="s">
        <v>47</v>
      </c>
      <c r="J1370" s="2" t="s">
        <v>56</v>
      </c>
      <c r="K1370">
        <v>0</v>
      </c>
      <c r="L1370" s="2" t="s">
        <v>2683</v>
      </c>
      <c r="M1370" s="2" t="s">
        <v>2684</v>
      </c>
      <c r="N1370">
        <v>41.73</v>
      </c>
      <c r="O1370" s="1">
        <v>45031</v>
      </c>
      <c r="P1370" s="1">
        <v>45034</v>
      </c>
      <c r="Q1370" s="2" t="s">
        <v>68</v>
      </c>
      <c r="R1370" s="2">
        <v>2310</v>
      </c>
    </row>
    <row r="1371" spans="1:18" x14ac:dyDescent="0.25">
      <c r="A1371" s="1">
        <v>45329</v>
      </c>
      <c r="B1371" s="2" t="s">
        <v>17</v>
      </c>
      <c r="C1371" s="2" t="s">
        <v>126</v>
      </c>
      <c r="D1371">
        <v>10</v>
      </c>
      <c r="E1371">
        <v>452</v>
      </c>
      <c r="F1371" s="2" t="s">
        <v>28</v>
      </c>
      <c r="G1371" s="2" t="s">
        <v>29</v>
      </c>
      <c r="H1371">
        <v>0.1</v>
      </c>
      <c r="I1371" s="2" t="s">
        <v>21</v>
      </c>
      <c r="J1371" s="2" t="s">
        <v>59</v>
      </c>
      <c r="K1371">
        <v>0</v>
      </c>
      <c r="L1371" s="2" t="s">
        <v>2685</v>
      </c>
      <c r="M1371" s="2" t="s">
        <v>2686</v>
      </c>
      <c r="N1371">
        <v>15.87</v>
      </c>
      <c r="O1371" s="1">
        <v>45329</v>
      </c>
      <c r="P1371" s="1">
        <v>45339</v>
      </c>
      <c r="Q1371" s="2" t="s">
        <v>25</v>
      </c>
      <c r="R1371" s="2">
        <v>4068</v>
      </c>
    </row>
    <row r="1372" spans="1:18" x14ac:dyDescent="0.25">
      <c r="A1372" s="1">
        <v>45079</v>
      </c>
      <c r="B1372" s="2" t="s">
        <v>17</v>
      </c>
      <c r="C1372" s="2" t="s">
        <v>126</v>
      </c>
      <c r="D1372">
        <v>4</v>
      </c>
      <c r="E1372">
        <v>248</v>
      </c>
      <c r="F1372" s="2" t="s">
        <v>19</v>
      </c>
      <c r="G1372" s="2" t="s">
        <v>29</v>
      </c>
      <c r="H1372">
        <v>0.1</v>
      </c>
      <c r="I1372" s="2" t="s">
        <v>52</v>
      </c>
      <c r="J1372" s="2" t="s">
        <v>53</v>
      </c>
      <c r="K1372">
        <v>1</v>
      </c>
      <c r="L1372" s="2" t="s">
        <v>2687</v>
      </c>
      <c r="M1372" s="2" t="s">
        <v>2688</v>
      </c>
      <c r="N1372">
        <v>45.11</v>
      </c>
      <c r="O1372" s="1">
        <v>45079</v>
      </c>
      <c r="P1372" s="1">
        <v>45082</v>
      </c>
      <c r="Q1372" s="2" t="s">
        <v>25</v>
      </c>
      <c r="R1372" s="2">
        <v>893</v>
      </c>
    </row>
    <row r="1373" spans="1:18" x14ac:dyDescent="0.25">
      <c r="A1373" s="1">
        <v>45162</v>
      </c>
      <c r="B1373" s="2" t="s">
        <v>17</v>
      </c>
      <c r="C1373" s="2" t="s">
        <v>18</v>
      </c>
      <c r="D1373">
        <v>4</v>
      </c>
      <c r="E1373">
        <v>520</v>
      </c>
      <c r="F1373" s="2" t="s">
        <v>28</v>
      </c>
      <c r="G1373" s="2" t="s">
        <v>29</v>
      </c>
      <c r="H1373">
        <v>0</v>
      </c>
      <c r="I1373" s="2" t="s">
        <v>21</v>
      </c>
      <c r="J1373" s="2" t="s">
        <v>53</v>
      </c>
      <c r="K1373">
        <v>0</v>
      </c>
      <c r="L1373" s="2" t="s">
        <v>2689</v>
      </c>
      <c r="M1373" s="2" t="s">
        <v>2690</v>
      </c>
      <c r="N1373">
        <v>18.25</v>
      </c>
      <c r="O1373" s="1">
        <v>45162</v>
      </c>
      <c r="P1373" s="1">
        <v>45171</v>
      </c>
      <c r="Q1373" s="2" t="s">
        <v>25</v>
      </c>
      <c r="R1373" s="2">
        <v>2080</v>
      </c>
    </row>
    <row r="1374" spans="1:18" x14ac:dyDescent="0.25">
      <c r="A1374" s="1">
        <v>45632</v>
      </c>
      <c r="B1374" s="2" t="s">
        <v>26</v>
      </c>
      <c r="C1374" s="2" t="s">
        <v>41</v>
      </c>
      <c r="D1374">
        <v>11</v>
      </c>
      <c r="E1374">
        <v>571</v>
      </c>
      <c r="F1374" s="2" t="s">
        <v>28</v>
      </c>
      <c r="G1374" s="2" t="s">
        <v>29</v>
      </c>
      <c r="H1374">
        <v>0</v>
      </c>
      <c r="I1374" s="2" t="s">
        <v>42</v>
      </c>
      <c r="J1374" s="2" t="s">
        <v>31</v>
      </c>
      <c r="K1374">
        <v>0</v>
      </c>
      <c r="L1374" s="2" t="s">
        <v>2691</v>
      </c>
      <c r="M1374" s="2" t="s">
        <v>2692</v>
      </c>
      <c r="N1374">
        <v>12.6</v>
      </c>
      <c r="O1374" s="1">
        <v>45632</v>
      </c>
      <c r="P1374" s="1">
        <v>45637</v>
      </c>
      <c r="Q1374" s="2" t="s">
        <v>34</v>
      </c>
      <c r="R1374" s="2">
        <v>6281</v>
      </c>
    </row>
    <row r="1375" spans="1:18" x14ac:dyDescent="0.25">
      <c r="A1375" s="1">
        <v>45268</v>
      </c>
      <c r="B1375" s="2" t="s">
        <v>17</v>
      </c>
      <c r="C1375" s="2" t="s">
        <v>75</v>
      </c>
      <c r="D1375">
        <v>11</v>
      </c>
      <c r="E1375">
        <v>66</v>
      </c>
      <c r="F1375" s="2" t="s">
        <v>51</v>
      </c>
      <c r="G1375" s="2" t="s">
        <v>29</v>
      </c>
      <c r="H1375">
        <v>0.1</v>
      </c>
      <c r="I1375" s="2" t="s">
        <v>52</v>
      </c>
      <c r="J1375" s="2" t="s">
        <v>56</v>
      </c>
      <c r="K1375">
        <v>1</v>
      </c>
      <c r="L1375" s="2" t="s">
        <v>2693</v>
      </c>
      <c r="M1375" s="2" t="s">
        <v>2694</v>
      </c>
      <c r="N1375">
        <v>30.43</v>
      </c>
      <c r="O1375" s="1">
        <v>45268</v>
      </c>
      <c r="P1375" s="1">
        <v>45274</v>
      </c>
      <c r="Q1375" s="2" t="s">
        <v>25</v>
      </c>
      <c r="R1375" s="2">
        <v>653</v>
      </c>
    </row>
    <row r="1376" spans="1:18" x14ac:dyDescent="0.25">
      <c r="A1376" s="1">
        <v>45058</v>
      </c>
      <c r="B1376" s="2" t="s">
        <v>26</v>
      </c>
      <c r="C1376" s="2" t="s">
        <v>75</v>
      </c>
      <c r="D1376">
        <v>4</v>
      </c>
      <c r="E1376">
        <v>397</v>
      </c>
      <c r="F1376" s="2" t="s">
        <v>28</v>
      </c>
      <c r="G1376" s="2" t="s">
        <v>20</v>
      </c>
      <c r="H1376">
        <v>0</v>
      </c>
      <c r="I1376" s="2" t="s">
        <v>42</v>
      </c>
      <c r="J1376" s="2" t="s">
        <v>59</v>
      </c>
      <c r="K1376">
        <v>0</v>
      </c>
      <c r="L1376" s="2" t="s">
        <v>2695</v>
      </c>
      <c r="M1376" s="2" t="s">
        <v>2696</v>
      </c>
      <c r="N1376">
        <v>23.25</v>
      </c>
      <c r="O1376" s="1">
        <v>45058</v>
      </c>
      <c r="P1376" s="1">
        <v>45066</v>
      </c>
      <c r="Q1376" s="2" t="s">
        <v>34</v>
      </c>
      <c r="R1376" s="2">
        <v>1588</v>
      </c>
    </row>
    <row r="1377" spans="1:18" x14ac:dyDescent="0.25">
      <c r="A1377" s="1">
        <v>45771</v>
      </c>
      <c r="B1377" s="2" t="s">
        <v>65</v>
      </c>
      <c r="C1377" s="2" t="s">
        <v>18</v>
      </c>
      <c r="D1377">
        <v>10</v>
      </c>
      <c r="E1377">
        <v>169</v>
      </c>
      <c r="F1377" s="2" t="s">
        <v>19</v>
      </c>
      <c r="G1377" s="2" t="s">
        <v>29</v>
      </c>
      <c r="H1377">
        <v>0.05</v>
      </c>
      <c r="I1377" s="2" t="s">
        <v>30</v>
      </c>
      <c r="J1377" s="2" t="s">
        <v>53</v>
      </c>
      <c r="K1377">
        <v>0</v>
      </c>
      <c r="L1377" s="2" t="s">
        <v>2697</v>
      </c>
      <c r="M1377" s="2" t="s">
        <v>2698</v>
      </c>
      <c r="N1377">
        <v>44.91</v>
      </c>
      <c r="O1377" s="1">
        <v>45771</v>
      </c>
      <c r="P1377" s="1">
        <v>45774</v>
      </c>
      <c r="Q1377" s="2" t="s">
        <v>68</v>
      </c>
      <c r="R1377" s="2">
        <v>1606</v>
      </c>
    </row>
    <row r="1378" spans="1:18" x14ac:dyDescent="0.25">
      <c r="A1378" s="1">
        <v>45039</v>
      </c>
      <c r="B1378" s="2" t="s">
        <v>40</v>
      </c>
      <c r="C1378" s="2" t="s">
        <v>75</v>
      </c>
      <c r="D1378">
        <v>9</v>
      </c>
      <c r="E1378">
        <v>340</v>
      </c>
      <c r="F1378" s="2" t="s">
        <v>51</v>
      </c>
      <c r="G1378" s="2" t="s">
        <v>29</v>
      </c>
      <c r="H1378">
        <v>0.05</v>
      </c>
      <c r="I1378" s="2" t="s">
        <v>47</v>
      </c>
      <c r="J1378" s="2" t="s">
        <v>56</v>
      </c>
      <c r="K1378">
        <v>1</v>
      </c>
      <c r="L1378" s="2" t="s">
        <v>2699</v>
      </c>
      <c r="M1378" s="2" t="s">
        <v>2700</v>
      </c>
      <c r="N1378">
        <v>36.68</v>
      </c>
      <c r="O1378" s="1">
        <v>45039</v>
      </c>
      <c r="P1378" s="1">
        <v>45049</v>
      </c>
      <c r="Q1378" s="2" t="s">
        <v>45</v>
      </c>
      <c r="R1378" s="2">
        <v>2907</v>
      </c>
    </row>
    <row r="1379" spans="1:18" x14ac:dyDescent="0.25">
      <c r="A1379" s="1">
        <v>44944</v>
      </c>
      <c r="B1379" s="2" t="s">
        <v>35</v>
      </c>
      <c r="C1379" s="2" t="s">
        <v>50</v>
      </c>
      <c r="D1379">
        <v>1</v>
      </c>
      <c r="E1379">
        <v>120</v>
      </c>
      <c r="F1379" s="2" t="s">
        <v>51</v>
      </c>
      <c r="G1379" s="2" t="s">
        <v>29</v>
      </c>
      <c r="H1379">
        <v>0.05</v>
      </c>
      <c r="I1379" s="2" t="s">
        <v>47</v>
      </c>
      <c r="J1379" s="2" t="s">
        <v>22</v>
      </c>
      <c r="K1379">
        <v>0</v>
      </c>
      <c r="L1379" s="2" t="s">
        <v>2701</v>
      </c>
      <c r="M1379" s="2" t="s">
        <v>2570</v>
      </c>
      <c r="N1379">
        <v>44.99</v>
      </c>
      <c r="O1379" s="1">
        <v>44944</v>
      </c>
      <c r="P1379" s="1">
        <v>44947</v>
      </c>
      <c r="Q1379" s="2" t="s">
        <v>39</v>
      </c>
      <c r="R1379" s="2">
        <v>114</v>
      </c>
    </row>
    <row r="1380" spans="1:18" x14ac:dyDescent="0.25">
      <c r="A1380" s="1">
        <v>45788</v>
      </c>
      <c r="B1380" s="2" t="s">
        <v>35</v>
      </c>
      <c r="C1380" s="2" t="s">
        <v>27</v>
      </c>
      <c r="D1380">
        <v>13</v>
      </c>
      <c r="E1380">
        <v>169</v>
      </c>
      <c r="F1380" s="2" t="s">
        <v>19</v>
      </c>
      <c r="G1380" s="2" t="s">
        <v>20</v>
      </c>
      <c r="H1380">
        <v>0.15</v>
      </c>
      <c r="I1380" s="2" t="s">
        <v>52</v>
      </c>
      <c r="J1380" s="2" t="s">
        <v>53</v>
      </c>
      <c r="K1380">
        <v>0</v>
      </c>
      <c r="L1380" s="2" t="s">
        <v>2702</v>
      </c>
      <c r="M1380" s="2" t="s">
        <v>2703</v>
      </c>
      <c r="N1380">
        <v>6.81</v>
      </c>
      <c r="O1380" s="1">
        <v>45788</v>
      </c>
      <c r="P1380" s="1">
        <v>45798</v>
      </c>
      <c r="Q1380" s="2" t="s">
        <v>39</v>
      </c>
      <c r="R1380" s="2">
        <v>1867</v>
      </c>
    </row>
    <row r="1381" spans="1:18" x14ac:dyDescent="0.25">
      <c r="A1381" s="1">
        <v>45649</v>
      </c>
      <c r="B1381" s="2" t="s">
        <v>65</v>
      </c>
      <c r="C1381" s="2" t="s">
        <v>75</v>
      </c>
      <c r="D1381">
        <v>10</v>
      </c>
      <c r="E1381">
        <v>171</v>
      </c>
      <c r="F1381" s="2" t="s">
        <v>28</v>
      </c>
      <c r="G1381" s="2" t="s">
        <v>20</v>
      </c>
      <c r="H1381">
        <v>0.05</v>
      </c>
      <c r="I1381" s="2" t="s">
        <v>42</v>
      </c>
      <c r="J1381" s="2" t="s">
        <v>22</v>
      </c>
      <c r="K1381">
        <v>0</v>
      </c>
      <c r="L1381" s="2" t="s">
        <v>2704</v>
      </c>
      <c r="M1381" s="2" t="s">
        <v>2705</v>
      </c>
      <c r="N1381">
        <v>29.18</v>
      </c>
      <c r="O1381" s="1">
        <v>45649</v>
      </c>
      <c r="P1381" s="1">
        <v>45659</v>
      </c>
      <c r="Q1381" s="2" t="s">
        <v>68</v>
      </c>
      <c r="R1381" s="2">
        <v>1624</v>
      </c>
    </row>
    <row r="1382" spans="1:18" x14ac:dyDescent="0.25">
      <c r="A1382" s="1">
        <v>45158</v>
      </c>
      <c r="B1382" s="2" t="s">
        <v>65</v>
      </c>
      <c r="C1382" s="2" t="s">
        <v>36</v>
      </c>
      <c r="D1382">
        <v>9</v>
      </c>
      <c r="E1382">
        <v>324</v>
      </c>
      <c r="F1382" s="2" t="s">
        <v>28</v>
      </c>
      <c r="G1382" s="2" t="s">
        <v>20</v>
      </c>
      <c r="H1382">
        <v>0.15</v>
      </c>
      <c r="I1382" s="2" t="s">
        <v>47</v>
      </c>
      <c r="J1382" s="2" t="s">
        <v>56</v>
      </c>
      <c r="K1382">
        <v>0</v>
      </c>
      <c r="L1382" s="2" t="s">
        <v>2706</v>
      </c>
      <c r="M1382" s="2" t="s">
        <v>2707</v>
      </c>
      <c r="N1382">
        <v>6.36</v>
      </c>
      <c r="O1382" s="1">
        <v>45158</v>
      </c>
      <c r="P1382" s="1">
        <v>45166</v>
      </c>
      <c r="Q1382" s="2" t="s">
        <v>68</v>
      </c>
      <c r="R1382" s="2">
        <v>2479</v>
      </c>
    </row>
    <row r="1383" spans="1:18" x14ac:dyDescent="0.25">
      <c r="A1383" s="1">
        <v>45734</v>
      </c>
      <c r="B1383" s="2" t="s">
        <v>40</v>
      </c>
      <c r="C1383" s="2" t="s">
        <v>41</v>
      </c>
      <c r="D1383">
        <v>4</v>
      </c>
      <c r="E1383">
        <v>482</v>
      </c>
      <c r="F1383" s="2" t="s">
        <v>19</v>
      </c>
      <c r="G1383" s="2" t="s">
        <v>20</v>
      </c>
      <c r="H1383">
        <v>0</v>
      </c>
      <c r="I1383" s="2" t="s">
        <v>62</v>
      </c>
      <c r="J1383" s="2" t="s">
        <v>22</v>
      </c>
      <c r="K1383">
        <v>0</v>
      </c>
      <c r="L1383" s="2" t="s">
        <v>2708</v>
      </c>
      <c r="M1383" s="2" t="s">
        <v>2709</v>
      </c>
      <c r="N1383">
        <v>21.92</v>
      </c>
      <c r="O1383" s="1">
        <v>45734</v>
      </c>
      <c r="P1383" s="1">
        <v>45739</v>
      </c>
      <c r="Q1383" s="2" t="s">
        <v>45</v>
      </c>
      <c r="R1383" s="2">
        <v>1928</v>
      </c>
    </row>
    <row r="1384" spans="1:18" x14ac:dyDescent="0.25">
      <c r="A1384" s="1">
        <v>45307</v>
      </c>
      <c r="B1384" s="2" t="s">
        <v>40</v>
      </c>
      <c r="C1384" s="2" t="s">
        <v>27</v>
      </c>
      <c r="D1384">
        <v>4</v>
      </c>
      <c r="E1384">
        <v>78</v>
      </c>
      <c r="F1384" s="2" t="s">
        <v>28</v>
      </c>
      <c r="G1384" s="2" t="s">
        <v>29</v>
      </c>
      <c r="H1384">
        <v>0</v>
      </c>
      <c r="I1384" s="2" t="s">
        <v>47</v>
      </c>
      <c r="J1384" s="2" t="s">
        <v>53</v>
      </c>
      <c r="K1384">
        <v>0</v>
      </c>
      <c r="L1384" s="2" t="s">
        <v>2710</v>
      </c>
      <c r="M1384" s="2" t="s">
        <v>2711</v>
      </c>
      <c r="N1384">
        <v>14.03</v>
      </c>
      <c r="O1384" s="1">
        <v>45307</v>
      </c>
      <c r="P1384" s="1">
        <v>45315</v>
      </c>
      <c r="Q1384" s="2" t="s">
        <v>45</v>
      </c>
      <c r="R1384" s="2">
        <v>312</v>
      </c>
    </row>
    <row r="1385" spans="1:18" x14ac:dyDescent="0.25">
      <c r="A1385" s="1">
        <v>45441</v>
      </c>
      <c r="B1385" s="2" t="s">
        <v>17</v>
      </c>
      <c r="C1385" s="2" t="s">
        <v>75</v>
      </c>
      <c r="D1385">
        <v>6</v>
      </c>
      <c r="E1385">
        <v>57</v>
      </c>
      <c r="F1385" s="2" t="s">
        <v>46</v>
      </c>
      <c r="G1385" s="2" t="s">
        <v>20</v>
      </c>
      <c r="H1385">
        <v>0.1</v>
      </c>
      <c r="I1385" s="2" t="s">
        <v>21</v>
      </c>
      <c r="J1385" s="2" t="s">
        <v>56</v>
      </c>
      <c r="K1385">
        <v>0</v>
      </c>
      <c r="L1385" s="2" t="s">
        <v>2712</v>
      </c>
      <c r="M1385" s="2" t="s">
        <v>2713</v>
      </c>
      <c r="N1385">
        <v>26.42</v>
      </c>
      <c r="O1385" s="1">
        <v>45441</v>
      </c>
      <c r="P1385" s="1">
        <v>45451</v>
      </c>
      <c r="Q1385" s="2" t="s">
        <v>25</v>
      </c>
      <c r="R1385" s="2">
        <v>308</v>
      </c>
    </row>
    <row r="1386" spans="1:18" x14ac:dyDescent="0.25">
      <c r="A1386" s="1">
        <v>45741</v>
      </c>
      <c r="B1386" s="2" t="s">
        <v>26</v>
      </c>
      <c r="C1386" s="2" t="s">
        <v>18</v>
      </c>
      <c r="D1386">
        <v>9</v>
      </c>
      <c r="E1386">
        <v>455</v>
      </c>
      <c r="F1386" s="2" t="s">
        <v>19</v>
      </c>
      <c r="G1386" s="2" t="s">
        <v>20</v>
      </c>
      <c r="H1386">
        <v>0.15</v>
      </c>
      <c r="I1386" s="2" t="s">
        <v>21</v>
      </c>
      <c r="J1386" s="2" t="s">
        <v>53</v>
      </c>
      <c r="K1386">
        <v>0</v>
      </c>
      <c r="L1386" s="2" t="s">
        <v>2714</v>
      </c>
      <c r="M1386" s="2" t="s">
        <v>2715</v>
      </c>
      <c r="N1386">
        <v>40.76</v>
      </c>
      <c r="O1386" s="1">
        <v>45741</v>
      </c>
      <c r="P1386" s="1">
        <v>45743</v>
      </c>
      <c r="Q1386" s="2" t="s">
        <v>34</v>
      </c>
      <c r="R1386" s="2">
        <v>3481</v>
      </c>
    </row>
    <row r="1387" spans="1:18" x14ac:dyDescent="0.25">
      <c r="A1387" s="1">
        <v>45738</v>
      </c>
      <c r="B1387" s="2" t="s">
        <v>40</v>
      </c>
      <c r="C1387" s="2" t="s">
        <v>36</v>
      </c>
      <c r="D1387">
        <v>11</v>
      </c>
      <c r="E1387">
        <v>366</v>
      </c>
      <c r="F1387" s="2" t="s">
        <v>51</v>
      </c>
      <c r="G1387" s="2" t="s">
        <v>20</v>
      </c>
      <c r="H1387">
        <v>0.05</v>
      </c>
      <c r="I1387" s="2" t="s">
        <v>62</v>
      </c>
      <c r="J1387" s="2" t="s">
        <v>56</v>
      </c>
      <c r="K1387">
        <v>1</v>
      </c>
      <c r="L1387" s="2" t="s">
        <v>2716</v>
      </c>
      <c r="M1387" s="2" t="s">
        <v>2717</v>
      </c>
      <c r="N1387">
        <v>8.3699999999999992</v>
      </c>
      <c r="O1387" s="1">
        <v>45738</v>
      </c>
      <c r="P1387" s="1">
        <v>45743</v>
      </c>
      <c r="Q1387" s="2" t="s">
        <v>45</v>
      </c>
      <c r="R1387" s="2">
        <v>3825</v>
      </c>
    </row>
    <row r="1388" spans="1:18" x14ac:dyDescent="0.25">
      <c r="A1388" s="1">
        <v>45521</v>
      </c>
      <c r="B1388" s="2" t="s">
        <v>17</v>
      </c>
      <c r="C1388" s="2" t="s">
        <v>27</v>
      </c>
      <c r="D1388">
        <v>7</v>
      </c>
      <c r="E1388">
        <v>107</v>
      </c>
      <c r="F1388" s="2" t="s">
        <v>46</v>
      </c>
      <c r="G1388" s="2" t="s">
        <v>29</v>
      </c>
      <c r="H1388">
        <v>0.05</v>
      </c>
      <c r="I1388" s="2" t="s">
        <v>52</v>
      </c>
      <c r="J1388" s="2" t="s">
        <v>59</v>
      </c>
      <c r="K1388">
        <v>1</v>
      </c>
      <c r="L1388" s="2" t="s">
        <v>2718</v>
      </c>
      <c r="M1388" s="2" t="s">
        <v>2719</v>
      </c>
      <c r="N1388">
        <v>26.12</v>
      </c>
      <c r="O1388" s="1">
        <v>45521</v>
      </c>
      <c r="P1388" s="1">
        <v>45528</v>
      </c>
      <c r="Q1388" s="2" t="s">
        <v>25</v>
      </c>
      <c r="R1388" s="2">
        <v>712</v>
      </c>
    </row>
    <row r="1389" spans="1:18" x14ac:dyDescent="0.25">
      <c r="A1389" s="1">
        <v>45445</v>
      </c>
      <c r="B1389" s="2" t="s">
        <v>26</v>
      </c>
      <c r="C1389" s="2" t="s">
        <v>126</v>
      </c>
      <c r="D1389">
        <v>2</v>
      </c>
      <c r="E1389">
        <v>251</v>
      </c>
      <c r="F1389" s="2" t="s">
        <v>19</v>
      </c>
      <c r="G1389" s="2" t="s">
        <v>20</v>
      </c>
      <c r="H1389">
        <v>0.1</v>
      </c>
      <c r="I1389" s="2" t="s">
        <v>21</v>
      </c>
      <c r="J1389" s="2" t="s">
        <v>22</v>
      </c>
      <c r="K1389">
        <v>0</v>
      </c>
      <c r="L1389" s="2" t="s">
        <v>2720</v>
      </c>
      <c r="M1389" s="2" t="s">
        <v>2721</v>
      </c>
      <c r="N1389">
        <v>18.8</v>
      </c>
      <c r="O1389" s="1">
        <v>45445</v>
      </c>
      <c r="P1389" s="1">
        <v>45455</v>
      </c>
      <c r="Q1389" s="2" t="s">
        <v>34</v>
      </c>
      <c r="R1389" s="2">
        <v>452</v>
      </c>
    </row>
    <row r="1390" spans="1:18" x14ac:dyDescent="0.25">
      <c r="A1390" s="1">
        <v>45016</v>
      </c>
      <c r="B1390" s="2" t="s">
        <v>26</v>
      </c>
      <c r="C1390" s="2" t="s">
        <v>50</v>
      </c>
      <c r="D1390">
        <v>8</v>
      </c>
      <c r="E1390">
        <v>591</v>
      </c>
      <c r="F1390" s="2" t="s">
        <v>46</v>
      </c>
      <c r="G1390" s="2" t="s">
        <v>29</v>
      </c>
      <c r="H1390">
        <v>0.1</v>
      </c>
      <c r="I1390" s="2" t="s">
        <v>52</v>
      </c>
      <c r="J1390" s="2" t="s">
        <v>53</v>
      </c>
      <c r="K1390">
        <v>1</v>
      </c>
      <c r="L1390" s="2" t="s">
        <v>2722</v>
      </c>
      <c r="M1390" s="2" t="s">
        <v>2723</v>
      </c>
      <c r="N1390">
        <v>45.14</v>
      </c>
      <c r="O1390" s="1">
        <v>45016</v>
      </c>
      <c r="P1390" s="1">
        <v>45026</v>
      </c>
      <c r="Q1390" s="2" t="s">
        <v>34</v>
      </c>
      <c r="R1390" s="2">
        <v>4255</v>
      </c>
    </row>
    <row r="1391" spans="1:18" x14ac:dyDescent="0.25">
      <c r="A1391" s="1">
        <v>45431</v>
      </c>
      <c r="B1391" s="2" t="s">
        <v>65</v>
      </c>
      <c r="C1391" s="2" t="s">
        <v>50</v>
      </c>
      <c r="D1391">
        <v>18</v>
      </c>
      <c r="E1391">
        <v>370</v>
      </c>
      <c r="F1391" s="2" t="s">
        <v>28</v>
      </c>
      <c r="G1391" s="2" t="s">
        <v>20</v>
      </c>
      <c r="H1391">
        <v>0.05</v>
      </c>
      <c r="I1391" s="2" t="s">
        <v>21</v>
      </c>
      <c r="J1391" s="2" t="s">
        <v>59</v>
      </c>
      <c r="K1391">
        <v>1</v>
      </c>
      <c r="L1391" s="2" t="s">
        <v>2724</v>
      </c>
      <c r="M1391" s="2" t="s">
        <v>2725</v>
      </c>
      <c r="N1391">
        <v>16.399999999999999</v>
      </c>
      <c r="O1391" s="1">
        <v>45431</v>
      </c>
      <c r="P1391" s="1">
        <v>45435</v>
      </c>
      <c r="Q1391" s="2" t="s">
        <v>68</v>
      </c>
      <c r="R1391" s="2">
        <v>6327</v>
      </c>
    </row>
    <row r="1392" spans="1:18" x14ac:dyDescent="0.25">
      <c r="A1392" s="1">
        <v>44987</v>
      </c>
      <c r="B1392" s="2" t="s">
        <v>65</v>
      </c>
      <c r="C1392" s="2" t="s">
        <v>36</v>
      </c>
      <c r="D1392">
        <v>15</v>
      </c>
      <c r="E1392">
        <v>166</v>
      </c>
      <c r="F1392" s="2" t="s">
        <v>51</v>
      </c>
      <c r="G1392" s="2" t="s">
        <v>20</v>
      </c>
      <c r="H1392">
        <v>0.1</v>
      </c>
      <c r="I1392" s="2" t="s">
        <v>52</v>
      </c>
      <c r="J1392" s="2" t="s">
        <v>56</v>
      </c>
      <c r="K1392">
        <v>0</v>
      </c>
      <c r="L1392" s="2" t="s">
        <v>2726</v>
      </c>
      <c r="M1392" s="2" t="s">
        <v>2727</v>
      </c>
      <c r="N1392">
        <v>9.86</v>
      </c>
      <c r="O1392" s="1">
        <v>44987</v>
      </c>
      <c r="P1392" s="1">
        <v>44990</v>
      </c>
      <c r="Q1392" s="2" t="s">
        <v>68</v>
      </c>
      <c r="R1392" s="2">
        <v>2241</v>
      </c>
    </row>
    <row r="1393" spans="1:18" x14ac:dyDescent="0.25">
      <c r="A1393" s="1">
        <v>44998</v>
      </c>
      <c r="B1393" s="2" t="s">
        <v>35</v>
      </c>
      <c r="C1393" s="2" t="s">
        <v>126</v>
      </c>
      <c r="D1393">
        <v>12</v>
      </c>
      <c r="E1393">
        <v>261</v>
      </c>
      <c r="F1393" s="2" t="s">
        <v>46</v>
      </c>
      <c r="G1393" s="2" t="s">
        <v>20</v>
      </c>
      <c r="H1393">
        <v>0.15</v>
      </c>
      <c r="I1393" s="2" t="s">
        <v>47</v>
      </c>
      <c r="J1393" s="2" t="s">
        <v>22</v>
      </c>
      <c r="K1393">
        <v>0</v>
      </c>
      <c r="L1393" s="2" t="s">
        <v>2728</v>
      </c>
      <c r="M1393" s="2" t="s">
        <v>2729</v>
      </c>
      <c r="N1393">
        <v>20.92</v>
      </c>
      <c r="O1393" s="1">
        <v>44998</v>
      </c>
      <c r="P1393" s="1">
        <v>45007</v>
      </c>
      <c r="Q1393" s="2" t="s">
        <v>39</v>
      </c>
      <c r="R1393" s="2">
        <v>2662</v>
      </c>
    </row>
    <row r="1394" spans="1:18" x14ac:dyDescent="0.25">
      <c r="A1394" s="1">
        <v>45763</v>
      </c>
      <c r="B1394" s="2" t="s">
        <v>65</v>
      </c>
      <c r="C1394" s="2" t="s">
        <v>18</v>
      </c>
      <c r="D1394">
        <v>10</v>
      </c>
      <c r="E1394">
        <v>349</v>
      </c>
      <c r="F1394" s="2" t="s">
        <v>51</v>
      </c>
      <c r="G1394" s="2" t="s">
        <v>20</v>
      </c>
      <c r="H1394">
        <v>0.05</v>
      </c>
      <c r="I1394" s="2" t="s">
        <v>52</v>
      </c>
      <c r="J1394" s="2" t="s">
        <v>53</v>
      </c>
      <c r="K1394">
        <v>1</v>
      </c>
      <c r="L1394" s="2" t="s">
        <v>2730</v>
      </c>
      <c r="M1394" s="2" t="s">
        <v>2731</v>
      </c>
      <c r="N1394">
        <v>42.79</v>
      </c>
      <c r="O1394" s="1">
        <v>45763</v>
      </c>
      <c r="P1394" s="1">
        <v>45765</v>
      </c>
      <c r="Q1394" s="2" t="s">
        <v>68</v>
      </c>
      <c r="R1394" s="2">
        <v>3316</v>
      </c>
    </row>
    <row r="1395" spans="1:18" x14ac:dyDescent="0.25">
      <c r="A1395" s="1">
        <v>45448</v>
      </c>
      <c r="B1395" s="2" t="s">
        <v>35</v>
      </c>
      <c r="C1395" s="2" t="s">
        <v>41</v>
      </c>
      <c r="D1395">
        <v>5</v>
      </c>
      <c r="E1395">
        <v>473</v>
      </c>
      <c r="F1395" s="2" t="s">
        <v>28</v>
      </c>
      <c r="G1395" s="2" t="s">
        <v>29</v>
      </c>
      <c r="H1395">
        <v>0</v>
      </c>
      <c r="I1395" s="2" t="s">
        <v>52</v>
      </c>
      <c r="J1395" s="2" t="s">
        <v>53</v>
      </c>
      <c r="K1395">
        <v>1</v>
      </c>
      <c r="L1395" s="2" t="s">
        <v>2732</v>
      </c>
      <c r="M1395" s="2" t="s">
        <v>2733</v>
      </c>
      <c r="N1395">
        <v>30.69</v>
      </c>
      <c r="O1395" s="1">
        <v>45448</v>
      </c>
      <c r="P1395" s="1">
        <v>45458</v>
      </c>
      <c r="Q1395" s="2" t="s">
        <v>39</v>
      </c>
      <c r="R1395" s="2">
        <v>2365</v>
      </c>
    </row>
    <row r="1396" spans="1:18" x14ac:dyDescent="0.25">
      <c r="A1396" s="1">
        <v>45536</v>
      </c>
      <c r="B1396" s="2" t="s">
        <v>35</v>
      </c>
      <c r="C1396" s="2" t="s">
        <v>41</v>
      </c>
      <c r="D1396">
        <v>16</v>
      </c>
      <c r="E1396">
        <v>402</v>
      </c>
      <c r="F1396" s="2" t="s">
        <v>19</v>
      </c>
      <c r="G1396" s="2" t="s">
        <v>29</v>
      </c>
      <c r="H1396">
        <v>0</v>
      </c>
      <c r="I1396" s="2" t="s">
        <v>21</v>
      </c>
      <c r="J1396" s="2" t="s">
        <v>59</v>
      </c>
      <c r="K1396">
        <v>0</v>
      </c>
      <c r="L1396" s="2" t="s">
        <v>2734</v>
      </c>
      <c r="M1396" s="2" t="s">
        <v>1303</v>
      </c>
      <c r="N1396">
        <v>21.54</v>
      </c>
      <c r="O1396" s="1">
        <v>45536</v>
      </c>
      <c r="P1396" s="1">
        <v>45540</v>
      </c>
      <c r="Q1396" s="2" t="s">
        <v>39</v>
      </c>
      <c r="R1396" s="2">
        <v>6432</v>
      </c>
    </row>
    <row r="1397" spans="1:18" x14ac:dyDescent="0.25">
      <c r="A1397" s="1">
        <v>45556</v>
      </c>
      <c r="B1397" s="2" t="s">
        <v>35</v>
      </c>
      <c r="C1397" s="2" t="s">
        <v>27</v>
      </c>
      <c r="D1397">
        <v>10</v>
      </c>
      <c r="E1397">
        <v>269</v>
      </c>
      <c r="F1397" s="2" t="s">
        <v>46</v>
      </c>
      <c r="G1397" s="2" t="s">
        <v>29</v>
      </c>
      <c r="H1397">
        <v>0</v>
      </c>
      <c r="I1397" s="2" t="s">
        <v>21</v>
      </c>
      <c r="J1397" s="2" t="s">
        <v>56</v>
      </c>
      <c r="K1397">
        <v>0</v>
      </c>
      <c r="L1397" s="2" t="s">
        <v>2735</v>
      </c>
      <c r="M1397" s="2" t="s">
        <v>2476</v>
      </c>
      <c r="N1397">
        <v>14.09</v>
      </c>
      <c r="O1397" s="1">
        <v>45556</v>
      </c>
      <c r="P1397" s="1">
        <v>45565</v>
      </c>
      <c r="Q1397" s="2" t="s">
        <v>39</v>
      </c>
      <c r="R1397" s="2">
        <v>2690</v>
      </c>
    </row>
    <row r="1398" spans="1:18" x14ac:dyDescent="0.25">
      <c r="A1398" s="1">
        <v>45668</v>
      </c>
      <c r="B1398" s="2" t="s">
        <v>35</v>
      </c>
      <c r="C1398" s="2" t="s">
        <v>36</v>
      </c>
      <c r="D1398">
        <v>4</v>
      </c>
      <c r="E1398">
        <v>323</v>
      </c>
      <c r="F1398" s="2" t="s">
        <v>46</v>
      </c>
      <c r="G1398" s="2" t="s">
        <v>29</v>
      </c>
      <c r="H1398">
        <v>0.05</v>
      </c>
      <c r="I1398" s="2" t="s">
        <v>52</v>
      </c>
      <c r="J1398" s="2" t="s">
        <v>59</v>
      </c>
      <c r="K1398">
        <v>0</v>
      </c>
      <c r="L1398" s="2" t="s">
        <v>2736</v>
      </c>
      <c r="M1398" s="2" t="s">
        <v>2737</v>
      </c>
      <c r="N1398">
        <v>19.53</v>
      </c>
      <c r="O1398" s="1">
        <v>45668</v>
      </c>
      <c r="P1398" s="1">
        <v>45673</v>
      </c>
      <c r="Q1398" s="2" t="s">
        <v>39</v>
      </c>
      <c r="R1398" s="2">
        <v>1227</v>
      </c>
    </row>
    <row r="1399" spans="1:18" x14ac:dyDescent="0.25">
      <c r="A1399" s="1">
        <v>44930</v>
      </c>
      <c r="B1399" s="2" t="s">
        <v>65</v>
      </c>
      <c r="C1399" s="2" t="s">
        <v>50</v>
      </c>
      <c r="D1399">
        <v>15</v>
      </c>
      <c r="E1399">
        <v>440</v>
      </c>
      <c r="F1399" s="2" t="s">
        <v>51</v>
      </c>
      <c r="G1399" s="2" t="s">
        <v>29</v>
      </c>
      <c r="H1399">
        <v>0.15</v>
      </c>
      <c r="I1399" s="2" t="s">
        <v>52</v>
      </c>
      <c r="J1399" s="2" t="s">
        <v>22</v>
      </c>
      <c r="K1399">
        <v>0</v>
      </c>
      <c r="L1399" s="2" t="s">
        <v>2738</v>
      </c>
      <c r="M1399" s="2" t="s">
        <v>2739</v>
      </c>
      <c r="N1399">
        <v>49.71</v>
      </c>
      <c r="O1399" s="1">
        <v>44930</v>
      </c>
      <c r="P1399" s="1">
        <v>44934</v>
      </c>
      <c r="Q1399" s="2" t="s">
        <v>68</v>
      </c>
      <c r="R1399" s="2">
        <v>5610</v>
      </c>
    </row>
    <row r="1400" spans="1:18" x14ac:dyDescent="0.25">
      <c r="A1400" s="1">
        <v>45048</v>
      </c>
      <c r="B1400" s="2" t="s">
        <v>65</v>
      </c>
      <c r="C1400" s="2" t="s">
        <v>50</v>
      </c>
      <c r="D1400">
        <v>16</v>
      </c>
      <c r="E1400">
        <v>483</v>
      </c>
      <c r="F1400" s="2" t="s">
        <v>46</v>
      </c>
      <c r="G1400" s="2" t="s">
        <v>20</v>
      </c>
      <c r="H1400">
        <v>0.05</v>
      </c>
      <c r="I1400" s="2" t="s">
        <v>30</v>
      </c>
      <c r="J1400" s="2" t="s">
        <v>56</v>
      </c>
      <c r="K1400">
        <v>1</v>
      </c>
      <c r="L1400" s="2" t="s">
        <v>2740</v>
      </c>
      <c r="M1400" s="2" t="s">
        <v>2506</v>
      </c>
      <c r="N1400">
        <v>37.659999999999997</v>
      </c>
      <c r="O1400" s="1">
        <v>45048</v>
      </c>
      <c r="P1400" s="1">
        <v>45051</v>
      </c>
      <c r="Q1400" s="2" t="s">
        <v>68</v>
      </c>
      <c r="R1400" s="2">
        <v>7342</v>
      </c>
    </row>
    <row r="1401" spans="1:18" x14ac:dyDescent="0.25">
      <c r="A1401" s="1">
        <v>45116</v>
      </c>
      <c r="B1401" s="2" t="s">
        <v>17</v>
      </c>
      <c r="C1401" s="2" t="s">
        <v>27</v>
      </c>
      <c r="D1401">
        <v>13</v>
      </c>
      <c r="E1401">
        <v>27</v>
      </c>
      <c r="F1401" s="2" t="s">
        <v>19</v>
      </c>
      <c r="G1401" s="2" t="s">
        <v>29</v>
      </c>
      <c r="H1401">
        <v>0.15</v>
      </c>
      <c r="I1401" s="2" t="s">
        <v>42</v>
      </c>
      <c r="J1401" s="2" t="s">
        <v>59</v>
      </c>
      <c r="K1401">
        <v>0</v>
      </c>
      <c r="L1401" s="2" t="s">
        <v>2741</v>
      </c>
      <c r="M1401" s="2" t="s">
        <v>2742</v>
      </c>
      <c r="N1401">
        <v>22.95</v>
      </c>
      <c r="O1401" s="1">
        <v>45116</v>
      </c>
      <c r="P1401" s="1">
        <v>45121</v>
      </c>
      <c r="Q1401" s="2" t="s">
        <v>25</v>
      </c>
      <c r="R1401" s="2">
        <v>298</v>
      </c>
    </row>
    <row r="1402" spans="1:18" x14ac:dyDescent="0.25">
      <c r="A1402" s="1">
        <v>45715</v>
      </c>
      <c r="B1402" s="2" t="s">
        <v>17</v>
      </c>
      <c r="C1402" s="2" t="s">
        <v>50</v>
      </c>
      <c r="D1402">
        <v>18</v>
      </c>
      <c r="E1402">
        <v>433</v>
      </c>
      <c r="F1402" s="2" t="s">
        <v>51</v>
      </c>
      <c r="G1402" s="2" t="s">
        <v>29</v>
      </c>
      <c r="H1402">
        <v>0.05</v>
      </c>
      <c r="I1402" s="2" t="s">
        <v>62</v>
      </c>
      <c r="J1402" s="2" t="s">
        <v>53</v>
      </c>
      <c r="K1402">
        <v>1</v>
      </c>
      <c r="L1402" s="2" t="s">
        <v>2743</v>
      </c>
      <c r="M1402" s="2" t="s">
        <v>74</v>
      </c>
      <c r="N1402">
        <v>34.19</v>
      </c>
      <c r="O1402" s="1">
        <v>45715</v>
      </c>
      <c r="P1402" s="1">
        <v>45720</v>
      </c>
      <c r="Q1402" s="2" t="s">
        <v>25</v>
      </c>
      <c r="R1402" s="2">
        <v>7404</v>
      </c>
    </row>
    <row r="1403" spans="1:18" x14ac:dyDescent="0.25">
      <c r="A1403" s="1">
        <v>45558</v>
      </c>
      <c r="B1403" s="2" t="s">
        <v>65</v>
      </c>
      <c r="C1403" s="2" t="s">
        <v>126</v>
      </c>
      <c r="D1403">
        <v>3</v>
      </c>
      <c r="E1403">
        <v>361</v>
      </c>
      <c r="F1403" s="2" t="s">
        <v>19</v>
      </c>
      <c r="G1403" s="2" t="s">
        <v>20</v>
      </c>
      <c r="H1403">
        <v>0.15</v>
      </c>
      <c r="I1403" s="2" t="s">
        <v>52</v>
      </c>
      <c r="J1403" s="2" t="s">
        <v>56</v>
      </c>
      <c r="K1403">
        <v>0</v>
      </c>
      <c r="L1403" s="2" t="s">
        <v>2744</v>
      </c>
      <c r="M1403" s="2" t="s">
        <v>2745</v>
      </c>
      <c r="N1403">
        <v>35.61</v>
      </c>
      <c r="O1403" s="1">
        <v>45558</v>
      </c>
      <c r="P1403" s="1">
        <v>45564</v>
      </c>
      <c r="Q1403" s="2" t="s">
        <v>68</v>
      </c>
      <c r="R1403" s="2">
        <v>921</v>
      </c>
    </row>
    <row r="1404" spans="1:18" x14ac:dyDescent="0.25">
      <c r="A1404" s="1">
        <v>45830</v>
      </c>
      <c r="B1404" s="2" t="s">
        <v>17</v>
      </c>
      <c r="C1404" s="2" t="s">
        <v>75</v>
      </c>
      <c r="D1404">
        <v>5</v>
      </c>
      <c r="E1404">
        <v>415</v>
      </c>
      <c r="F1404" s="2" t="s">
        <v>19</v>
      </c>
      <c r="G1404" s="2" t="s">
        <v>29</v>
      </c>
      <c r="H1404">
        <v>0.1</v>
      </c>
      <c r="I1404" s="2" t="s">
        <v>52</v>
      </c>
      <c r="J1404" s="2" t="s">
        <v>31</v>
      </c>
      <c r="K1404">
        <v>0</v>
      </c>
      <c r="L1404" s="2" t="s">
        <v>2746</v>
      </c>
      <c r="M1404" s="2" t="s">
        <v>2747</v>
      </c>
      <c r="N1404">
        <v>14.98</v>
      </c>
      <c r="O1404" s="1">
        <v>45830</v>
      </c>
      <c r="P1404" s="1">
        <v>45839</v>
      </c>
      <c r="Q1404" s="2" t="s">
        <v>25</v>
      </c>
      <c r="R1404" s="2">
        <v>1868</v>
      </c>
    </row>
    <row r="1405" spans="1:18" x14ac:dyDescent="0.25">
      <c r="A1405" s="1">
        <v>45676</v>
      </c>
      <c r="B1405" s="2" t="s">
        <v>40</v>
      </c>
      <c r="C1405" s="2" t="s">
        <v>75</v>
      </c>
      <c r="D1405">
        <v>4</v>
      </c>
      <c r="E1405">
        <v>68</v>
      </c>
      <c r="F1405" s="2" t="s">
        <v>46</v>
      </c>
      <c r="G1405" s="2" t="s">
        <v>20</v>
      </c>
      <c r="H1405">
        <v>0</v>
      </c>
      <c r="I1405" s="2" t="s">
        <v>62</v>
      </c>
      <c r="J1405" s="2" t="s">
        <v>22</v>
      </c>
      <c r="K1405">
        <v>0</v>
      </c>
      <c r="L1405" s="2" t="s">
        <v>2748</v>
      </c>
      <c r="M1405" s="2" t="s">
        <v>2749</v>
      </c>
      <c r="N1405">
        <v>18.72</v>
      </c>
      <c r="O1405" s="1">
        <v>45676</v>
      </c>
      <c r="P1405" s="1">
        <v>45685</v>
      </c>
      <c r="Q1405" s="2" t="s">
        <v>45</v>
      </c>
      <c r="R1405" s="2">
        <v>272</v>
      </c>
    </row>
    <row r="1406" spans="1:18" x14ac:dyDescent="0.25">
      <c r="A1406" s="1">
        <v>45691</v>
      </c>
      <c r="B1406" s="2" t="s">
        <v>17</v>
      </c>
      <c r="C1406" s="2" t="s">
        <v>27</v>
      </c>
      <c r="D1406">
        <v>10</v>
      </c>
      <c r="E1406">
        <v>408</v>
      </c>
      <c r="F1406" s="2" t="s">
        <v>46</v>
      </c>
      <c r="G1406" s="2" t="s">
        <v>29</v>
      </c>
      <c r="H1406">
        <v>0.15</v>
      </c>
      <c r="I1406" s="2" t="s">
        <v>21</v>
      </c>
      <c r="J1406" s="2" t="s">
        <v>59</v>
      </c>
      <c r="K1406">
        <v>0</v>
      </c>
      <c r="L1406" s="2" t="s">
        <v>2750</v>
      </c>
      <c r="M1406" s="2" t="s">
        <v>2751</v>
      </c>
      <c r="N1406">
        <v>49.59</v>
      </c>
      <c r="O1406" s="1">
        <v>45691</v>
      </c>
      <c r="P1406" s="1">
        <v>45696</v>
      </c>
      <c r="Q1406" s="2" t="s">
        <v>25</v>
      </c>
      <c r="R1406" s="2">
        <v>3468</v>
      </c>
    </row>
    <row r="1407" spans="1:18" x14ac:dyDescent="0.25">
      <c r="A1407" s="1">
        <v>45241</v>
      </c>
      <c r="B1407" s="2" t="s">
        <v>17</v>
      </c>
      <c r="C1407" s="2" t="s">
        <v>75</v>
      </c>
      <c r="D1407">
        <v>15</v>
      </c>
      <c r="E1407">
        <v>275</v>
      </c>
      <c r="F1407" s="2" t="s">
        <v>51</v>
      </c>
      <c r="G1407" s="2" t="s">
        <v>29</v>
      </c>
      <c r="H1407">
        <v>0</v>
      </c>
      <c r="I1407" s="2" t="s">
        <v>21</v>
      </c>
      <c r="J1407" s="2" t="s">
        <v>59</v>
      </c>
      <c r="K1407">
        <v>1</v>
      </c>
      <c r="L1407" s="2" t="s">
        <v>2752</v>
      </c>
      <c r="M1407" s="2" t="s">
        <v>2753</v>
      </c>
      <c r="N1407">
        <v>19.37</v>
      </c>
      <c r="O1407" s="1">
        <v>45241</v>
      </c>
      <c r="P1407" s="1">
        <v>45247</v>
      </c>
      <c r="Q1407" s="2" t="s">
        <v>25</v>
      </c>
      <c r="R1407" s="2">
        <v>4125</v>
      </c>
    </row>
    <row r="1408" spans="1:18" x14ac:dyDescent="0.25">
      <c r="A1408" s="1">
        <v>45420</v>
      </c>
      <c r="B1408" s="2" t="s">
        <v>17</v>
      </c>
      <c r="C1408" s="2" t="s">
        <v>36</v>
      </c>
      <c r="D1408">
        <v>15</v>
      </c>
      <c r="E1408">
        <v>32</v>
      </c>
      <c r="F1408" s="2" t="s">
        <v>46</v>
      </c>
      <c r="G1408" s="2" t="s">
        <v>20</v>
      </c>
      <c r="H1408">
        <v>0.15</v>
      </c>
      <c r="I1408" s="2" t="s">
        <v>21</v>
      </c>
      <c r="J1408" s="2" t="s">
        <v>59</v>
      </c>
      <c r="K1408">
        <v>0</v>
      </c>
      <c r="L1408" s="2" t="s">
        <v>2754</v>
      </c>
      <c r="M1408" s="2" t="s">
        <v>2755</v>
      </c>
      <c r="N1408">
        <v>23.61</v>
      </c>
      <c r="O1408" s="1">
        <v>45420</v>
      </c>
      <c r="P1408" s="1">
        <v>45422</v>
      </c>
      <c r="Q1408" s="2" t="s">
        <v>25</v>
      </c>
      <c r="R1408" s="2">
        <v>408</v>
      </c>
    </row>
    <row r="1409" spans="1:18" x14ac:dyDescent="0.25">
      <c r="A1409" s="1">
        <v>45187</v>
      </c>
      <c r="B1409" s="2" t="s">
        <v>26</v>
      </c>
      <c r="C1409" s="2" t="s">
        <v>126</v>
      </c>
      <c r="D1409">
        <v>14</v>
      </c>
      <c r="E1409">
        <v>268</v>
      </c>
      <c r="F1409" s="2" t="s">
        <v>51</v>
      </c>
      <c r="G1409" s="2" t="s">
        <v>29</v>
      </c>
      <c r="H1409">
        <v>0</v>
      </c>
      <c r="I1409" s="2" t="s">
        <v>42</v>
      </c>
      <c r="J1409" s="2" t="s">
        <v>22</v>
      </c>
      <c r="K1409">
        <v>0</v>
      </c>
      <c r="L1409" s="2" t="s">
        <v>2756</v>
      </c>
      <c r="M1409" s="2" t="s">
        <v>2757</v>
      </c>
      <c r="N1409">
        <v>43.14</v>
      </c>
      <c r="O1409" s="1">
        <v>45187</v>
      </c>
      <c r="P1409" s="1">
        <v>45196</v>
      </c>
      <c r="Q1409" s="2" t="s">
        <v>34</v>
      </c>
      <c r="R1409" s="2">
        <v>3752</v>
      </c>
    </row>
    <row r="1410" spans="1:18" x14ac:dyDescent="0.25">
      <c r="A1410" s="1">
        <v>45752</v>
      </c>
      <c r="B1410" s="2" t="s">
        <v>40</v>
      </c>
      <c r="C1410" s="2" t="s">
        <v>75</v>
      </c>
      <c r="D1410">
        <v>19</v>
      </c>
      <c r="E1410">
        <v>350</v>
      </c>
      <c r="F1410" s="2" t="s">
        <v>51</v>
      </c>
      <c r="G1410" s="2" t="s">
        <v>29</v>
      </c>
      <c r="H1410">
        <v>0.05</v>
      </c>
      <c r="I1410" s="2" t="s">
        <v>30</v>
      </c>
      <c r="J1410" s="2" t="s">
        <v>53</v>
      </c>
      <c r="K1410">
        <v>0</v>
      </c>
      <c r="L1410" s="2" t="s">
        <v>2758</v>
      </c>
      <c r="M1410" s="2" t="s">
        <v>1781</v>
      </c>
      <c r="N1410">
        <v>48.98</v>
      </c>
      <c r="O1410" s="1">
        <v>45752</v>
      </c>
      <c r="P1410" s="1">
        <v>45760</v>
      </c>
      <c r="Q1410" s="2" t="s">
        <v>45</v>
      </c>
      <c r="R1410" s="2">
        <v>6318</v>
      </c>
    </row>
    <row r="1411" spans="1:18" x14ac:dyDescent="0.25">
      <c r="A1411" s="1">
        <v>45182</v>
      </c>
      <c r="B1411" s="2" t="s">
        <v>40</v>
      </c>
      <c r="C1411" s="2" t="s">
        <v>36</v>
      </c>
      <c r="D1411">
        <v>9</v>
      </c>
      <c r="E1411">
        <v>329</v>
      </c>
      <c r="F1411" s="2" t="s">
        <v>28</v>
      </c>
      <c r="G1411" s="2" t="s">
        <v>29</v>
      </c>
      <c r="H1411">
        <v>0.05</v>
      </c>
      <c r="I1411" s="2" t="s">
        <v>52</v>
      </c>
      <c r="J1411" s="2" t="s">
        <v>31</v>
      </c>
      <c r="K1411">
        <v>0</v>
      </c>
      <c r="L1411" s="2" t="s">
        <v>2759</v>
      </c>
      <c r="M1411" s="2" t="s">
        <v>2760</v>
      </c>
      <c r="N1411">
        <v>29.41</v>
      </c>
      <c r="O1411" s="1">
        <v>45182</v>
      </c>
      <c r="P1411" s="1">
        <v>45184</v>
      </c>
      <c r="Q1411" s="2" t="s">
        <v>45</v>
      </c>
      <c r="R1411" s="2">
        <v>2813</v>
      </c>
    </row>
    <row r="1412" spans="1:18" x14ac:dyDescent="0.25">
      <c r="A1412" s="1">
        <v>45471</v>
      </c>
      <c r="B1412" s="2" t="s">
        <v>17</v>
      </c>
      <c r="C1412" s="2" t="s">
        <v>50</v>
      </c>
      <c r="D1412">
        <v>1</v>
      </c>
      <c r="E1412">
        <v>577</v>
      </c>
      <c r="F1412" s="2" t="s">
        <v>46</v>
      </c>
      <c r="G1412" s="2" t="s">
        <v>20</v>
      </c>
      <c r="H1412">
        <v>0.05</v>
      </c>
      <c r="I1412" s="2" t="s">
        <v>42</v>
      </c>
      <c r="J1412" s="2" t="s">
        <v>22</v>
      </c>
      <c r="K1412">
        <v>0</v>
      </c>
      <c r="L1412" s="2" t="s">
        <v>2761</v>
      </c>
      <c r="M1412" s="2" t="s">
        <v>2762</v>
      </c>
      <c r="N1412">
        <v>22.97</v>
      </c>
      <c r="O1412" s="1">
        <v>45471</v>
      </c>
      <c r="P1412" s="1">
        <v>45479</v>
      </c>
      <c r="Q1412" s="2" t="s">
        <v>25</v>
      </c>
      <c r="R1412" s="2">
        <v>548</v>
      </c>
    </row>
    <row r="1413" spans="1:18" x14ac:dyDescent="0.25">
      <c r="A1413" s="1">
        <v>45022</v>
      </c>
      <c r="B1413" s="2" t="s">
        <v>40</v>
      </c>
      <c r="C1413" s="2" t="s">
        <v>41</v>
      </c>
      <c r="D1413">
        <v>6</v>
      </c>
      <c r="E1413">
        <v>544</v>
      </c>
      <c r="F1413" s="2" t="s">
        <v>19</v>
      </c>
      <c r="G1413" s="2" t="s">
        <v>20</v>
      </c>
      <c r="H1413">
        <v>0.1</v>
      </c>
      <c r="I1413" s="2" t="s">
        <v>47</v>
      </c>
      <c r="J1413" s="2" t="s">
        <v>59</v>
      </c>
      <c r="K1413">
        <v>0</v>
      </c>
      <c r="L1413" s="2" t="s">
        <v>2763</v>
      </c>
      <c r="M1413" s="2" t="s">
        <v>982</v>
      </c>
      <c r="N1413">
        <v>11.52</v>
      </c>
      <c r="O1413" s="1">
        <v>45022</v>
      </c>
      <c r="P1413" s="1">
        <v>45024</v>
      </c>
      <c r="Q1413" s="2" t="s">
        <v>45</v>
      </c>
      <c r="R1413" s="2">
        <v>2938</v>
      </c>
    </row>
    <row r="1414" spans="1:18" x14ac:dyDescent="0.25">
      <c r="A1414" s="1">
        <v>45059</v>
      </c>
      <c r="B1414" s="2" t="s">
        <v>26</v>
      </c>
      <c r="C1414" s="2" t="s">
        <v>18</v>
      </c>
      <c r="D1414">
        <v>18</v>
      </c>
      <c r="E1414">
        <v>331</v>
      </c>
      <c r="F1414" s="2" t="s">
        <v>51</v>
      </c>
      <c r="G1414" s="2" t="s">
        <v>29</v>
      </c>
      <c r="H1414">
        <v>0.15</v>
      </c>
      <c r="I1414" s="2" t="s">
        <v>30</v>
      </c>
      <c r="J1414" s="2" t="s">
        <v>59</v>
      </c>
      <c r="K1414">
        <v>1</v>
      </c>
      <c r="L1414" s="2" t="s">
        <v>2764</v>
      </c>
      <c r="M1414" s="2" t="s">
        <v>2143</v>
      </c>
      <c r="N1414">
        <v>32.92</v>
      </c>
      <c r="O1414" s="1">
        <v>45059</v>
      </c>
      <c r="P1414" s="1">
        <v>45064</v>
      </c>
      <c r="Q1414" s="2" t="s">
        <v>34</v>
      </c>
      <c r="R1414" s="2">
        <v>5064</v>
      </c>
    </row>
    <row r="1415" spans="1:18" x14ac:dyDescent="0.25">
      <c r="A1415" s="1">
        <v>45784</v>
      </c>
      <c r="B1415" s="2" t="s">
        <v>17</v>
      </c>
      <c r="C1415" s="2" t="s">
        <v>18</v>
      </c>
      <c r="D1415">
        <v>1</v>
      </c>
      <c r="E1415">
        <v>421</v>
      </c>
      <c r="F1415" s="2" t="s">
        <v>51</v>
      </c>
      <c r="G1415" s="2" t="s">
        <v>29</v>
      </c>
      <c r="H1415">
        <v>0.1</v>
      </c>
      <c r="I1415" s="2" t="s">
        <v>21</v>
      </c>
      <c r="J1415" s="2" t="s">
        <v>56</v>
      </c>
      <c r="K1415">
        <v>0</v>
      </c>
      <c r="L1415" s="2" t="s">
        <v>2765</v>
      </c>
      <c r="M1415" s="2" t="s">
        <v>2766</v>
      </c>
      <c r="N1415">
        <v>36.340000000000003</v>
      </c>
      <c r="O1415" s="1">
        <v>45784</v>
      </c>
      <c r="P1415" s="1">
        <v>45792</v>
      </c>
      <c r="Q1415" s="2" t="s">
        <v>25</v>
      </c>
      <c r="R1415" s="2">
        <v>379</v>
      </c>
    </row>
    <row r="1416" spans="1:18" x14ac:dyDescent="0.25">
      <c r="A1416" s="1">
        <v>45738</v>
      </c>
      <c r="B1416" s="2" t="s">
        <v>35</v>
      </c>
      <c r="C1416" s="2" t="s">
        <v>75</v>
      </c>
      <c r="D1416">
        <v>4</v>
      </c>
      <c r="E1416">
        <v>555</v>
      </c>
      <c r="F1416" s="2" t="s">
        <v>19</v>
      </c>
      <c r="G1416" s="2" t="s">
        <v>29</v>
      </c>
      <c r="H1416">
        <v>0.1</v>
      </c>
      <c r="I1416" s="2" t="s">
        <v>52</v>
      </c>
      <c r="J1416" s="2" t="s">
        <v>59</v>
      </c>
      <c r="K1416">
        <v>0</v>
      </c>
      <c r="L1416" s="2" t="s">
        <v>2767</v>
      </c>
      <c r="M1416" s="2" t="s">
        <v>2768</v>
      </c>
      <c r="N1416">
        <v>45.25</v>
      </c>
      <c r="O1416" s="1">
        <v>45738</v>
      </c>
      <c r="P1416" s="1">
        <v>45743</v>
      </c>
      <c r="Q1416" s="2" t="s">
        <v>39</v>
      </c>
      <c r="R1416" s="2">
        <v>1998</v>
      </c>
    </row>
    <row r="1417" spans="1:18" x14ac:dyDescent="0.25">
      <c r="A1417" s="1">
        <v>45467</v>
      </c>
      <c r="B1417" s="2" t="s">
        <v>26</v>
      </c>
      <c r="C1417" s="2" t="s">
        <v>18</v>
      </c>
      <c r="D1417">
        <v>19</v>
      </c>
      <c r="E1417">
        <v>254</v>
      </c>
      <c r="F1417" s="2" t="s">
        <v>46</v>
      </c>
      <c r="G1417" s="2" t="s">
        <v>20</v>
      </c>
      <c r="H1417">
        <v>0</v>
      </c>
      <c r="I1417" s="2" t="s">
        <v>42</v>
      </c>
      <c r="J1417" s="2" t="s">
        <v>22</v>
      </c>
      <c r="K1417">
        <v>1</v>
      </c>
      <c r="L1417" s="2" t="s">
        <v>2769</v>
      </c>
      <c r="M1417" s="2" t="s">
        <v>1758</v>
      </c>
      <c r="N1417">
        <v>11.21</v>
      </c>
      <c r="O1417" s="1">
        <v>45467</v>
      </c>
      <c r="P1417" s="1">
        <v>45475</v>
      </c>
      <c r="Q1417" s="2" t="s">
        <v>34</v>
      </c>
      <c r="R1417" s="2">
        <v>4826</v>
      </c>
    </row>
    <row r="1418" spans="1:18" x14ac:dyDescent="0.25">
      <c r="A1418" s="1">
        <v>45837</v>
      </c>
      <c r="B1418" s="2" t="s">
        <v>65</v>
      </c>
      <c r="C1418" s="2" t="s">
        <v>75</v>
      </c>
      <c r="D1418">
        <v>9</v>
      </c>
      <c r="E1418">
        <v>534</v>
      </c>
      <c r="F1418" s="2" t="s">
        <v>51</v>
      </c>
      <c r="G1418" s="2" t="s">
        <v>29</v>
      </c>
      <c r="H1418">
        <v>0.15</v>
      </c>
      <c r="I1418" s="2" t="s">
        <v>42</v>
      </c>
      <c r="J1418" s="2" t="s">
        <v>31</v>
      </c>
      <c r="K1418">
        <v>0</v>
      </c>
      <c r="L1418" s="2" t="s">
        <v>2770</v>
      </c>
      <c r="M1418" s="2" t="s">
        <v>2771</v>
      </c>
      <c r="N1418">
        <v>34.76</v>
      </c>
      <c r="O1418" s="1">
        <v>45837</v>
      </c>
      <c r="P1418" s="1">
        <v>45841</v>
      </c>
      <c r="Q1418" s="2" t="s">
        <v>68</v>
      </c>
      <c r="R1418" s="2">
        <v>4085</v>
      </c>
    </row>
    <row r="1419" spans="1:18" x14ac:dyDescent="0.25">
      <c r="A1419" s="1">
        <v>45383</v>
      </c>
      <c r="B1419" s="2" t="s">
        <v>65</v>
      </c>
      <c r="C1419" s="2" t="s">
        <v>36</v>
      </c>
      <c r="D1419">
        <v>7</v>
      </c>
      <c r="E1419">
        <v>241</v>
      </c>
      <c r="F1419" s="2" t="s">
        <v>19</v>
      </c>
      <c r="G1419" s="2" t="s">
        <v>20</v>
      </c>
      <c r="H1419">
        <v>0.1</v>
      </c>
      <c r="I1419" s="2" t="s">
        <v>52</v>
      </c>
      <c r="J1419" s="2" t="s">
        <v>53</v>
      </c>
      <c r="K1419">
        <v>0</v>
      </c>
      <c r="L1419" s="2" t="s">
        <v>2772</v>
      </c>
      <c r="M1419" s="2" t="s">
        <v>2773</v>
      </c>
      <c r="N1419">
        <v>42.43</v>
      </c>
      <c r="O1419" s="1">
        <v>45383</v>
      </c>
      <c r="P1419" s="1">
        <v>45392</v>
      </c>
      <c r="Q1419" s="2" t="s">
        <v>68</v>
      </c>
      <c r="R1419" s="2">
        <v>1518</v>
      </c>
    </row>
    <row r="1420" spans="1:18" x14ac:dyDescent="0.25">
      <c r="A1420" s="1">
        <v>45447</v>
      </c>
      <c r="B1420" s="2" t="s">
        <v>35</v>
      </c>
      <c r="C1420" s="2" t="s">
        <v>75</v>
      </c>
      <c r="D1420">
        <v>11</v>
      </c>
      <c r="E1420">
        <v>160</v>
      </c>
      <c r="F1420" s="2" t="s">
        <v>19</v>
      </c>
      <c r="G1420" s="2" t="s">
        <v>20</v>
      </c>
      <c r="H1420">
        <v>0.05</v>
      </c>
      <c r="I1420" s="2" t="s">
        <v>47</v>
      </c>
      <c r="J1420" s="2" t="s">
        <v>59</v>
      </c>
      <c r="K1420">
        <v>0</v>
      </c>
      <c r="L1420" s="2" t="s">
        <v>2774</v>
      </c>
      <c r="M1420" s="2" t="s">
        <v>2775</v>
      </c>
      <c r="N1420">
        <v>36.049999999999997</v>
      </c>
      <c r="O1420" s="1">
        <v>45447</v>
      </c>
      <c r="P1420" s="1">
        <v>45457</v>
      </c>
      <c r="Q1420" s="2" t="s">
        <v>39</v>
      </c>
      <c r="R1420" s="2">
        <v>1672</v>
      </c>
    </row>
    <row r="1421" spans="1:18" x14ac:dyDescent="0.25">
      <c r="A1421" s="1">
        <v>45015</v>
      </c>
      <c r="B1421" s="2" t="s">
        <v>17</v>
      </c>
      <c r="C1421" s="2" t="s">
        <v>75</v>
      </c>
      <c r="D1421">
        <v>1</v>
      </c>
      <c r="E1421">
        <v>419</v>
      </c>
      <c r="F1421" s="2" t="s">
        <v>19</v>
      </c>
      <c r="G1421" s="2" t="s">
        <v>20</v>
      </c>
      <c r="H1421">
        <v>0.1</v>
      </c>
      <c r="I1421" s="2" t="s">
        <v>47</v>
      </c>
      <c r="J1421" s="2" t="s">
        <v>31</v>
      </c>
      <c r="K1421">
        <v>1</v>
      </c>
      <c r="L1421" s="2" t="s">
        <v>2776</v>
      </c>
      <c r="M1421" s="2" t="s">
        <v>2777</v>
      </c>
      <c r="N1421">
        <v>38.81</v>
      </c>
      <c r="O1421" s="1">
        <v>45015</v>
      </c>
      <c r="P1421" s="1">
        <v>45022</v>
      </c>
      <c r="Q1421" s="2" t="s">
        <v>25</v>
      </c>
      <c r="R1421" s="2">
        <v>377</v>
      </c>
    </row>
    <row r="1422" spans="1:18" x14ac:dyDescent="0.25">
      <c r="A1422" s="1">
        <v>45742</v>
      </c>
      <c r="B1422" s="2" t="s">
        <v>17</v>
      </c>
      <c r="C1422" s="2" t="s">
        <v>18</v>
      </c>
      <c r="D1422">
        <v>13</v>
      </c>
      <c r="E1422">
        <v>139</v>
      </c>
      <c r="F1422" s="2" t="s">
        <v>51</v>
      </c>
      <c r="G1422" s="2" t="s">
        <v>20</v>
      </c>
      <c r="H1422">
        <v>0.15</v>
      </c>
      <c r="I1422" s="2" t="s">
        <v>47</v>
      </c>
      <c r="J1422" s="2" t="s">
        <v>59</v>
      </c>
      <c r="K1422">
        <v>1</v>
      </c>
      <c r="L1422" s="2" t="s">
        <v>2778</v>
      </c>
      <c r="M1422" s="2" t="s">
        <v>2779</v>
      </c>
      <c r="N1422">
        <v>17.89</v>
      </c>
      <c r="O1422" s="1">
        <v>45742</v>
      </c>
      <c r="P1422" s="1">
        <v>45744</v>
      </c>
      <c r="Q1422" s="2" t="s">
        <v>25</v>
      </c>
      <c r="R1422" s="2">
        <v>1536</v>
      </c>
    </row>
    <row r="1423" spans="1:18" x14ac:dyDescent="0.25">
      <c r="A1423" s="1">
        <v>45160</v>
      </c>
      <c r="B1423" s="2" t="s">
        <v>65</v>
      </c>
      <c r="C1423" s="2" t="s">
        <v>50</v>
      </c>
      <c r="D1423">
        <v>8</v>
      </c>
      <c r="E1423">
        <v>461</v>
      </c>
      <c r="F1423" s="2" t="s">
        <v>19</v>
      </c>
      <c r="G1423" s="2" t="s">
        <v>29</v>
      </c>
      <c r="H1423">
        <v>0</v>
      </c>
      <c r="I1423" s="2" t="s">
        <v>30</v>
      </c>
      <c r="J1423" s="2" t="s">
        <v>22</v>
      </c>
      <c r="K1423">
        <v>0</v>
      </c>
      <c r="L1423" s="2" t="s">
        <v>2780</v>
      </c>
      <c r="M1423" s="2" t="s">
        <v>2781</v>
      </c>
      <c r="N1423">
        <v>13.62</v>
      </c>
      <c r="O1423" s="1">
        <v>45160</v>
      </c>
      <c r="P1423" s="1">
        <v>45162</v>
      </c>
      <c r="Q1423" s="2" t="s">
        <v>68</v>
      </c>
      <c r="R1423" s="2">
        <v>3688</v>
      </c>
    </row>
    <row r="1424" spans="1:18" x14ac:dyDescent="0.25">
      <c r="A1424" s="1">
        <v>45398</v>
      </c>
      <c r="B1424" s="2" t="s">
        <v>26</v>
      </c>
      <c r="C1424" s="2" t="s">
        <v>27</v>
      </c>
      <c r="D1424">
        <v>6</v>
      </c>
      <c r="E1424">
        <v>524</v>
      </c>
      <c r="F1424" s="2" t="s">
        <v>51</v>
      </c>
      <c r="G1424" s="2" t="s">
        <v>29</v>
      </c>
      <c r="H1424">
        <v>0.15</v>
      </c>
      <c r="I1424" s="2" t="s">
        <v>42</v>
      </c>
      <c r="J1424" s="2" t="s">
        <v>59</v>
      </c>
      <c r="K1424">
        <v>0</v>
      </c>
      <c r="L1424" s="2" t="s">
        <v>2782</v>
      </c>
      <c r="M1424" s="2" t="s">
        <v>1230</v>
      </c>
      <c r="N1424">
        <v>31.04</v>
      </c>
      <c r="O1424" s="1">
        <v>45398</v>
      </c>
      <c r="P1424" s="1">
        <v>45402</v>
      </c>
      <c r="Q1424" s="2" t="s">
        <v>34</v>
      </c>
      <c r="R1424" s="2">
        <v>2672</v>
      </c>
    </row>
    <row r="1425" spans="1:18" x14ac:dyDescent="0.25">
      <c r="A1425" s="1">
        <v>45788</v>
      </c>
      <c r="B1425" s="2" t="s">
        <v>40</v>
      </c>
      <c r="C1425" s="2" t="s">
        <v>41</v>
      </c>
      <c r="D1425">
        <v>16</v>
      </c>
      <c r="E1425">
        <v>305</v>
      </c>
      <c r="F1425" s="2" t="s">
        <v>28</v>
      </c>
      <c r="G1425" s="2" t="s">
        <v>20</v>
      </c>
      <c r="H1425">
        <v>0.1</v>
      </c>
      <c r="I1425" s="2" t="s">
        <v>30</v>
      </c>
      <c r="J1425" s="2" t="s">
        <v>56</v>
      </c>
      <c r="K1425">
        <v>0</v>
      </c>
      <c r="L1425" s="2" t="s">
        <v>2783</v>
      </c>
      <c r="M1425" s="2" t="s">
        <v>778</v>
      </c>
      <c r="N1425">
        <v>33.369999999999997</v>
      </c>
      <c r="O1425" s="1">
        <v>45788</v>
      </c>
      <c r="P1425" s="1">
        <v>45796</v>
      </c>
      <c r="Q1425" s="2" t="s">
        <v>45</v>
      </c>
      <c r="R1425" s="2">
        <v>4392</v>
      </c>
    </row>
    <row r="1426" spans="1:18" x14ac:dyDescent="0.25">
      <c r="A1426" s="1">
        <v>45271</v>
      </c>
      <c r="B1426" s="2" t="s">
        <v>35</v>
      </c>
      <c r="C1426" s="2" t="s">
        <v>126</v>
      </c>
      <c r="D1426">
        <v>16</v>
      </c>
      <c r="E1426">
        <v>439</v>
      </c>
      <c r="F1426" s="2" t="s">
        <v>46</v>
      </c>
      <c r="G1426" s="2" t="s">
        <v>29</v>
      </c>
      <c r="H1426">
        <v>0</v>
      </c>
      <c r="I1426" s="2" t="s">
        <v>30</v>
      </c>
      <c r="J1426" s="2" t="s">
        <v>22</v>
      </c>
      <c r="K1426">
        <v>0</v>
      </c>
      <c r="L1426" s="2" t="s">
        <v>2784</v>
      </c>
      <c r="M1426" s="2" t="s">
        <v>2785</v>
      </c>
      <c r="N1426">
        <v>6.53</v>
      </c>
      <c r="O1426" s="1">
        <v>45271</v>
      </c>
      <c r="P1426" s="1">
        <v>45281</v>
      </c>
      <c r="Q1426" s="2" t="s">
        <v>39</v>
      </c>
      <c r="R1426" s="2">
        <v>7024</v>
      </c>
    </row>
    <row r="1427" spans="1:18" x14ac:dyDescent="0.25">
      <c r="A1427" s="1">
        <v>44942</v>
      </c>
      <c r="B1427" s="2" t="s">
        <v>35</v>
      </c>
      <c r="C1427" s="2" t="s">
        <v>126</v>
      </c>
      <c r="D1427">
        <v>10</v>
      </c>
      <c r="E1427">
        <v>194</v>
      </c>
      <c r="F1427" s="2" t="s">
        <v>51</v>
      </c>
      <c r="G1427" s="2" t="s">
        <v>20</v>
      </c>
      <c r="H1427">
        <v>0.1</v>
      </c>
      <c r="I1427" s="2" t="s">
        <v>30</v>
      </c>
      <c r="J1427" s="2" t="s">
        <v>31</v>
      </c>
      <c r="K1427">
        <v>0</v>
      </c>
      <c r="L1427" s="2" t="s">
        <v>2786</v>
      </c>
      <c r="M1427" s="2" t="s">
        <v>2787</v>
      </c>
      <c r="N1427">
        <v>41.3</v>
      </c>
      <c r="O1427" s="1">
        <v>44942</v>
      </c>
      <c r="P1427" s="1">
        <v>44947</v>
      </c>
      <c r="Q1427" s="2" t="s">
        <v>39</v>
      </c>
      <c r="R1427" s="2">
        <v>1746</v>
      </c>
    </row>
    <row r="1428" spans="1:18" x14ac:dyDescent="0.25">
      <c r="A1428" s="1">
        <v>45056</v>
      </c>
      <c r="B1428" s="2" t="s">
        <v>17</v>
      </c>
      <c r="C1428" s="2" t="s">
        <v>27</v>
      </c>
      <c r="D1428">
        <v>18</v>
      </c>
      <c r="E1428">
        <v>580</v>
      </c>
      <c r="F1428" s="2" t="s">
        <v>28</v>
      </c>
      <c r="G1428" s="2" t="s">
        <v>20</v>
      </c>
      <c r="H1428">
        <v>0.05</v>
      </c>
      <c r="I1428" s="2" t="s">
        <v>62</v>
      </c>
      <c r="J1428" s="2" t="s">
        <v>22</v>
      </c>
      <c r="K1428">
        <v>0</v>
      </c>
      <c r="L1428" s="2" t="s">
        <v>2788</v>
      </c>
      <c r="M1428" s="2" t="s">
        <v>2789</v>
      </c>
      <c r="N1428">
        <v>37.81</v>
      </c>
      <c r="O1428" s="1">
        <v>45056</v>
      </c>
      <c r="P1428" s="1">
        <v>45063</v>
      </c>
      <c r="Q1428" s="2" t="s">
        <v>25</v>
      </c>
      <c r="R1428" s="2">
        <v>9918</v>
      </c>
    </row>
    <row r="1429" spans="1:18" x14ac:dyDescent="0.25">
      <c r="A1429" s="1">
        <v>45465</v>
      </c>
      <c r="B1429" s="2" t="s">
        <v>40</v>
      </c>
      <c r="C1429" s="2" t="s">
        <v>50</v>
      </c>
      <c r="D1429">
        <v>18</v>
      </c>
      <c r="E1429">
        <v>92</v>
      </c>
      <c r="F1429" s="2" t="s">
        <v>46</v>
      </c>
      <c r="G1429" s="2" t="s">
        <v>29</v>
      </c>
      <c r="H1429">
        <v>0.1</v>
      </c>
      <c r="I1429" s="2" t="s">
        <v>30</v>
      </c>
      <c r="J1429" s="2" t="s">
        <v>56</v>
      </c>
      <c r="K1429">
        <v>0</v>
      </c>
      <c r="L1429" s="2" t="s">
        <v>2790</v>
      </c>
      <c r="M1429" s="2" t="s">
        <v>2791</v>
      </c>
      <c r="N1429">
        <v>32.54</v>
      </c>
      <c r="O1429" s="1">
        <v>45465</v>
      </c>
      <c r="P1429" s="1">
        <v>45472</v>
      </c>
      <c r="Q1429" s="2" t="s">
        <v>45</v>
      </c>
      <c r="R1429" s="2">
        <v>1490</v>
      </c>
    </row>
    <row r="1430" spans="1:18" x14ac:dyDescent="0.25">
      <c r="A1430" s="1">
        <v>45745</v>
      </c>
      <c r="B1430" s="2" t="s">
        <v>65</v>
      </c>
      <c r="C1430" s="2" t="s">
        <v>75</v>
      </c>
      <c r="D1430">
        <v>13</v>
      </c>
      <c r="E1430">
        <v>114</v>
      </c>
      <c r="F1430" s="2" t="s">
        <v>46</v>
      </c>
      <c r="G1430" s="2" t="s">
        <v>20</v>
      </c>
      <c r="H1430">
        <v>0.1</v>
      </c>
      <c r="I1430" s="2" t="s">
        <v>21</v>
      </c>
      <c r="J1430" s="2" t="s">
        <v>22</v>
      </c>
      <c r="K1430">
        <v>0</v>
      </c>
      <c r="L1430" s="2" t="s">
        <v>2792</v>
      </c>
      <c r="M1430" s="2" t="s">
        <v>2793</v>
      </c>
      <c r="N1430">
        <v>28.07</v>
      </c>
      <c r="O1430" s="1">
        <v>45745</v>
      </c>
      <c r="P1430" s="1">
        <v>45754</v>
      </c>
      <c r="Q1430" s="2" t="s">
        <v>68</v>
      </c>
      <c r="R1430" s="2">
        <v>1334</v>
      </c>
    </row>
    <row r="1431" spans="1:18" x14ac:dyDescent="0.25">
      <c r="A1431" s="1">
        <v>45034</v>
      </c>
      <c r="B1431" s="2" t="s">
        <v>35</v>
      </c>
      <c r="C1431" s="2" t="s">
        <v>75</v>
      </c>
      <c r="D1431">
        <v>16</v>
      </c>
      <c r="E1431">
        <v>478</v>
      </c>
      <c r="F1431" s="2" t="s">
        <v>28</v>
      </c>
      <c r="G1431" s="2" t="s">
        <v>20</v>
      </c>
      <c r="H1431">
        <v>0</v>
      </c>
      <c r="I1431" s="2" t="s">
        <v>47</v>
      </c>
      <c r="J1431" s="2" t="s">
        <v>53</v>
      </c>
      <c r="K1431">
        <v>0</v>
      </c>
      <c r="L1431" s="2" t="s">
        <v>2794</v>
      </c>
      <c r="M1431" s="2" t="s">
        <v>2795</v>
      </c>
      <c r="N1431">
        <v>21.89</v>
      </c>
      <c r="O1431" s="1">
        <v>45034</v>
      </c>
      <c r="P1431" s="1">
        <v>45039</v>
      </c>
      <c r="Q1431" s="2" t="s">
        <v>39</v>
      </c>
      <c r="R1431" s="2">
        <v>7648</v>
      </c>
    </row>
    <row r="1432" spans="1:18" x14ac:dyDescent="0.25">
      <c r="A1432" s="1">
        <v>44964</v>
      </c>
      <c r="B1432" s="2" t="s">
        <v>40</v>
      </c>
      <c r="C1432" s="2" t="s">
        <v>18</v>
      </c>
      <c r="D1432">
        <v>14</v>
      </c>
      <c r="E1432">
        <v>306</v>
      </c>
      <c r="F1432" s="2" t="s">
        <v>28</v>
      </c>
      <c r="G1432" s="2" t="s">
        <v>29</v>
      </c>
      <c r="H1432">
        <v>0.1</v>
      </c>
      <c r="I1432" s="2" t="s">
        <v>21</v>
      </c>
      <c r="J1432" s="2" t="s">
        <v>59</v>
      </c>
      <c r="K1432">
        <v>0</v>
      </c>
      <c r="L1432" s="2" t="s">
        <v>2796</v>
      </c>
      <c r="M1432" s="2" t="s">
        <v>2797</v>
      </c>
      <c r="N1432">
        <v>38.729999999999997</v>
      </c>
      <c r="O1432" s="1">
        <v>44964</v>
      </c>
      <c r="P1432" s="1">
        <v>44966</v>
      </c>
      <c r="Q1432" s="2" t="s">
        <v>45</v>
      </c>
      <c r="R1432" s="2">
        <v>3856</v>
      </c>
    </row>
    <row r="1433" spans="1:18" x14ac:dyDescent="0.25">
      <c r="A1433" s="1">
        <v>45679</v>
      </c>
      <c r="B1433" s="2" t="s">
        <v>17</v>
      </c>
      <c r="C1433" s="2" t="s">
        <v>75</v>
      </c>
      <c r="D1433">
        <v>17</v>
      </c>
      <c r="E1433">
        <v>8</v>
      </c>
      <c r="F1433" s="2" t="s">
        <v>28</v>
      </c>
      <c r="G1433" s="2" t="s">
        <v>29</v>
      </c>
      <c r="H1433">
        <v>0.05</v>
      </c>
      <c r="I1433" s="2" t="s">
        <v>21</v>
      </c>
      <c r="J1433" s="2" t="s">
        <v>59</v>
      </c>
      <c r="K1433">
        <v>0</v>
      </c>
      <c r="L1433" s="2" t="s">
        <v>2798</v>
      </c>
      <c r="M1433" s="2" t="s">
        <v>2799</v>
      </c>
      <c r="N1433">
        <v>43.29</v>
      </c>
      <c r="O1433" s="1">
        <v>45679</v>
      </c>
      <c r="P1433" s="1">
        <v>45682</v>
      </c>
      <c r="Q1433" s="2" t="s">
        <v>25</v>
      </c>
      <c r="R1433" s="2">
        <v>129</v>
      </c>
    </row>
    <row r="1434" spans="1:18" x14ac:dyDescent="0.25">
      <c r="A1434" s="1">
        <v>45111</v>
      </c>
      <c r="B1434" s="2" t="s">
        <v>17</v>
      </c>
      <c r="C1434" s="2" t="s">
        <v>27</v>
      </c>
      <c r="D1434">
        <v>6</v>
      </c>
      <c r="E1434">
        <v>347</v>
      </c>
      <c r="F1434" s="2" t="s">
        <v>46</v>
      </c>
      <c r="G1434" s="2" t="s">
        <v>29</v>
      </c>
      <c r="H1434">
        <v>0.05</v>
      </c>
      <c r="I1434" s="2" t="s">
        <v>21</v>
      </c>
      <c r="J1434" s="2" t="s">
        <v>31</v>
      </c>
      <c r="K1434">
        <v>0</v>
      </c>
      <c r="L1434" s="2" t="s">
        <v>2800</v>
      </c>
      <c r="M1434" s="2" t="s">
        <v>2801</v>
      </c>
      <c r="N1434">
        <v>29.18</v>
      </c>
      <c r="O1434" s="1">
        <v>45111</v>
      </c>
      <c r="P1434" s="1">
        <v>45119</v>
      </c>
      <c r="Q1434" s="2" t="s">
        <v>25</v>
      </c>
      <c r="R1434" s="2">
        <v>1978</v>
      </c>
    </row>
    <row r="1435" spans="1:18" x14ac:dyDescent="0.25">
      <c r="A1435" s="1">
        <v>45138</v>
      </c>
      <c r="B1435" s="2" t="s">
        <v>40</v>
      </c>
      <c r="C1435" s="2" t="s">
        <v>36</v>
      </c>
      <c r="D1435">
        <v>14</v>
      </c>
      <c r="E1435">
        <v>223</v>
      </c>
      <c r="F1435" s="2" t="s">
        <v>19</v>
      </c>
      <c r="G1435" s="2" t="s">
        <v>20</v>
      </c>
      <c r="H1435">
        <v>0.1</v>
      </c>
      <c r="I1435" s="2" t="s">
        <v>30</v>
      </c>
      <c r="J1435" s="2" t="s">
        <v>53</v>
      </c>
      <c r="K1435">
        <v>0</v>
      </c>
      <c r="L1435" s="2" t="s">
        <v>2802</v>
      </c>
      <c r="M1435" s="2" t="s">
        <v>2803</v>
      </c>
      <c r="N1435">
        <v>12.88</v>
      </c>
      <c r="O1435" s="1">
        <v>45138</v>
      </c>
      <c r="P1435" s="1">
        <v>45141</v>
      </c>
      <c r="Q1435" s="2" t="s">
        <v>45</v>
      </c>
      <c r="R1435" s="2">
        <v>2810</v>
      </c>
    </row>
    <row r="1436" spans="1:18" x14ac:dyDescent="0.25">
      <c r="A1436" s="1">
        <v>45036</v>
      </c>
      <c r="B1436" s="2" t="s">
        <v>35</v>
      </c>
      <c r="C1436" s="2" t="s">
        <v>36</v>
      </c>
      <c r="D1436">
        <v>6</v>
      </c>
      <c r="E1436">
        <v>529</v>
      </c>
      <c r="F1436" s="2" t="s">
        <v>51</v>
      </c>
      <c r="G1436" s="2" t="s">
        <v>20</v>
      </c>
      <c r="H1436">
        <v>0</v>
      </c>
      <c r="I1436" s="2" t="s">
        <v>21</v>
      </c>
      <c r="J1436" s="2" t="s">
        <v>56</v>
      </c>
      <c r="K1436">
        <v>0</v>
      </c>
      <c r="L1436" s="2" t="s">
        <v>2804</v>
      </c>
      <c r="M1436" s="2" t="s">
        <v>2805</v>
      </c>
      <c r="N1436">
        <v>5.13</v>
      </c>
      <c r="O1436" s="1">
        <v>45036</v>
      </c>
      <c r="P1436" s="1">
        <v>45043</v>
      </c>
      <c r="Q1436" s="2" t="s">
        <v>39</v>
      </c>
      <c r="R1436" s="2">
        <v>3174</v>
      </c>
    </row>
    <row r="1437" spans="1:18" x14ac:dyDescent="0.25">
      <c r="A1437" s="1">
        <v>45573</v>
      </c>
      <c r="B1437" s="2" t="s">
        <v>40</v>
      </c>
      <c r="C1437" s="2" t="s">
        <v>75</v>
      </c>
      <c r="D1437">
        <v>11</v>
      </c>
      <c r="E1437">
        <v>97</v>
      </c>
      <c r="F1437" s="2" t="s">
        <v>51</v>
      </c>
      <c r="G1437" s="2" t="s">
        <v>20</v>
      </c>
      <c r="H1437">
        <v>0.1</v>
      </c>
      <c r="I1437" s="2" t="s">
        <v>47</v>
      </c>
      <c r="J1437" s="2" t="s">
        <v>56</v>
      </c>
      <c r="K1437">
        <v>0</v>
      </c>
      <c r="L1437" s="2" t="s">
        <v>2806</v>
      </c>
      <c r="M1437" s="2" t="s">
        <v>2807</v>
      </c>
      <c r="N1437">
        <v>10.61</v>
      </c>
      <c r="O1437" s="1">
        <v>45573</v>
      </c>
      <c r="P1437" s="1">
        <v>45576</v>
      </c>
      <c r="Q1437" s="2" t="s">
        <v>45</v>
      </c>
      <c r="R1437" s="2">
        <v>960</v>
      </c>
    </row>
    <row r="1438" spans="1:18" x14ac:dyDescent="0.25">
      <c r="A1438" s="1">
        <v>45316</v>
      </c>
      <c r="B1438" s="2" t="s">
        <v>17</v>
      </c>
      <c r="C1438" s="2" t="s">
        <v>41</v>
      </c>
      <c r="D1438">
        <v>11</v>
      </c>
      <c r="E1438">
        <v>423</v>
      </c>
      <c r="F1438" s="2" t="s">
        <v>19</v>
      </c>
      <c r="G1438" s="2" t="s">
        <v>29</v>
      </c>
      <c r="H1438">
        <v>0.1</v>
      </c>
      <c r="I1438" s="2" t="s">
        <v>42</v>
      </c>
      <c r="J1438" s="2" t="s">
        <v>53</v>
      </c>
      <c r="K1438">
        <v>0</v>
      </c>
      <c r="L1438" s="2" t="s">
        <v>2808</v>
      </c>
      <c r="M1438" s="2" t="s">
        <v>2809</v>
      </c>
      <c r="N1438">
        <v>45.89</v>
      </c>
      <c r="O1438" s="1">
        <v>45316</v>
      </c>
      <c r="P1438" s="1">
        <v>45318</v>
      </c>
      <c r="Q1438" s="2" t="s">
        <v>25</v>
      </c>
      <c r="R1438" s="2">
        <v>4188</v>
      </c>
    </row>
    <row r="1439" spans="1:18" x14ac:dyDescent="0.25">
      <c r="A1439" s="1">
        <v>45642</v>
      </c>
      <c r="B1439" s="2" t="s">
        <v>26</v>
      </c>
      <c r="C1439" s="2" t="s">
        <v>50</v>
      </c>
      <c r="D1439">
        <v>4</v>
      </c>
      <c r="E1439">
        <v>557</v>
      </c>
      <c r="F1439" s="2" t="s">
        <v>46</v>
      </c>
      <c r="G1439" s="2" t="s">
        <v>20</v>
      </c>
      <c r="H1439">
        <v>0.05</v>
      </c>
      <c r="I1439" s="2" t="s">
        <v>42</v>
      </c>
      <c r="J1439" s="2" t="s">
        <v>53</v>
      </c>
      <c r="K1439">
        <v>0</v>
      </c>
      <c r="L1439" s="2" t="s">
        <v>2810</v>
      </c>
      <c r="M1439" s="2" t="s">
        <v>2811</v>
      </c>
      <c r="N1439">
        <v>32.159999999999997</v>
      </c>
      <c r="O1439" s="1">
        <v>45642</v>
      </c>
      <c r="P1439" s="1">
        <v>45651</v>
      </c>
      <c r="Q1439" s="2" t="s">
        <v>34</v>
      </c>
      <c r="R1439" s="2">
        <v>2117</v>
      </c>
    </row>
    <row r="1440" spans="1:18" x14ac:dyDescent="0.25">
      <c r="A1440" s="1">
        <v>45589</v>
      </c>
      <c r="B1440" s="2" t="s">
        <v>40</v>
      </c>
      <c r="C1440" s="2" t="s">
        <v>126</v>
      </c>
      <c r="D1440">
        <v>9</v>
      </c>
      <c r="E1440">
        <v>460</v>
      </c>
      <c r="F1440" s="2" t="s">
        <v>19</v>
      </c>
      <c r="G1440" s="2" t="s">
        <v>29</v>
      </c>
      <c r="H1440">
        <v>0.1</v>
      </c>
      <c r="I1440" s="2" t="s">
        <v>62</v>
      </c>
      <c r="J1440" s="2" t="s">
        <v>31</v>
      </c>
      <c r="K1440">
        <v>1</v>
      </c>
      <c r="L1440" s="2" t="s">
        <v>2812</v>
      </c>
      <c r="M1440" s="2" t="s">
        <v>70</v>
      </c>
      <c r="N1440">
        <v>22.24</v>
      </c>
      <c r="O1440" s="1">
        <v>45589</v>
      </c>
      <c r="P1440" s="1">
        <v>45597</v>
      </c>
      <c r="Q1440" s="2" t="s">
        <v>45</v>
      </c>
      <c r="R1440" s="2">
        <v>3726</v>
      </c>
    </row>
    <row r="1441" spans="1:18" x14ac:dyDescent="0.25">
      <c r="A1441" s="1">
        <v>45246</v>
      </c>
      <c r="B1441" s="2" t="s">
        <v>65</v>
      </c>
      <c r="C1441" s="2" t="s">
        <v>50</v>
      </c>
      <c r="D1441">
        <v>8</v>
      </c>
      <c r="E1441">
        <v>493</v>
      </c>
      <c r="F1441" s="2" t="s">
        <v>28</v>
      </c>
      <c r="G1441" s="2" t="s">
        <v>29</v>
      </c>
      <c r="H1441">
        <v>0.1</v>
      </c>
      <c r="I1441" s="2" t="s">
        <v>30</v>
      </c>
      <c r="J1441" s="2" t="s">
        <v>59</v>
      </c>
      <c r="K1441">
        <v>1</v>
      </c>
      <c r="L1441" s="2" t="s">
        <v>2813</v>
      </c>
      <c r="M1441" s="2" t="s">
        <v>2814</v>
      </c>
      <c r="N1441">
        <v>12.86</v>
      </c>
      <c r="O1441" s="1">
        <v>45246</v>
      </c>
      <c r="P1441" s="1">
        <v>45250</v>
      </c>
      <c r="Q1441" s="2" t="s">
        <v>68</v>
      </c>
      <c r="R1441" s="2">
        <v>3550</v>
      </c>
    </row>
    <row r="1442" spans="1:18" x14ac:dyDescent="0.25">
      <c r="A1442" s="1">
        <v>45382</v>
      </c>
      <c r="B1442" s="2" t="s">
        <v>26</v>
      </c>
      <c r="C1442" s="2" t="s">
        <v>18</v>
      </c>
      <c r="D1442">
        <v>13</v>
      </c>
      <c r="E1442">
        <v>429</v>
      </c>
      <c r="F1442" s="2" t="s">
        <v>51</v>
      </c>
      <c r="G1442" s="2" t="s">
        <v>29</v>
      </c>
      <c r="H1442">
        <v>0</v>
      </c>
      <c r="I1442" s="2" t="s">
        <v>62</v>
      </c>
      <c r="J1442" s="2" t="s">
        <v>59</v>
      </c>
      <c r="K1442">
        <v>0</v>
      </c>
      <c r="L1442" s="2" t="s">
        <v>2815</v>
      </c>
      <c r="M1442" s="2" t="s">
        <v>2816</v>
      </c>
      <c r="N1442">
        <v>23.89</v>
      </c>
      <c r="O1442" s="1">
        <v>45382</v>
      </c>
      <c r="P1442" s="1">
        <v>45390</v>
      </c>
      <c r="Q1442" s="2" t="s">
        <v>34</v>
      </c>
      <c r="R1442" s="2">
        <v>5577</v>
      </c>
    </row>
    <row r="1443" spans="1:18" x14ac:dyDescent="0.25">
      <c r="A1443" s="1">
        <v>44970</v>
      </c>
      <c r="B1443" s="2" t="s">
        <v>17</v>
      </c>
      <c r="C1443" s="2" t="s">
        <v>18</v>
      </c>
      <c r="D1443">
        <v>7</v>
      </c>
      <c r="E1443">
        <v>242</v>
      </c>
      <c r="F1443" s="2" t="s">
        <v>46</v>
      </c>
      <c r="G1443" s="2" t="s">
        <v>20</v>
      </c>
      <c r="H1443">
        <v>0.05</v>
      </c>
      <c r="I1443" s="2" t="s">
        <v>21</v>
      </c>
      <c r="J1443" s="2" t="s">
        <v>56</v>
      </c>
      <c r="K1443">
        <v>0</v>
      </c>
      <c r="L1443" s="2" t="s">
        <v>2817</v>
      </c>
      <c r="M1443" s="2" t="s">
        <v>1743</v>
      </c>
      <c r="N1443">
        <v>47.19</v>
      </c>
      <c r="O1443" s="1">
        <v>44970</v>
      </c>
      <c r="P1443" s="1">
        <v>44975</v>
      </c>
      <c r="Q1443" s="2" t="s">
        <v>25</v>
      </c>
      <c r="R1443" s="2">
        <v>1609</v>
      </c>
    </row>
    <row r="1444" spans="1:18" x14ac:dyDescent="0.25">
      <c r="A1444" s="1">
        <v>45189</v>
      </c>
      <c r="B1444" s="2" t="s">
        <v>26</v>
      </c>
      <c r="C1444" s="2" t="s">
        <v>75</v>
      </c>
      <c r="D1444">
        <v>17</v>
      </c>
      <c r="E1444">
        <v>477</v>
      </c>
      <c r="F1444" s="2" t="s">
        <v>46</v>
      </c>
      <c r="G1444" s="2" t="s">
        <v>29</v>
      </c>
      <c r="H1444">
        <v>0.05</v>
      </c>
      <c r="I1444" s="2" t="s">
        <v>30</v>
      </c>
      <c r="J1444" s="2" t="s">
        <v>31</v>
      </c>
      <c r="K1444">
        <v>0</v>
      </c>
      <c r="L1444" s="2" t="s">
        <v>2818</v>
      </c>
      <c r="M1444" s="2" t="s">
        <v>2819</v>
      </c>
      <c r="N1444">
        <v>35.28</v>
      </c>
      <c r="O1444" s="1">
        <v>45189</v>
      </c>
      <c r="P1444" s="1">
        <v>45196</v>
      </c>
      <c r="Q1444" s="2" t="s">
        <v>34</v>
      </c>
      <c r="R1444" s="2">
        <v>7704</v>
      </c>
    </row>
    <row r="1445" spans="1:18" x14ac:dyDescent="0.25">
      <c r="A1445" s="1">
        <v>45104</v>
      </c>
      <c r="B1445" s="2" t="s">
        <v>26</v>
      </c>
      <c r="C1445" s="2" t="s">
        <v>41</v>
      </c>
      <c r="D1445">
        <v>3</v>
      </c>
      <c r="E1445">
        <v>262</v>
      </c>
      <c r="F1445" s="2" t="s">
        <v>51</v>
      </c>
      <c r="G1445" s="2" t="s">
        <v>29</v>
      </c>
      <c r="H1445">
        <v>0.05</v>
      </c>
      <c r="I1445" s="2" t="s">
        <v>52</v>
      </c>
      <c r="J1445" s="2" t="s">
        <v>59</v>
      </c>
      <c r="K1445">
        <v>0</v>
      </c>
      <c r="L1445" s="2" t="s">
        <v>2820</v>
      </c>
      <c r="M1445" s="2" t="s">
        <v>2821</v>
      </c>
      <c r="N1445">
        <v>42.11</v>
      </c>
      <c r="O1445" s="1">
        <v>45104</v>
      </c>
      <c r="P1445" s="1">
        <v>45114</v>
      </c>
      <c r="Q1445" s="2" t="s">
        <v>34</v>
      </c>
      <c r="R1445" s="2">
        <v>747</v>
      </c>
    </row>
    <row r="1446" spans="1:18" x14ac:dyDescent="0.25">
      <c r="A1446" s="1">
        <v>45749</v>
      </c>
      <c r="B1446" s="2" t="s">
        <v>40</v>
      </c>
      <c r="C1446" s="2" t="s">
        <v>18</v>
      </c>
      <c r="D1446">
        <v>6</v>
      </c>
      <c r="E1446">
        <v>416</v>
      </c>
      <c r="F1446" s="2" t="s">
        <v>28</v>
      </c>
      <c r="G1446" s="2" t="s">
        <v>20</v>
      </c>
      <c r="H1446">
        <v>0.05</v>
      </c>
      <c r="I1446" s="2" t="s">
        <v>30</v>
      </c>
      <c r="J1446" s="2" t="s">
        <v>59</v>
      </c>
      <c r="K1446">
        <v>1</v>
      </c>
      <c r="L1446" s="2" t="s">
        <v>2822</v>
      </c>
      <c r="M1446" s="2" t="s">
        <v>2823</v>
      </c>
      <c r="N1446">
        <v>44.14</v>
      </c>
      <c r="O1446" s="1">
        <v>45749</v>
      </c>
      <c r="P1446" s="1">
        <v>45753</v>
      </c>
      <c r="Q1446" s="2" t="s">
        <v>45</v>
      </c>
      <c r="R1446" s="2">
        <v>2371</v>
      </c>
    </row>
    <row r="1447" spans="1:18" x14ac:dyDescent="0.25">
      <c r="A1447" s="1">
        <v>45763</v>
      </c>
      <c r="B1447" s="2" t="s">
        <v>35</v>
      </c>
      <c r="C1447" s="2" t="s">
        <v>126</v>
      </c>
      <c r="D1447">
        <v>15</v>
      </c>
      <c r="E1447">
        <v>100</v>
      </c>
      <c r="F1447" s="2" t="s">
        <v>28</v>
      </c>
      <c r="G1447" s="2" t="s">
        <v>20</v>
      </c>
      <c r="H1447">
        <v>0</v>
      </c>
      <c r="I1447" s="2" t="s">
        <v>21</v>
      </c>
      <c r="J1447" s="2" t="s">
        <v>59</v>
      </c>
      <c r="K1447">
        <v>0</v>
      </c>
      <c r="L1447" s="2" t="s">
        <v>2824</v>
      </c>
      <c r="M1447" s="2" t="s">
        <v>2825</v>
      </c>
      <c r="N1447">
        <v>27.55</v>
      </c>
      <c r="O1447" s="1">
        <v>45763</v>
      </c>
      <c r="P1447" s="1">
        <v>45773</v>
      </c>
      <c r="Q1447" s="2" t="s">
        <v>39</v>
      </c>
      <c r="R1447" s="2">
        <v>1500</v>
      </c>
    </row>
    <row r="1448" spans="1:18" x14ac:dyDescent="0.25">
      <c r="A1448" s="1">
        <v>45482</v>
      </c>
      <c r="B1448" s="2" t="s">
        <v>40</v>
      </c>
      <c r="C1448" s="2" t="s">
        <v>18</v>
      </c>
      <c r="D1448">
        <v>16</v>
      </c>
      <c r="E1448">
        <v>56</v>
      </c>
      <c r="F1448" s="2" t="s">
        <v>51</v>
      </c>
      <c r="G1448" s="2" t="s">
        <v>20</v>
      </c>
      <c r="H1448">
        <v>0.15</v>
      </c>
      <c r="I1448" s="2" t="s">
        <v>42</v>
      </c>
      <c r="J1448" s="2" t="s">
        <v>59</v>
      </c>
      <c r="K1448">
        <v>1</v>
      </c>
      <c r="L1448" s="2" t="s">
        <v>2826</v>
      </c>
      <c r="M1448" s="2" t="s">
        <v>2827</v>
      </c>
      <c r="N1448">
        <v>17.809999999999999</v>
      </c>
      <c r="O1448" s="1">
        <v>45482</v>
      </c>
      <c r="P1448" s="1">
        <v>45490</v>
      </c>
      <c r="Q1448" s="2" t="s">
        <v>45</v>
      </c>
      <c r="R1448" s="2">
        <v>762</v>
      </c>
    </row>
    <row r="1449" spans="1:18" x14ac:dyDescent="0.25">
      <c r="A1449" s="1">
        <v>45831</v>
      </c>
      <c r="B1449" s="2" t="s">
        <v>17</v>
      </c>
      <c r="C1449" s="2" t="s">
        <v>27</v>
      </c>
      <c r="D1449">
        <v>20</v>
      </c>
      <c r="E1449">
        <v>243</v>
      </c>
      <c r="F1449" s="2" t="s">
        <v>28</v>
      </c>
      <c r="G1449" s="2" t="s">
        <v>20</v>
      </c>
      <c r="H1449">
        <v>0.05</v>
      </c>
      <c r="I1449" s="2" t="s">
        <v>30</v>
      </c>
      <c r="J1449" s="2" t="s">
        <v>31</v>
      </c>
      <c r="K1449">
        <v>1</v>
      </c>
      <c r="L1449" s="2" t="s">
        <v>2828</v>
      </c>
      <c r="M1449" s="2" t="s">
        <v>2531</v>
      </c>
      <c r="N1449">
        <v>32.28</v>
      </c>
      <c r="O1449" s="1">
        <v>45831</v>
      </c>
      <c r="P1449" s="1">
        <v>45841</v>
      </c>
      <c r="Q1449" s="2" t="s">
        <v>25</v>
      </c>
      <c r="R1449" s="2">
        <v>4617</v>
      </c>
    </row>
    <row r="1450" spans="1:18" x14ac:dyDescent="0.25">
      <c r="A1450" s="1">
        <v>45452</v>
      </c>
      <c r="B1450" s="2" t="s">
        <v>17</v>
      </c>
      <c r="C1450" s="2" t="s">
        <v>75</v>
      </c>
      <c r="D1450">
        <v>11</v>
      </c>
      <c r="E1450">
        <v>186</v>
      </c>
      <c r="F1450" s="2" t="s">
        <v>19</v>
      </c>
      <c r="G1450" s="2" t="s">
        <v>29</v>
      </c>
      <c r="H1450">
        <v>0.1</v>
      </c>
      <c r="I1450" s="2" t="s">
        <v>47</v>
      </c>
      <c r="J1450" s="2" t="s">
        <v>31</v>
      </c>
      <c r="K1450">
        <v>0</v>
      </c>
      <c r="L1450" s="2" t="s">
        <v>2829</v>
      </c>
      <c r="M1450" s="2" t="s">
        <v>1642</v>
      </c>
      <c r="N1450">
        <v>45.19</v>
      </c>
      <c r="O1450" s="1">
        <v>45452</v>
      </c>
      <c r="P1450" s="1">
        <v>45461</v>
      </c>
      <c r="Q1450" s="2" t="s">
        <v>25</v>
      </c>
      <c r="R1450" s="2">
        <v>1841</v>
      </c>
    </row>
    <row r="1451" spans="1:18" x14ac:dyDescent="0.25">
      <c r="A1451" s="1">
        <v>45261</v>
      </c>
      <c r="B1451" s="2" t="s">
        <v>40</v>
      </c>
      <c r="C1451" s="2" t="s">
        <v>36</v>
      </c>
      <c r="D1451">
        <v>11</v>
      </c>
      <c r="E1451">
        <v>347</v>
      </c>
      <c r="F1451" s="2" t="s">
        <v>46</v>
      </c>
      <c r="G1451" s="2" t="s">
        <v>20</v>
      </c>
      <c r="H1451">
        <v>0.05</v>
      </c>
      <c r="I1451" s="2" t="s">
        <v>21</v>
      </c>
      <c r="J1451" s="2" t="s">
        <v>53</v>
      </c>
      <c r="K1451">
        <v>0</v>
      </c>
      <c r="L1451" s="2" t="s">
        <v>2830</v>
      </c>
      <c r="M1451" s="2" t="s">
        <v>2831</v>
      </c>
      <c r="N1451">
        <v>24.8</v>
      </c>
      <c r="O1451" s="1">
        <v>45261</v>
      </c>
      <c r="P1451" s="1">
        <v>45263</v>
      </c>
      <c r="Q1451" s="2" t="s">
        <v>45</v>
      </c>
      <c r="R1451" s="2">
        <v>3626</v>
      </c>
    </row>
    <row r="1452" spans="1:18" x14ac:dyDescent="0.25">
      <c r="A1452" s="1">
        <v>45497</v>
      </c>
      <c r="B1452" s="2" t="s">
        <v>65</v>
      </c>
      <c r="C1452" s="2" t="s">
        <v>75</v>
      </c>
      <c r="D1452">
        <v>15</v>
      </c>
      <c r="E1452">
        <v>318</v>
      </c>
      <c r="F1452" s="2" t="s">
        <v>51</v>
      </c>
      <c r="G1452" s="2" t="s">
        <v>29</v>
      </c>
      <c r="H1452">
        <v>0.05</v>
      </c>
      <c r="I1452" s="2" t="s">
        <v>52</v>
      </c>
      <c r="J1452" s="2" t="s">
        <v>31</v>
      </c>
      <c r="K1452">
        <v>1</v>
      </c>
      <c r="L1452" s="2" t="s">
        <v>2832</v>
      </c>
      <c r="M1452" s="2" t="s">
        <v>2833</v>
      </c>
      <c r="N1452">
        <v>24.38</v>
      </c>
      <c r="O1452" s="1">
        <v>45497</v>
      </c>
      <c r="P1452" s="1">
        <v>45503</v>
      </c>
      <c r="Q1452" s="2" t="s">
        <v>68</v>
      </c>
      <c r="R1452" s="2">
        <v>4532</v>
      </c>
    </row>
    <row r="1453" spans="1:18" x14ac:dyDescent="0.25">
      <c r="A1453" s="1">
        <v>45028</v>
      </c>
      <c r="B1453" s="2" t="s">
        <v>65</v>
      </c>
      <c r="C1453" s="2" t="s">
        <v>41</v>
      </c>
      <c r="D1453">
        <v>15</v>
      </c>
      <c r="E1453">
        <v>242</v>
      </c>
      <c r="F1453" s="2" t="s">
        <v>51</v>
      </c>
      <c r="G1453" s="2" t="s">
        <v>20</v>
      </c>
      <c r="H1453">
        <v>0.15</v>
      </c>
      <c r="I1453" s="2" t="s">
        <v>52</v>
      </c>
      <c r="J1453" s="2" t="s">
        <v>59</v>
      </c>
      <c r="K1453">
        <v>1</v>
      </c>
      <c r="L1453" s="2" t="s">
        <v>2834</v>
      </c>
      <c r="M1453" s="2" t="s">
        <v>2025</v>
      </c>
      <c r="N1453">
        <v>14.92</v>
      </c>
      <c r="O1453" s="1">
        <v>45028</v>
      </c>
      <c r="P1453" s="1">
        <v>45035</v>
      </c>
      <c r="Q1453" s="2" t="s">
        <v>68</v>
      </c>
      <c r="R1453" s="2">
        <v>3086</v>
      </c>
    </row>
    <row r="1454" spans="1:18" x14ac:dyDescent="0.25">
      <c r="A1454" s="1">
        <v>45643</v>
      </c>
      <c r="B1454" s="2" t="s">
        <v>35</v>
      </c>
      <c r="C1454" s="2" t="s">
        <v>36</v>
      </c>
      <c r="D1454">
        <v>3</v>
      </c>
      <c r="E1454">
        <v>82</v>
      </c>
      <c r="F1454" s="2" t="s">
        <v>19</v>
      </c>
      <c r="G1454" s="2" t="s">
        <v>29</v>
      </c>
      <c r="H1454">
        <v>0.15</v>
      </c>
      <c r="I1454" s="2" t="s">
        <v>21</v>
      </c>
      <c r="J1454" s="2" t="s">
        <v>31</v>
      </c>
      <c r="K1454">
        <v>1</v>
      </c>
      <c r="L1454" s="2" t="s">
        <v>2835</v>
      </c>
      <c r="M1454" s="2" t="s">
        <v>2836</v>
      </c>
      <c r="N1454">
        <v>12.63</v>
      </c>
      <c r="O1454" s="1">
        <v>45643</v>
      </c>
      <c r="P1454" s="1">
        <v>45652</v>
      </c>
      <c r="Q1454" s="2" t="s">
        <v>39</v>
      </c>
      <c r="R1454" s="2">
        <v>209</v>
      </c>
    </row>
    <row r="1455" spans="1:18" x14ac:dyDescent="0.25">
      <c r="A1455" s="1">
        <v>45512</v>
      </c>
      <c r="B1455" s="2" t="s">
        <v>26</v>
      </c>
      <c r="C1455" s="2" t="s">
        <v>50</v>
      </c>
      <c r="D1455">
        <v>10</v>
      </c>
      <c r="E1455">
        <v>286</v>
      </c>
      <c r="F1455" s="2" t="s">
        <v>51</v>
      </c>
      <c r="G1455" s="2" t="s">
        <v>20</v>
      </c>
      <c r="H1455">
        <v>0.15</v>
      </c>
      <c r="I1455" s="2" t="s">
        <v>21</v>
      </c>
      <c r="J1455" s="2" t="s">
        <v>59</v>
      </c>
      <c r="K1455">
        <v>1</v>
      </c>
      <c r="L1455" s="2" t="s">
        <v>2837</v>
      </c>
      <c r="M1455" s="2" t="s">
        <v>2838</v>
      </c>
      <c r="N1455">
        <v>26.68</v>
      </c>
      <c r="O1455" s="1">
        <v>45512</v>
      </c>
      <c r="P1455" s="1">
        <v>45518</v>
      </c>
      <c r="Q1455" s="2" t="s">
        <v>34</v>
      </c>
      <c r="R1455" s="2">
        <v>2431</v>
      </c>
    </row>
    <row r="1456" spans="1:18" x14ac:dyDescent="0.25">
      <c r="A1456" s="1">
        <v>45550</v>
      </c>
      <c r="B1456" s="2" t="s">
        <v>17</v>
      </c>
      <c r="C1456" s="2" t="s">
        <v>18</v>
      </c>
      <c r="D1456">
        <v>17</v>
      </c>
      <c r="E1456">
        <v>342</v>
      </c>
      <c r="F1456" s="2" t="s">
        <v>46</v>
      </c>
      <c r="G1456" s="2" t="s">
        <v>20</v>
      </c>
      <c r="H1456">
        <v>0.1</v>
      </c>
      <c r="I1456" s="2" t="s">
        <v>21</v>
      </c>
      <c r="J1456" s="2" t="s">
        <v>53</v>
      </c>
      <c r="K1456">
        <v>0</v>
      </c>
      <c r="L1456" s="2" t="s">
        <v>2839</v>
      </c>
      <c r="M1456" s="2" t="s">
        <v>2472</v>
      </c>
      <c r="N1456">
        <v>16.670000000000002</v>
      </c>
      <c r="O1456" s="1">
        <v>45550</v>
      </c>
      <c r="P1456" s="1">
        <v>45557</v>
      </c>
      <c r="Q1456" s="2" t="s">
        <v>25</v>
      </c>
      <c r="R1456" s="2">
        <v>5233</v>
      </c>
    </row>
    <row r="1457" spans="1:18" x14ac:dyDescent="0.25">
      <c r="A1457" s="1">
        <v>45207</v>
      </c>
      <c r="B1457" s="2" t="s">
        <v>26</v>
      </c>
      <c r="C1457" s="2" t="s">
        <v>75</v>
      </c>
      <c r="D1457">
        <v>14</v>
      </c>
      <c r="E1457">
        <v>216</v>
      </c>
      <c r="F1457" s="2" t="s">
        <v>51</v>
      </c>
      <c r="G1457" s="2" t="s">
        <v>20</v>
      </c>
      <c r="H1457">
        <v>0.1</v>
      </c>
      <c r="I1457" s="2" t="s">
        <v>52</v>
      </c>
      <c r="J1457" s="2" t="s">
        <v>56</v>
      </c>
      <c r="K1457">
        <v>0</v>
      </c>
      <c r="L1457" s="2" t="s">
        <v>2840</v>
      </c>
      <c r="M1457" s="2" t="s">
        <v>2688</v>
      </c>
      <c r="N1457">
        <v>40.74</v>
      </c>
      <c r="O1457" s="1">
        <v>45207</v>
      </c>
      <c r="P1457" s="1">
        <v>45209</v>
      </c>
      <c r="Q1457" s="2" t="s">
        <v>34</v>
      </c>
      <c r="R1457" s="2">
        <v>2722</v>
      </c>
    </row>
    <row r="1458" spans="1:18" x14ac:dyDescent="0.25">
      <c r="A1458" s="1">
        <v>45800</v>
      </c>
      <c r="B1458" s="2" t="s">
        <v>26</v>
      </c>
      <c r="C1458" s="2" t="s">
        <v>27</v>
      </c>
      <c r="D1458">
        <v>16</v>
      </c>
      <c r="E1458">
        <v>232</v>
      </c>
      <c r="F1458" s="2" t="s">
        <v>19</v>
      </c>
      <c r="G1458" s="2" t="s">
        <v>29</v>
      </c>
      <c r="H1458">
        <v>0.15</v>
      </c>
      <c r="I1458" s="2" t="s">
        <v>62</v>
      </c>
      <c r="J1458" s="2" t="s">
        <v>22</v>
      </c>
      <c r="K1458">
        <v>1</v>
      </c>
      <c r="L1458" s="2" t="s">
        <v>2841</v>
      </c>
      <c r="M1458" s="2" t="s">
        <v>2842</v>
      </c>
      <c r="N1458">
        <v>9.42</v>
      </c>
      <c r="O1458" s="1">
        <v>45800</v>
      </c>
      <c r="P1458" s="1">
        <v>45804</v>
      </c>
      <c r="Q1458" s="2" t="s">
        <v>34</v>
      </c>
      <c r="R1458" s="2">
        <v>3155</v>
      </c>
    </row>
    <row r="1459" spans="1:18" x14ac:dyDescent="0.25">
      <c r="A1459" s="1">
        <v>44928</v>
      </c>
      <c r="B1459" s="2" t="s">
        <v>26</v>
      </c>
      <c r="C1459" s="2" t="s">
        <v>18</v>
      </c>
      <c r="D1459">
        <v>7</v>
      </c>
      <c r="E1459">
        <v>61</v>
      </c>
      <c r="F1459" s="2" t="s">
        <v>46</v>
      </c>
      <c r="G1459" s="2" t="s">
        <v>29</v>
      </c>
      <c r="H1459">
        <v>0.15</v>
      </c>
      <c r="I1459" s="2" t="s">
        <v>21</v>
      </c>
      <c r="J1459" s="2" t="s">
        <v>22</v>
      </c>
      <c r="K1459">
        <v>0</v>
      </c>
      <c r="L1459" s="2" t="s">
        <v>2843</v>
      </c>
      <c r="M1459" s="2" t="s">
        <v>2844</v>
      </c>
      <c r="N1459">
        <v>14.44</v>
      </c>
      <c r="O1459" s="1">
        <v>44928</v>
      </c>
      <c r="P1459" s="1">
        <v>44938</v>
      </c>
      <c r="Q1459" s="2" t="s">
        <v>34</v>
      </c>
      <c r="R1459" s="2">
        <v>363</v>
      </c>
    </row>
    <row r="1460" spans="1:18" x14ac:dyDescent="0.25">
      <c r="A1460" s="1">
        <v>45218</v>
      </c>
      <c r="B1460" s="2" t="s">
        <v>35</v>
      </c>
      <c r="C1460" s="2" t="s">
        <v>36</v>
      </c>
      <c r="D1460">
        <v>15</v>
      </c>
      <c r="E1460">
        <v>434</v>
      </c>
      <c r="F1460" s="2" t="s">
        <v>19</v>
      </c>
      <c r="G1460" s="2" t="s">
        <v>20</v>
      </c>
      <c r="H1460">
        <v>0</v>
      </c>
      <c r="I1460" s="2" t="s">
        <v>62</v>
      </c>
      <c r="J1460" s="2" t="s">
        <v>56</v>
      </c>
      <c r="K1460">
        <v>1</v>
      </c>
      <c r="L1460" s="2" t="s">
        <v>2845</v>
      </c>
      <c r="M1460" s="2" t="s">
        <v>2846</v>
      </c>
      <c r="N1460">
        <v>33.86</v>
      </c>
      <c r="O1460" s="1">
        <v>45218</v>
      </c>
      <c r="P1460" s="1">
        <v>45227</v>
      </c>
      <c r="Q1460" s="2" t="s">
        <v>39</v>
      </c>
      <c r="R1460" s="2">
        <v>6510</v>
      </c>
    </row>
    <row r="1461" spans="1:18" x14ac:dyDescent="0.25">
      <c r="A1461" s="1">
        <v>45772</v>
      </c>
      <c r="B1461" s="2" t="s">
        <v>65</v>
      </c>
      <c r="C1461" s="2" t="s">
        <v>41</v>
      </c>
      <c r="D1461">
        <v>16</v>
      </c>
      <c r="E1461">
        <v>484</v>
      </c>
      <c r="F1461" s="2" t="s">
        <v>28</v>
      </c>
      <c r="G1461" s="2" t="s">
        <v>20</v>
      </c>
      <c r="H1461">
        <v>0</v>
      </c>
      <c r="I1461" s="2" t="s">
        <v>30</v>
      </c>
      <c r="J1461" s="2" t="s">
        <v>22</v>
      </c>
      <c r="K1461">
        <v>1</v>
      </c>
      <c r="L1461" s="2" t="s">
        <v>2847</v>
      </c>
      <c r="M1461" s="2" t="s">
        <v>2848</v>
      </c>
      <c r="N1461">
        <v>9.65</v>
      </c>
      <c r="O1461" s="1">
        <v>45772</v>
      </c>
      <c r="P1461" s="1">
        <v>45778</v>
      </c>
      <c r="Q1461" s="2" t="s">
        <v>68</v>
      </c>
      <c r="R1461" s="2">
        <v>7744</v>
      </c>
    </row>
    <row r="1462" spans="1:18" x14ac:dyDescent="0.25">
      <c r="A1462" s="1">
        <v>45382</v>
      </c>
      <c r="B1462" s="2" t="s">
        <v>40</v>
      </c>
      <c r="C1462" s="2" t="s">
        <v>36</v>
      </c>
      <c r="D1462">
        <v>2</v>
      </c>
      <c r="E1462">
        <v>55</v>
      </c>
      <c r="F1462" s="2" t="s">
        <v>46</v>
      </c>
      <c r="G1462" s="2" t="s">
        <v>20</v>
      </c>
      <c r="H1462">
        <v>0</v>
      </c>
      <c r="I1462" s="2" t="s">
        <v>42</v>
      </c>
      <c r="J1462" s="2" t="s">
        <v>53</v>
      </c>
      <c r="K1462">
        <v>0</v>
      </c>
      <c r="L1462" s="2" t="s">
        <v>2849</v>
      </c>
      <c r="M1462" s="2" t="s">
        <v>2850</v>
      </c>
      <c r="N1462">
        <v>9.85</v>
      </c>
      <c r="O1462" s="1">
        <v>45382</v>
      </c>
      <c r="P1462" s="1">
        <v>45386</v>
      </c>
      <c r="Q1462" s="2" t="s">
        <v>45</v>
      </c>
      <c r="R1462" s="2">
        <v>110</v>
      </c>
    </row>
    <row r="1463" spans="1:18" x14ac:dyDescent="0.25">
      <c r="A1463" s="1">
        <v>45688</v>
      </c>
      <c r="B1463" s="2" t="s">
        <v>35</v>
      </c>
      <c r="C1463" s="2" t="s">
        <v>126</v>
      </c>
      <c r="D1463">
        <v>13</v>
      </c>
      <c r="E1463">
        <v>223</v>
      </c>
      <c r="F1463" s="2" t="s">
        <v>19</v>
      </c>
      <c r="G1463" s="2" t="s">
        <v>29</v>
      </c>
      <c r="H1463">
        <v>0.15</v>
      </c>
      <c r="I1463" s="2" t="s">
        <v>47</v>
      </c>
      <c r="J1463" s="2" t="s">
        <v>53</v>
      </c>
      <c r="K1463">
        <v>1</v>
      </c>
      <c r="L1463" s="2" t="s">
        <v>2851</v>
      </c>
      <c r="M1463" s="2" t="s">
        <v>2852</v>
      </c>
      <c r="N1463">
        <v>38.46</v>
      </c>
      <c r="O1463" s="1">
        <v>45688</v>
      </c>
      <c r="P1463" s="1">
        <v>45695</v>
      </c>
      <c r="Q1463" s="2" t="s">
        <v>39</v>
      </c>
      <c r="R1463" s="2">
        <v>2464</v>
      </c>
    </row>
    <row r="1464" spans="1:18" x14ac:dyDescent="0.25">
      <c r="A1464" s="1">
        <v>45743</v>
      </c>
      <c r="B1464" s="2" t="s">
        <v>17</v>
      </c>
      <c r="C1464" s="2" t="s">
        <v>27</v>
      </c>
      <c r="D1464">
        <v>11</v>
      </c>
      <c r="E1464">
        <v>548</v>
      </c>
      <c r="F1464" s="2" t="s">
        <v>51</v>
      </c>
      <c r="G1464" s="2" t="s">
        <v>20</v>
      </c>
      <c r="H1464">
        <v>0.05</v>
      </c>
      <c r="I1464" s="2" t="s">
        <v>21</v>
      </c>
      <c r="J1464" s="2" t="s">
        <v>59</v>
      </c>
      <c r="K1464">
        <v>0</v>
      </c>
      <c r="L1464" s="2" t="s">
        <v>2853</v>
      </c>
      <c r="M1464" s="2" t="s">
        <v>2854</v>
      </c>
      <c r="N1464">
        <v>25.82</v>
      </c>
      <c r="O1464" s="1">
        <v>45743</v>
      </c>
      <c r="P1464" s="1">
        <v>45753</v>
      </c>
      <c r="Q1464" s="2" t="s">
        <v>25</v>
      </c>
      <c r="R1464" s="2">
        <v>5727</v>
      </c>
    </row>
    <row r="1465" spans="1:18" x14ac:dyDescent="0.25">
      <c r="A1465" s="1">
        <v>45676</v>
      </c>
      <c r="B1465" s="2" t="s">
        <v>40</v>
      </c>
      <c r="C1465" s="2" t="s">
        <v>36</v>
      </c>
      <c r="D1465">
        <v>11</v>
      </c>
      <c r="E1465">
        <v>134</v>
      </c>
      <c r="F1465" s="2" t="s">
        <v>51</v>
      </c>
      <c r="G1465" s="2" t="s">
        <v>20</v>
      </c>
      <c r="H1465">
        <v>0</v>
      </c>
      <c r="I1465" s="2" t="s">
        <v>52</v>
      </c>
      <c r="J1465" s="2" t="s">
        <v>56</v>
      </c>
      <c r="K1465">
        <v>1</v>
      </c>
      <c r="L1465" s="2" t="s">
        <v>2855</v>
      </c>
      <c r="M1465" s="2" t="s">
        <v>2148</v>
      </c>
      <c r="N1465">
        <v>30.18</v>
      </c>
      <c r="O1465" s="1">
        <v>45676</v>
      </c>
      <c r="P1465" s="1">
        <v>45681</v>
      </c>
      <c r="Q1465" s="2" t="s">
        <v>45</v>
      </c>
      <c r="R1465" s="2">
        <v>1474</v>
      </c>
    </row>
    <row r="1466" spans="1:18" x14ac:dyDescent="0.25">
      <c r="A1466" s="1">
        <v>45428</v>
      </c>
      <c r="B1466" s="2" t="s">
        <v>35</v>
      </c>
      <c r="C1466" s="2" t="s">
        <v>41</v>
      </c>
      <c r="D1466">
        <v>19</v>
      </c>
      <c r="E1466">
        <v>369</v>
      </c>
      <c r="F1466" s="2" t="s">
        <v>46</v>
      </c>
      <c r="G1466" s="2" t="s">
        <v>29</v>
      </c>
      <c r="H1466">
        <v>0.1</v>
      </c>
      <c r="I1466" s="2" t="s">
        <v>62</v>
      </c>
      <c r="J1466" s="2" t="s">
        <v>31</v>
      </c>
      <c r="K1466">
        <v>0</v>
      </c>
      <c r="L1466" s="2" t="s">
        <v>2856</v>
      </c>
      <c r="M1466" s="2" t="s">
        <v>2857</v>
      </c>
      <c r="N1466">
        <v>35.369999999999997</v>
      </c>
      <c r="O1466" s="1">
        <v>45428</v>
      </c>
      <c r="P1466" s="1">
        <v>45433</v>
      </c>
      <c r="Q1466" s="2" t="s">
        <v>39</v>
      </c>
      <c r="R1466" s="2">
        <v>6310</v>
      </c>
    </row>
    <row r="1467" spans="1:18" x14ac:dyDescent="0.25">
      <c r="A1467" s="1">
        <v>45173</v>
      </c>
      <c r="B1467" s="2" t="s">
        <v>40</v>
      </c>
      <c r="C1467" s="2" t="s">
        <v>41</v>
      </c>
      <c r="D1467">
        <v>14</v>
      </c>
      <c r="E1467">
        <v>116</v>
      </c>
      <c r="F1467" s="2" t="s">
        <v>28</v>
      </c>
      <c r="G1467" s="2" t="s">
        <v>20</v>
      </c>
      <c r="H1467">
        <v>0</v>
      </c>
      <c r="I1467" s="2" t="s">
        <v>62</v>
      </c>
      <c r="J1467" s="2" t="s">
        <v>56</v>
      </c>
      <c r="K1467">
        <v>0</v>
      </c>
      <c r="L1467" s="2" t="s">
        <v>2858</v>
      </c>
      <c r="M1467" s="2" t="s">
        <v>2859</v>
      </c>
      <c r="N1467">
        <v>31.85</v>
      </c>
      <c r="O1467" s="1">
        <v>45173</v>
      </c>
      <c r="P1467" s="1">
        <v>45175</v>
      </c>
      <c r="Q1467" s="2" t="s">
        <v>45</v>
      </c>
      <c r="R1467" s="2">
        <v>1624</v>
      </c>
    </row>
    <row r="1468" spans="1:18" x14ac:dyDescent="0.25">
      <c r="A1468" s="1">
        <v>45277</v>
      </c>
      <c r="B1468" s="2" t="s">
        <v>26</v>
      </c>
      <c r="C1468" s="2" t="s">
        <v>50</v>
      </c>
      <c r="D1468">
        <v>9</v>
      </c>
      <c r="E1468">
        <v>55</v>
      </c>
      <c r="F1468" s="2" t="s">
        <v>19</v>
      </c>
      <c r="G1468" s="2" t="s">
        <v>29</v>
      </c>
      <c r="H1468">
        <v>0.15</v>
      </c>
      <c r="I1468" s="2" t="s">
        <v>30</v>
      </c>
      <c r="J1468" s="2" t="s">
        <v>22</v>
      </c>
      <c r="K1468">
        <v>0</v>
      </c>
      <c r="L1468" s="2" t="s">
        <v>2860</v>
      </c>
      <c r="M1468" s="2" t="s">
        <v>2861</v>
      </c>
      <c r="N1468">
        <v>31.09</v>
      </c>
      <c r="O1468" s="1">
        <v>45277</v>
      </c>
      <c r="P1468" s="1">
        <v>45283</v>
      </c>
      <c r="Q1468" s="2" t="s">
        <v>34</v>
      </c>
      <c r="R1468" s="2">
        <v>421</v>
      </c>
    </row>
    <row r="1469" spans="1:18" x14ac:dyDescent="0.25">
      <c r="A1469" s="1">
        <v>45306</v>
      </c>
      <c r="B1469" s="2" t="s">
        <v>40</v>
      </c>
      <c r="C1469" s="2" t="s">
        <v>50</v>
      </c>
      <c r="D1469">
        <v>4</v>
      </c>
      <c r="E1469">
        <v>160</v>
      </c>
      <c r="F1469" s="2" t="s">
        <v>28</v>
      </c>
      <c r="G1469" s="2" t="s">
        <v>20</v>
      </c>
      <c r="H1469">
        <v>0.05</v>
      </c>
      <c r="I1469" s="2" t="s">
        <v>30</v>
      </c>
      <c r="J1469" s="2" t="s">
        <v>53</v>
      </c>
      <c r="K1469">
        <v>0</v>
      </c>
      <c r="L1469" s="2" t="s">
        <v>2862</v>
      </c>
      <c r="M1469" s="2" t="s">
        <v>2863</v>
      </c>
      <c r="N1469">
        <v>32.36</v>
      </c>
      <c r="O1469" s="1">
        <v>45306</v>
      </c>
      <c r="P1469" s="1">
        <v>45312</v>
      </c>
      <c r="Q1469" s="2" t="s">
        <v>45</v>
      </c>
      <c r="R1469" s="2">
        <v>608</v>
      </c>
    </row>
    <row r="1470" spans="1:18" x14ac:dyDescent="0.25">
      <c r="A1470" s="1">
        <v>45645</v>
      </c>
      <c r="B1470" s="2" t="s">
        <v>40</v>
      </c>
      <c r="C1470" s="2" t="s">
        <v>18</v>
      </c>
      <c r="D1470">
        <v>15</v>
      </c>
      <c r="E1470">
        <v>150</v>
      </c>
      <c r="F1470" s="2" t="s">
        <v>46</v>
      </c>
      <c r="G1470" s="2" t="s">
        <v>29</v>
      </c>
      <c r="H1470">
        <v>0</v>
      </c>
      <c r="I1470" s="2" t="s">
        <v>42</v>
      </c>
      <c r="J1470" s="2" t="s">
        <v>22</v>
      </c>
      <c r="K1470">
        <v>0</v>
      </c>
      <c r="L1470" s="2" t="s">
        <v>2864</v>
      </c>
      <c r="M1470" s="2" t="s">
        <v>2865</v>
      </c>
      <c r="N1470">
        <v>35.94</v>
      </c>
      <c r="O1470" s="1">
        <v>45645</v>
      </c>
      <c r="P1470" s="1">
        <v>45655</v>
      </c>
      <c r="Q1470" s="2" t="s">
        <v>45</v>
      </c>
      <c r="R1470" s="2">
        <v>2250</v>
      </c>
    </row>
    <row r="1471" spans="1:18" x14ac:dyDescent="0.25">
      <c r="A1471" s="1">
        <v>45276</v>
      </c>
      <c r="B1471" s="2" t="s">
        <v>35</v>
      </c>
      <c r="C1471" s="2" t="s">
        <v>41</v>
      </c>
      <c r="D1471">
        <v>9</v>
      </c>
      <c r="E1471">
        <v>58</v>
      </c>
      <c r="F1471" s="2" t="s">
        <v>46</v>
      </c>
      <c r="G1471" s="2" t="s">
        <v>20</v>
      </c>
      <c r="H1471">
        <v>0</v>
      </c>
      <c r="I1471" s="2" t="s">
        <v>62</v>
      </c>
      <c r="J1471" s="2" t="s">
        <v>31</v>
      </c>
      <c r="K1471">
        <v>1</v>
      </c>
      <c r="L1471" s="2" t="s">
        <v>2866</v>
      </c>
      <c r="M1471" s="2" t="s">
        <v>762</v>
      </c>
      <c r="N1471">
        <v>28.73</v>
      </c>
      <c r="O1471" s="1">
        <v>45276</v>
      </c>
      <c r="P1471" s="1">
        <v>45278</v>
      </c>
      <c r="Q1471" s="2" t="s">
        <v>39</v>
      </c>
      <c r="R1471" s="2">
        <v>522</v>
      </c>
    </row>
    <row r="1472" spans="1:18" x14ac:dyDescent="0.25">
      <c r="A1472" s="1">
        <v>45791</v>
      </c>
      <c r="B1472" s="2" t="s">
        <v>40</v>
      </c>
      <c r="C1472" s="2" t="s">
        <v>18</v>
      </c>
      <c r="D1472">
        <v>4</v>
      </c>
      <c r="E1472">
        <v>439</v>
      </c>
      <c r="F1472" s="2" t="s">
        <v>51</v>
      </c>
      <c r="G1472" s="2" t="s">
        <v>29</v>
      </c>
      <c r="H1472">
        <v>0.05</v>
      </c>
      <c r="I1472" s="2" t="s">
        <v>30</v>
      </c>
      <c r="J1472" s="2" t="s">
        <v>22</v>
      </c>
      <c r="K1472">
        <v>0</v>
      </c>
      <c r="L1472" s="2" t="s">
        <v>2867</v>
      </c>
      <c r="M1472" s="2" t="s">
        <v>2868</v>
      </c>
      <c r="N1472">
        <v>5.0999999999999996</v>
      </c>
      <c r="O1472" s="1">
        <v>45791</v>
      </c>
      <c r="P1472" s="1">
        <v>45795</v>
      </c>
      <c r="Q1472" s="2" t="s">
        <v>45</v>
      </c>
      <c r="R1472" s="2">
        <v>1668</v>
      </c>
    </row>
    <row r="1473" spans="1:18" x14ac:dyDescent="0.25">
      <c r="A1473" s="1">
        <v>45107</v>
      </c>
      <c r="B1473" s="2" t="s">
        <v>26</v>
      </c>
      <c r="C1473" s="2" t="s">
        <v>50</v>
      </c>
      <c r="D1473">
        <v>6</v>
      </c>
      <c r="E1473">
        <v>536</v>
      </c>
      <c r="F1473" s="2" t="s">
        <v>51</v>
      </c>
      <c r="G1473" s="2" t="s">
        <v>29</v>
      </c>
      <c r="H1473">
        <v>0</v>
      </c>
      <c r="I1473" s="2" t="s">
        <v>52</v>
      </c>
      <c r="J1473" s="2" t="s">
        <v>59</v>
      </c>
      <c r="K1473">
        <v>0</v>
      </c>
      <c r="L1473" s="2" t="s">
        <v>2869</v>
      </c>
      <c r="M1473" s="2" t="s">
        <v>1485</v>
      </c>
      <c r="N1473">
        <v>35.32</v>
      </c>
      <c r="O1473" s="1">
        <v>45107</v>
      </c>
      <c r="P1473" s="1">
        <v>45109</v>
      </c>
      <c r="Q1473" s="2" t="s">
        <v>34</v>
      </c>
      <c r="R1473" s="2">
        <v>3216</v>
      </c>
    </row>
    <row r="1474" spans="1:18" x14ac:dyDescent="0.25">
      <c r="A1474" s="1">
        <v>45838</v>
      </c>
      <c r="B1474" s="2" t="s">
        <v>26</v>
      </c>
      <c r="C1474" s="2" t="s">
        <v>27</v>
      </c>
      <c r="D1474">
        <v>20</v>
      </c>
      <c r="E1474">
        <v>445</v>
      </c>
      <c r="F1474" s="2" t="s">
        <v>19</v>
      </c>
      <c r="G1474" s="2" t="s">
        <v>20</v>
      </c>
      <c r="H1474">
        <v>0.1</v>
      </c>
      <c r="I1474" s="2" t="s">
        <v>52</v>
      </c>
      <c r="J1474" s="2" t="s">
        <v>22</v>
      </c>
      <c r="K1474">
        <v>1</v>
      </c>
      <c r="L1474" s="2" t="s">
        <v>2870</v>
      </c>
      <c r="M1474" s="2" t="s">
        <v>2871</v>
      </c>
      <c r="N1474">
        <v>20.05</v>
      </c>
      <c r="O1474" s="1">
        <v>45838</v>
      </c>
      <c r="P1474" s="1">
        <v>45845</v>
      </c>
      <c r="Q1474" s="2" t="s">
        <v>34</v>
      </c>
      <c r="R1474" s="2">
        <v>8010</v>
      </c>
    </row>
    <row r="1475" spans="1:18" x14ac:dyDescent="0.25">
      <c r="A1475" s="1">
        <v>45730</v>
      </c>
      <c r="B1475" s="2" t="s">
        <v>40</v>
      </c>
      <c r="C1475" s="2" t="s">
        <v>126</v>
      </c>
      <c r="D1475">
        <v>10</v>
      </c>
      <c r="E1475">
        <v>212</v>
      </c>
      <c r="F1475" s="2" t="s">
        <v>19</v>
      </c>
      <c r="G1475" s="2" t="s">
        <v>29</v>
      </c>
      <c r="H1475">
        <v>0.15</v>
      </c>
      <c r="I1475" s="2" t="s">
        <v>21</v>
      </c>
      <c r="J1475" s="2" t="s">
        <v>31</v>
      </c>
      <c r="K1475">
        <v>0</v>
      </c>
      <c r="L1475" s="2" t="s">
        <v>2872</v>
      </c>
      <c r="M1475" s="2" t="s">
        <v>2873</v>
      </c>
      <c r="N1475">
        <v>47.93</v>
      </c>
      <c r="O1475" s="1">
        <v>45730</v>
      </c>
      <c r="P1475" s="1">
        <v>45738</v>
      </c>
      <c r="Q1475" s="2" t="s">
        <v>45</v>
      </c>
      <c r="R1475" s="2">
        <v>1802</v>
      </c>
    </row>
    <row r="1476" spans="1:18" x14ac:dyDescent="0.25">
      <c r="A1476" s="1">
        <v>45034</v>
      </c>
      <c r="B1476" s="2" t="s">
        <v>26</v>
      </c>
      <c r="C1476" s="2" t="s">
        <v>27</v>
      </c>
      <c r="D1476">
        <v>9</v>
      </c>
      <c r="E1476">
        <v>509</v>
      </c>
      <c r="F1476" s="2" t="s">
        <v>19</v>
      </c>
      <c r="G1476" s="2" t="s">
        <v>29</v>
      </c>
      <c r="H1476">
        <v>0.15</v>
      </c>
      <c r="I1476" s="2" t="s">
        <v>21</v>
      </c>
      <c r="J1476" s="2" t="s">
        <v>53</v>
      </c>
      <c r="K1476">
        <v>0</v>
      </c>
      <c r="L1476" s="2" t="s">
        <v>2874</v>
      </c>
      <c r="M1476" s="2" t="s">
        <v>2875</v>
      </c>
      <c r="N1476">
        <v>13</v>
      </c>
      <c r="O1476" s="1">
        <v>45034</v>
      </c>
      <c r="P1476" s="1">
        <v>45043</v>
      </c>
      <c r="Q1476" s="2" t="s">
        <v>34</v>
      </c>
      <c r="R1476" s="2">
        <v>3894</v>
      </c>
    </row>
    <row r="1477" spans="1:18" x14ac:dyDescent="0.25">
      <c r="A1477" s="1">
        <v>45546</v>
      </c>
      <c r="B1477" s="2" t="s">
        <v>65</v>
      </c>
      <c r="C1477" s="2" t="s">
        <v>50</v>
      </c>
      <c r="D1477">
        <v>8</v>
      </c>
      <c r="E1477">
        <v>236</v>
      </c>
      <c r="F1477" s="2" t="s">
        <v>46</v>
      </c>
      <c r="G1477" s="2" t="s">
        <v>20</v>
      </c>
      <c r="H1477">
        <v>0.15</v>
      </c>
      <c r="I1477" s="2" t="s">
        <v>42</v>
      </c>
      <c r="J1477" s="2" t="s">
        <v>59</v>
      </c>
      <c r="K1477">
        <v>0</v>
      </c>
      <c r="L1477" s="2" t="s">
        <v>2876</v>
      </c>
      <c r="M1477" s="2" t="s">
        <v>2877</v>
      </c>
      <c r="N1477">
        <v>22.88</v>
      </c>
      <c r="O1477" s="1">
        <v>45546</v>
      </c>
      <c r="P1477" s="1">
        <v>45554</v>
      </c>
      <c r="Q1477" s="2" t="s">
        <v>68</v>
      </c>
      <c r="R1477" s="2">
        <v>1605</v>
      </c>
    </row>
    <row r="1478" spans="1:18" x14ac:dyDescent="0.25">
      <c r="A1478" s="1">
        <v>45251</v>
      </c>
      <c r="B1478" s="2" t="s">
        <v>40</v>
      </c>
      <c r="C1478" s="2" t="s">
        <v>126</v>
      </c>
      <c r="D1478">
        <v>1</v>
      </c>
      <c r="E1478">
        <v>147</v>
      </c>
      <c r="F1478" s="2" t="s">
        <v>51</v>
      </c>
      <c r="G1478" s="2" t="s">
        <v>29</v>
      </c>
      <c r="H1478">
        <v>0</v>
      </c>
      <c r="I1478" s="2" t="s">
        <v>47</v>
      </c>
      <c r="J1478" s="2" t="s">
        <v>59</v>
      </c>
      <c r="K1478">
        <v>1</v>
      </c>
      <c r="L1478" s="2" t="s">
        <v>2878</v>
      </c>
      <c r="M1478" s="2" t="s">
        <v>1424</v>
      </c>
      <c r="N1478">
        <v>40.47</v>
      </c>
      <c r="O1478" s="1">
        <v>45251</v>
      </c>
      <c r="P1478" s="1">
        <v>45258</v>
      </c>
      <c r="Q1478" s="2" t="s">
        <v>45</v>
      </c>
      <c r="R1478" s="2">
        <v>147</v>
      </c>
    </row>
    <row r="1479" spans="1:18" x14ac:dyDescent="0.25">
      <c r="A1479" s="1">
        <v>45351</v>
      </c>
      <c r="B1479" s="2" t="s">
        <v>65</v>
      </c>
      <c r="C1479" s="2" t="s">
        <v>75</v>
      </c>
      <c r="D1479">
        <v>8</v>
      </c>
      <c r="E1479">
        <v>280</v>
      </c>
      <c r="F1479" s="2" t="s">
        <v>19</v>
      </c>
      <c r="G1479" s="2" t="s">
        <v>29</v>
      </c>
      <c r="H1479">
        <v>0.05</v>
      </c>
      <c r="I1479" s="2" t="s">
        <v>30</v>
      </c>
      <c r="J1479" s="2" t="s">
        <v>31</v>
      </c>
      <c r="K1479">
        <v>0</v>
      </c>
      <c r="L1479" s="2" t="s">
        <v>2879</v>
      </c>
      <c r="M1479" s="2" t="s">
        <v>1242</v>
      </c>
      <c r="N1479">
        <v>33.1</v>
      </c>
      <c r="O1479" s="1">
        <v>45351</v>
      </c>
      <c r="P1479" s="1">
        <v>45358</v>
      </c>
      <c r="Q1479" s="2" t="s">
        <v>68</v>
      </c>
      <c r="R1479" s="2">
        <v>2128</v>
      </c>
    </row>
    <row r="1480" spans="1:18" x14ac:dyDescent="0.25">
      <c r="A1480" s="1">
        <v>45057</v>
      </c>
      <c r="B1480" s="2" t="s">
        <v>65</v>
      </c>
      <c r="C1480" s="2" t="s">
        <v>18</v>
      </c>
      <c r="D1480">
        <v>3</v>
      </c>
      <c r="E1480">
        <v>305</v>
      </c>
      <c r="F1480" s="2" t="s">
        <v>19</v>
      </c>
      <c r="G1480" s="2" t="s">
        <v>20</v>
      </c>
      <c r="H1480">
        <v>0.05</v>
      </c>
      <c r="I1480" s="2" t="s">
        <v>62</v>
      </c>
      <c r="J1480" s="2" t="s">
        <v>59</v>
      </c>
      <c r="K1480">
        <v>0</v>
      </c>
      <c r="L1480" s="2" t="s">
        <v>2880</v>
      </c>
      <c r="M1480" s="2" t="s">
        <v>2881</v>
      </c>
      <c r="N1480">
        <v>47.14</v>
      </c>
      <c r="O1480" s="1">
        <v>45057</v>
      </c>
      <c r="P1480" s="1">
        <v>45061</v>
      </c>
      <c r="Q1480" s="2" t="s">
        <v>68</v>
      </c>
      <c r="R1480" s="2">
        <v>869</v>
      </c>
    </row>
    <row r="1481" spans="1:18" x14ac:dyDescent="0.25">
      <c r="A1481" s="1">
        <v>45546</v>
      </c>
      <c r="B1481" s="2" t="s">
        <v>26</v>
      </c>
      <c r="C1481" s="2" t="s">
        <v>75</v>
      </c>
      <c r="D1481">
        <v>9</v>
      </c>
      <c r="E1481">
        <v>238</v>
      </c>
      <c r="F1481" s="2" t="s">
        <v>46</v>
      </c>
      <c r="G1481" s="2" t="s">
        <v>29</v>
      </c>
      <c r="H1481">
        <v>0</v>
      </c>
      <c r="I1481" s="2" t="s">
        <v>52</v>
      </c>
      <c r="J1481" s="2" t="s">
        <v>59</v>
      </c>
      <c r="K1481">
        <v>1</v>
      </c>
      <c r="L1481" s="2" t="s">
        <v>2882</v>
      </c>
      <c r="M1481" s="2" t="s">
        <v>2742</v>
      </c>
      <c r="N1481">
        <v>8.5</v>
      </c>
      <c r="O1481" s="1">
        <v>45546</v>
      </c>
      <c r="P1481" s="1">
        <v>45555</v>
      </c>
      <c r="Q1481" s="2" t="s">
        <v>34</v>
      </c>
      <c r="R1481" s="2">
        <v>2142</v>
      </c>
    </row>
    <row r="1482" spans="1:18" x14ac:dyDescent="0.25">
      <c r="A1482" s="1">
        <v>45520</v>
      </c>
      <c r="B1482" s="2" t="s">
        <v>65</v>
      </c>
      <c r="C1482" s="2" t="s">
        <v>126</v>
      </c>
      <c r="D1482">
        <v>16</v>
      </c>
      <c r="E1482">
        <v>483</v>
      </c>
      <c r="F1482" s="2" t="s">
        <v>19</v>
      </c>
      <c r="G1482" s="2" t="s">
        <v>29</v>
      </c>
      <c r="H1482">
        <v>0.1</v>
      </c>
      <c r="I1482" s="2" t="s">
        <v>30</v>
      </c>
      <c r="J1482" s="2" t="s">
        <v>56</v>
      </c>
      <c r="K1482">
        <v>0</v>
      </c>
      <c r="L1482" s="2" t="s">
        <v>2883</v>
      </c>
      <c r="M1482" s="2" t="s">
        <v>2884</v>
      </c>
      <c r="N1482">
        <v>42.52</v>
      </c>
      <c r="O1482" s="1">
        <v>45520</v>
      </c>
      <c r="P1482" s="1">
        <v>45526</v>
      </c>
      <c r="Q1482" s="2" t="s">
        <v>68</v>
      </c>
      <c r="R1482" s="2">
        <v>6955</v>
      </c>
    </row>
    <row r="1483" spans="1:18" x14ac:dyDescent="0.25">
      <c r="A1483" s="1">
        <v>45807</v>
      </c>
      <c r="B1483" s="2" t="s">
        <v>35</v>
      </c>
      <c r="C1483" s="2" t="s">
        <v>50</v>
      </c>
      <c r="D1483">
        <v>6</v>
      </c>
      <c r="E1483">
        <v>160</v>
      </c>
      <c r="F1483" s="2" t="s">
        <v>28</v>
      </c>
      <c r="G1483" s="2" t="s">
        <v>29</v>
      </c>
      <c r="H1483">
        <v>0.05</v>
      </c>
      <c r="I1483" s="2" t="s">
        <v>62</v>
      </c>
      <c r="J1483" s="2" t="s">
        <v>31</v>
      </c>
      <c r="K1483">
        <v>0</v>
      </c>
      <c r="L1483" s="2" t="s">
        <v>2885</v>
      </c>
      <c r="M1483" s="2" t="s">
        <v>2886</v>
      </c>
      <c r="N1483">
        <v>48.6</v>
      </c>
      <c r="O1483" s="1">
        <v>45807</v>
      </c>
      <c r="P1483" s="1">
        <v>45815</v>
      </c>
      <c r="Q1483" s="2" t="s">
        <v>39</v>
      </c>
      <c r="R1483" s="2">
        <v>912</v>
      </c>
    </row>
    <row r="1484" spans="1:18" x14ac:dyDescent="0.25">
      <c r="A1484" s="1">
        <v>45160</v>
      </c>
      <c r="B1484" s="2" t="s">
        <v>17</v>
      </c>
      <c r="C1484" s="2" t="s">
        <v>36</v>
      </c>
      <c r="D1484">
        <v>19</v>
      </c>
      <c r="E1484">
        <v>281</v>
      </c>
      <c r="F1484" s="2" t="s">
        <v>28</v>
      </c>
      <c r="G1484" s="2" t="s">
        <v>20</v>
      </c>
      <c r="H1484">
        <v>0.1</v>
      </c>
      <c r="I1484" s="2" t="s">
        <v>42</v>
      </c>
      <c r="J1484" s="2" t="s">
        <v>31</v>
      </c>
      <c r="K1484">
        <v>0</v>
      </c>
      <c r="L1484" s="2" t="s">
        <v>2887</v>
      </c>
      <c r="M1484" s="2" t="s">
        <v>2888</v>
      </c>
      <c r="N1484">
        <v>35.94</v>
      </c>
      <c r="O1484" s="1">
        <v>45160</v>
      </c>
      <c r="P1484" s="1">
        <v>45166</v>
      </c>
      <c r="Q1484" s="2" t="s">
        <v>25</v>
      </c>
      <c r="R1484" s="2">
        <v>4805</v>
      </c>
    </row>
    <row r="1485" spans="1:18" x14ac:dyDescent="0.25">
      <c r="A1485" s="1">
        <v>45314</v>
      </c>
      <c r="B1485" s="2" t="s">
        <v>17</v>
      </c>
      <c r="C1485" s="2" t="s">
        <v>75</v>
      </c>
      <c r="D1485">
        <v>2</v>
      </c>
      <c r="E1485">
        <v>390</v>
      </c>
      <c r="F1485" s="2" t="s">
        <v>51</v>
      </c>
      <c r="G1485" s="2" t="s">
        <v>20</v>
      </c>
      <c r="H1485">
        <v>0.05</v>
      </c>
      <c r="I1485" s="2" t="s">
        <v>47</v>
      </c>
      <c r="J1485" s="2" t="s">
        <v>56</v>
      </c>
      <c r="K1485">
        <v>1</v>
      </c>
      <c r="L1485" s="2" t="s">
        <v>2889</v>
      </c>
      <c r="M1485" s="2" t="s">
        <v>2890</v>
      </c>
      <c r="N1485">
        <v>24.55</v>
      </c>
      <c r="O1485" s="1">
        <v>45314</v>
      </c>
      <c r="P1485" s="1">
        <v>45316</v>
      </c>
      <c r="Q1485" s="2" t="s">
        <v>25</v>
      </c>
      <c r="R1485" s="2">
        <v>741</v>
      </c>
    </row>
    <row r="1486" spans="1:18" x14ac:dyDescent="0.25">
      <c r="A1486" s="1">
        <v>45001</v>
      </c>
      <c r="B1486" s="2" t="s">
        <v>35</v>
      </c>
      <c r="C1486" s="2" t="s">
        <v>50</v>
      </c>
      <c r="D1486">
        <v>17</v>
      </c>
      <c r="E1486">
        <v>485</v>
      </c>
      <c r="F1486" s="2" t="s">
        <v>51</v>
      </c>
      <c r="G1486" s="2" t="s">
        <v>29</v>
      </c>
      <c r="H1486">
        <v>0.15</v>
      </c>
      <c r="I1486" s="2" t="s">
        <v>52</v>
      </c>
      <c r="J1486" s="2" t="s">
        <v>59</v>
      </c>
      <c r="K1486">
        <v>0</v>
      </c>
      <c r="L1486" s="2" t="s">
        <v>2891</v>
      </c>
      <c r="M1486" s="2" t="s">
        <v>2892</v>
      </c>
      <c r="N1486">
        <v>37.94</v>
      </c>
      <c r="O1486" s="1">
        <v>45001</v>
      </c>
      <c r="P1486" s="1">
        <v>45008</v>
      </c>
      <c r="Q1486" s="2" t="s">
        <v>39</v>
      </c>
      <c r="R1486" s="2">
        <v>7008</v>
      </c>
    </row>
    <row r="1487" spans="1:18" x14ac:dyDescent="0.25">
      <c r="A1487" s="1">
        <v>45793</v>
      </c>
      <c r="B1487" s="2" t="s">
        <v>26</v>
      </c>
      <c r="C1487" s="2" t="s">
        <v>18</v>
      </c>
      <c r="D1487">
        <v>4</v>
      </c>
      <c r="E1487">
        <v>472</v>
      </c>
      <c r="F1487" s="2" t="s">
        <v>51</v>
      </c>
      <c r="G1487" s="2" t="s">
        <v>29</v>
      </c>
      <c r="H1487">
        <v>0</v>
      </c>
      <c r="I1487" s="2" t="s">
        <v>30</v>
      </c>
      <c r="J1487" s="2" t="s">
        <v>31</v>
      </c>
      <c r="K1487">
        <v>1</v>
      </c>
      <c r="L1487" s="2" t="s">
        <v>2893</v>
      </c>
      <c r="M1487" s="2" t="s">
        <v>2894</v>
      </c>
      <c r="N1487">
        <v>6.78</v>
      </c>
      <c r="O1487" s="1">
        <v>45793</v>
      </c>
      <c r="P1487" s="1">
        <v>45798</v>
      </c>
      <c r="Q1487" s="2" t="s">
        <v>34</v>
      </c>
      <c r="R1487" s="2">
        <v>1888</v>
      </c>
    </row>
    <row r="1488" spans="1:18" x14ac:dyDescent="0.25">
      <c r="A1488" s="1">
        <v>45069</v>
      </c>
      <c r="B1488" s="2" t="s">
        <v>17</v>
      </c>
      <c r="C1488" s="2" t="s">
        <v>50</v>
      </c>
      <c r="D1488">
        <v>8</v>
      </c>
      <c r="E1488">
        <v>144</v>
      </c>
      <c r="F1488" s="2" t="s">
        <v>51</v>
      </c>
      <c r="G1488" s="2" t="s">
        <v>20</v>
      </c>
      <c r="H1488">
        <v>0</v>
      </c>
      <c r="I1488" s="2" t="s">
        <v>30</v>
      </c>
      <c r="J1488" s="2" t="s">
        <v>59</v>
      </c>
      <c r="K1488">
        <v>0</v>
      </c>
      <c r="L1488" s="2" t="s">
        <v>2895</v>
      </c>
      <c r="M1488" s="2" t="s">
        <v>2896</v>
      </c>
      <c r="N1488">
        <v>9.1</v>
      </c>
      <c r="O1488" s="1">
        <v>45069</v>
      </c>
      <c r="P1488" s="1">
        <v>45075</v>
      </c>
      <c r="Q1488" s="2" t="s">
        <v>25</v>
      </c>
      <c r="R1488" s="2">
        <v>1152</v>
      </c>
    </row>
    <row r="1489" spans="1:18" x14ac:dyDescent="0.25">
      <c r="A1489" s="1">
        <v>45459</v>
      </c>
      <c r="B1489" s="2" t="s">
        <v>35</v>
      </c>
      <c r="C1489" s="2" t="s">
        <v>41</v>
      </c>
      <c r="D1489">
        <v>5</v>
      </c>
      <c r="E1489">
        <v>160</v>
      </c>
      <c r="F1489" s="2" t="s">
        <v>19</v>
      </c>
      <c r="G1489" s="2" t="s">
        <v>20</v>
      </c>
      <c r="H1489">
        <v>0</v>
      </c>
      <c r="I1489" s="2" t="s">
        <v>47</v>
      </c>
      <c r="J1489" s="2" t="s">
        <v>59</v>
      </c>
      <c r="K1489">
        <v>0</v>
      </c>
      <c r="L1489" s="2" t="s">
        <v>2897</v>
      </c>
      <c r="M1489" s="2" t="s">
        <v>2898</v>
      </c>
      <c r="N1489">
        <v>10.86</v>
      </c>
      <c r="O1489" s="1">
        <v>45459</v>
      </c>
      <c r="P1489" s="1">
        <v>45466</v>
      </c>
      <c r="Q1489" s="2" t="s">
        <v>39</v>
      </c>
      <c r="R1489" s="2">
        <v>800</v>
      </c>
    </row>
    <row r="1490" spans="1:18" x14ac:dyDescent="0.25">
      <c r="A1490" s="1">
        <v>45685</v>
      </c>
      <c r="B1490" s="2" t="s">
        <v>40</v>
      </c>
      <c r="C1490" s="2" t="s">
        <v>50</v>
      </c>
      <c r="D1490">
        <v>13</v>
      </c>
      <c r="E1490">
        <v>447</v>
      </c>
      <c r="F1490" s="2" t="s">
        <v>28</v>
      </c>
      <c r="G1490" s="2" t="s">
        <v>20</v>
      </c>
      <c r="H1490">
        <v>0.05</v>
      </c>
      <c r="I1490" s="2" t="s">
        <v>42</v>
      </c>
      <c r="J1490" s="2" t="s">
        <v>59</v>
      </c>
      <c r="K1490">
        <v>0</v>
      </c>
      <c r="L1490" s="2" t="s">
        <v>2899</v>
      </c>
      <c r="M1490" s="2" t="s">
        <v>2900</v>
      </c>
      <c r="N1490">
        <v>38.93</v>
      </c>
      <c r="O1490" s="1">
        <v>45685</v>
      </c>
      <c r="P1490" s="1">
        <v>45692</v>
      </c>
      <c r="Q1490" s="2" t="s">
        <v>45</v>
      </c>
      <c r="R1490" s="2">
        <v>5520</v>
      </c>
    </row>
    <row r="1491" spans="1:18" x14ac:dyDescent="0.25">
      <c r="A1491" s="1">
        <v>45623</v>
      </c>
      <c r="B1491" s="2" t="s">
        <v>26</v>
      </c>
      <c r="C1491" s="2" t="s">
        <v>27</v>
      </c>
      <c r="D1491">
        <v>13</v>
      </c>
      <c r="E1491">
        <v>197</v>
      </c>
      <c r="F1491" s="2" t="s">
        <v>19</v>
      </c>
      <c r="G1491" s="2" t="s">
        <v>29</v>
      </c>
      <c r="H1491">
        <v>0.1</v>
      </c>
      <c r="I1491" s="2" t="s">
        <v>52</v>
      </c>
      <c r="J1491" s="2" t="s">
        <v>59</v>
      </c>
      <c r="K1491">
        <v>0</v>
      </c>
      <c r="L1491" s="2" t="s">
        <v>2901</v>
      </c>
      <c r="M1491" s="2" t="s">
        <v>2902</v>
      </c>
      <c r="N1491">
        <v>10.119999999999999</v>
      </c>
      <c r="O1491" s="1">
        <v>45623</v>
      </c>
      <c r="P1491" s="1">
        <v>45633</v>
      </c>
      <c r="Q1491" s="2" t="s">
        <v>34</v>
      </c>
      <c r="R1491" s="2">
        <v>2305</v>
      </c>
    </row>
    <row r="1492" spans="1:18" x14ac:dyDescent="0.25">
      <c r="A1492" s="1">
        <v>45208</v>
      </c>
      <c r="B1492" s="2" t="s">
        <v>40</v>
      </c>
      <c r="C1492" s="2" t="s">
        <v>41</v>
      </c>
      <c r="D1492">
        <v>3</v>
      </c>
      <c r="E1492">
        <v>486</v>
      </c>
      <c r="F1492" s="2" t="s">
        <v>28</v>
      </c>
      <c r="G1492" s="2" t="s">
        <v>20</v>
      </c>
      <c r="H1492">
        <v>0.1</v>
      </c>
      <c r="I1492" s="2" t="s">
        <v>21</v>
      </c>
      <c r="J1492" s="2" t="s">
        <v>56</v>
      </c>
      <c r="K1492">
        <v>0</v>
      </c>
      <c r="L1492" s="2" t="s">
        <v>2903</v>
      </c>
      <c r="M1492" s="2" t="s">
        <v>2904</v>
      </c>
      <c r="N1492">
        <v>19.46</v>
      </c>
      <c r="O1492" s="1">
        <v>45208</v>
      </c>
      <c r="P1492" s="1">
        <v>45210</v>
      </c>
      <c r="Q1492" s="2" t="s">
        <v>45</v>
      </c>
      <c r="R1492" s="2">
        <v>1312</v>
      </c>
    </row>
    <row r="1493" spans="1:18" x14ac:dyDescent="0.25">
      <c r="A1493" s="1">
        <v>45494</v>
      </c>
      <c r="B1493" s="2" t="s">
        <v>65</v>
      </c>
      <c r="C1493" s="2" t="s">
        <v>27</v>
      </c>
      <c r="D1493">
        <v>16</v>
      </c>
      <c r="E1493">
        <v>184</v>
      </c>
      <c r="F1493" s="2" t="s">
        <v>28</v>
      </c>
      <c r="G1493" s="2" t="s">
        <v>20</v>
      </c>
      <c r="H1493">
        <v>0.05</v>
      </c>
      <c r="I1493" s="2" t="s">
        <v>62</v>
      </c>
      <c r="J1493" s="2" t="s">
        <v>31</v>
      </c>
      <c r="K1493">
        <v>0</v>
      </c>
      <c r="L1493" s="2" t="s">
        <v>2905</v>
      </c>
      <c r="M1493" s="2" t="s">
        <v>2906</v>
      </c>
      <c r="N1493">
        <v>6.56</v>
      </c>
      <c r="O1493" s="1">
        <v>45494</v>
      </c>
      <c r="P1493" s="1">
        <v>45504</v>
      </c>
      <c r="Q1493" s="2" t="s">
        <v>68</v>
      </c>
      <c r="R1493" s="2">
        <v>2797</v>
      </c>
    </row>
    <row r="1494" spans="1:18" x14ac:dyDescent="0.25">
      <c r="A1494" s="1">
        <v>45476</v>
      </c>
      <c r="B1494" s="2" t="s">
        <v>17</v>
      </c>
      <c r="C1494" s="2" t="s">
        <v>50</v>
      </c>
      <c r="D1494">
        <v>2</v>
      </c>
      <c r="E1494">
        <v>373</v>
      </c>
      <c r="F1494" s="2" t="s">
        <v>28</v>
      </c>
      <c r="G1494" s="2" t="s">
        <v>29</v>
      </c>
      <c r="H1494">
        <v>0.05</v>
      </c>
      <c r="I1494" s="2" t="s">
        <v>52</v>
      </c>
      <c r="J1494" s="2" t="s">
        <v>53</v>
      </c>
      <c r="K1494">
        <v>0</v>
      </c>
      <c r="L1494" s="2" t="s">
        <v>2907</v>
      </c>
      <c r="M1494" s="2" t="s">
        <v>2908</v>
      </c>
      <c r="N1494">
        <v>26.9</v>
      </c>
      <c r="O1494" s="1">
        <v>45476</v>
      </c>
      <c r="P1494" s="1">
        <v>45480</v>
      </c>
      <c r="Q1494" s="2" t="s">
        <v>25</v>
      </c>
      <c r="R1494" s="2">
        <v>709</v>
      </c>
    </row>
    <row r="1495" spans="1:18" x14ac:dyDescent="0.25">
      <c r="A1495" s="1">
        <v>45559</v>
      </c>
      <c r="B1495" s="2" t="s">
        <v>65</v>
      </c>
      <c r="C1495" s="2" t="s">
        <v>50</v>
      </c>
      <c r="D1495">
        <v>17</v>
      </c>
      <c r="E1495">
        <v>528</v>
      </c>
      <c r="F1495" s="2" t="s">
        <v>19</v>
      </c>
      <c r="G1495" s="2" t="s">
        <v>20</v>
      </c>
      <c r="H1495">
        <v>0</v>
      </c>
      <c r="I1495" s="2" t="s">
        <v>52</v>
      </c>
      <c r="J1495" s="2" t="s">
        <v>31</v>
      </c>
      <c r="K1495">
        <v>0</v>
      </c>
      <c r="L1495" s="2" t="s">
        <v>2909</v>
      </c>
      <c r="M1495" s="2" t="s">
        <v>2910</v>
      </c>
      <c r="N1495">
        <v>29.19</v>
      </c>
      <c r="O1495" s="1">
        <v>45559</v>
      </c>
      <c r="P1495" s="1">
        <v>45567</v>
      </c>
      <c r="Q1495" s="2" t="s">
        <v>68</v>
      </c>
      <c r="R1495" s="2">
        <v>8976</v>
      </c>
    </row>
    <row r="1496" spans="1:18" x14ac:dyDescent="0.25">
      <c r="A1496" s="1">
        <v>45671</v>
      </c>
      <c r="B1496" s="2" t="s">
        <v>17</v>
      </c>
      <c r="C1496" s="2" t="s">
        <v>75</v>
      </c>
      <c r="D1496">
        <v>5</v>
      </c>
      <c r="E1496">
        <v>201</v>
      </c>
      <c r="F1496" s="2" t="s">
        <v>51</v>
      </c>
      <c r="G1496" s="2" t="s">
        <v>20</v>
      </c>
      <c r="H1496">
        <v>0</v>
      </c>
      <c r="I1496" s="2" t="s">
        <v>47</v>
      </c>
      <c r="J1496" s="2" t="s">
        <v>22</v>
      </c>
      <c r="K1496">
        <v>0</v>
      </c>
      <c r="L1496" s="2" t="s">
        <v>2911</v>
      </c>
      <c r="M1496" s="2" t="s">
        <v>2912</v>
      </c>
      <c r="N1496">
        <v>49.13</v>
      </c>
      <c r="O1496" s="1">
        <v>45671</v>
      </c>
      <c r="P1496" s="1">
        <v>45678</v>
      </c>
      <c r="Q1496" s="2" t="s">
        <v>25</v>
      </c>
      <c r="R1496" s="2">
        <v>1005</v>
      </c>
    </row>
    <row r="1497" spans="1:18" x14ac:dyDescent="0.25">
      <c r="A1497" s="1">
        <v>45705</v>
      </c>
      <c r="B1497" s="2" t="s">
        <v>65</v>
      </c>
      <c r="C1497" s="2" t="s">
        <v>36</v>
      </c>
      <c r="D1497">
        <v>13</v>
      </c>
      <c r="E1497">
        <v>135</v>
      </c>
      <c r="F1497" s="2" t="s">
        <v>51</v>
      </c>
      <c r="G1497" s="2" t="s">
        <v>29</v>
      </c>
      <c r="H1497">
        <v>0.05</v>
      </c>
      <c r="I1497" s="2" t="s">
        <v>47</v>
      </c>
      <c r="J1497" s="2" t="s">
        <v>53</v>
      </c>
      <c r="K1497">
        <v>0</v>
      </c>
      <c r="L1497" s="2" t="s">
        <v>2913</v>
      </c>
      <c r="M1497" s="2" t="s">
        <v>2914</v>
      </c>
      <c r="N1497">
        <v>35.630000000000003</v>
      </c>
      <c r="O1497" s="1">
        <v>45705</v>
      </c>
      <c r="P1497" s="1">
        <v>45710</v>
      </c>
      <c r="Q1497" s="2" t="s">
        <v>68</v>
      </c>
      <c r="R1497" s="2">
        <v>1667</v>
      </c>
    </row>
    <row r="1498" spans="1:18" x14ac:dyDescent="0.25">
      <c r="A1498" s="1">
        <v>45302</v>
      </c>
      <c r="B1498" s="2" t="s">
        <v>26</v>
      </c>
      <c r="C1498" s="2" t="s">
        <v>41</v>
      </c>
      <c r="D1498">
        <v>18</v>
      </c>
      <c r="E1498">
        <v>210</v>
      </c>
      <c r="F1498" s="2" t="s">
        <v>46</v>
      </c>
      <c r="G1498" s="2" t="s">
        <v>20</v>
      </c>
      <c r="H1498">
        <v>0.15</v>
      </c>
      <c r="I1498" s="2" t="s">
        <v>42</v>
      </c>
      <c r="J1498" s="2" t="s">
        <v>56</v>
      </c>
      <c r="K1498">
        <v>0</v>
      </c>
      <c r="L1498" s="2" t="s">
        <v>2915</v>
      </c>
      <c r="M1498" s="2" t="s">
        <v>2916</v>
      </c>
      <c r="N1498">
        <v>45.93</v>
      </c>
      <c r="O1498" s="1">
        <v>45302</v>
      </c>
      <c r="P1498" s="1">
        <v>45308</v>
      </c>
      <c r="Q1498" s="2" t="s">
        <v>34</v>
      </c>
      <c r="R1498" s="2">
        <v>3213</v>
      </c>
    </row>
    <row r="1499" spans="1:18" x14ac:dyDescent="0.25">
      <c r="A1499" s="1">
        <v>45500</v>
      </c>
      <c r="B1499" s="2" t="s">
        <v>17</v>
      </c>
      <c r="C1499" s="2" t="s">
        <v>36</v>
      </c>
      <c r="D1499">
        <v>1</v>
      </c>
      <c r="E1499">
        <v>272</v>
      </c>
      <c r="F1499" s="2" t="s">
        <v>28</v>
      </c>
      <c r="G1499" s="2" t="s">
        <v>20</v>
      </c>
      <c r="H1499">
        <v>0</v>
      </c>
      <c r="I1499" s="2" t="s">
        <v>21</v>
      </c>
      <c r="J1499" s="2" t="s">
        <v>31</v>
      </c>
      <c r="K1499">
        <v>0</v>
      </c>
      <c r="L1499" s="2" t="s">
        <v>2917</v>
      </c>
      <c r="M1499" s="2" t="s">
        <v>2918</v>
      </c>
      <c r="N1499">
        <v>35.56</v>
      </c>
      <c r="O1499" s="1">
        <v>45500</v>
      </c>
      <c r="P1499" s="1">
        <v>45507</v>
      </c>
      <c r="Q1499" s="2" t="s">
        <v>25</v>
      </c>
      <c r="R1499" s="2">
        <v>272</v>
      </c>
    </row>
    <row r="1500" spans="1:18" x14ac:dyDescent="0.25">
      <c r="A1500" s="1">
        <v>45629</v>
      </c>
      <c r="B1500" s="2" t="s">
        <v>40</v>
      </c>
      <c r="C1500" s="2" t="s">
        <v>50</v>
      </c>
      <c r="D1500">
        <v>14</v>
      </c>
      <c r="E1500">
        <v>263</v>
      </c>
      <c r="F1500" s="2" t="s">
        <v>28</v>
      </c>
      <c r="G1500" s="2" t="s">
        <v>29</v>
      </c>
      <c r="H1500">
        <v>0.05</v>
      </c>
      <c r="I1500" s="2" t="s">
        <v>47</v>
      </c>
      <c r="J1500" s="2" t="s">
        <v>31</v>
      </c>
      <c r="K1500">
        <v>0</v>
      </c>
      <c r="L1500" s="2" t="s">
        <v>2919</v>
      </c>
      <c r="M1500" s="2" t="s">
        <v>2920</v>
      </c>
      <c r="N1500">
        <v>24.53</v>
      </c>
      <c r="O1500" s="1">
        <v>45629</v>
      </c>
      <c r="P1500" s="1">
        <v>45636</v>
      </c>
      <c r="Q1500" s="2" t="s">
        <v>45</v>
      </c>
      <c r="R1500" s="2">
        <v>3498</v>
      </c>
    </row>
    <row r="1501" spans="1:18" x14ac:dyDescent="0.25">
      <c r="A1501" s="1">
        <v>45786</v>
      </c>
      <c r="B1501" s="2" t="s">
        <v>65</v>
      </c>
      <c r="C1501" s="2" t="s">
        <v>41</v>
      </c>
      <c r="D1501">
        <v>13</v>
      </c>
      <c r="E1501">
        <v>221</v>
      </c>
      <c r="F1501" s="2" t="s">
        <v>51</v>
      </c>
      <c r="G1501" s="2" t="s">
        <v>20</v>
      </c>
      <c r="H1501">
        <v>0</v>
      </c>
      <c r="I1501" s="2" t="s">
        <v>42</v>
      </c>
      <c r="J1501" s="2" t="s">
        <v>56</v>
      </c>
      <c r="K1501">
        <v>1</v>
      </c>
      <c r="L1501" s="2" t="s">
        <v>2921</v>
      </c>
      <c r="M1501" s="2" t="s">
        <v>1392</v>
      </c>
      <c r="N1501">
        <v>21.05</v>
      </c>
      <c r="O1501" s="1">
        <v>45786</v>
      </c>
      <c r="P1501" s="1">
        <v>45790</v>
      </c>
      <c r="Q1501" s="2" t="s">
        <v>68</v>
      </c>
      <c r="R1501" s="2">
        <v>2873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2441D-0480-4262-AB85-A0AE9EF98AB5}">
  <dimension ref="A4:W16"/>
  <sheetViews>
    <sheetView topLeftCell="J1" workbookViewId="0">
      <selection activeCell="Q16" sqref="Q16"/>
    </sheetView>
  </sheetViews>
  <sheetFormatPr defaultRowHeight="15" x14ac:dyDescent="0.25"/>
  <cols>
    <col min="1" max="1" width="13.140625" bestFit="1" customWidth="1"/>
    <col min="2" max="2" width="12.140625" bestFit="1" customWidth="1"/>
    <col min="4" max="4" width="13.140625" bestFit="1" customWidth="1"/>
    <col min="5" max="5" width="12.140625" bestFit="1" customWidth="1"/>
    <col min="7" max="7" width="13.140625" bestFit="1" customWidth="1"/>
    <col min="8" max="8" width="16" bestFit="1" customWidth="1"/>
    <col min="9" max="9" width="18.28515625" bestFit="1" customWidth="1"/>
    <col min="10" max="10" width="13.140625" bestFit="1" customWidth="1"/>
    <col min="11" max="11" width="12.140625" bestFit="1" customWidth="1"/>
    <col min="13" max="13" width="13.140625" bestFit="1" customWidth="1"/>
    <col min="14" max="14" width="12.140625" bestFit="1" customWidth="1"/>
    <col min="16" max="16" width="13.140625" bestFit="1" customWidth="1"/>
    <col min="17" max="17" width="15.42578125" bestFit="1" customWidth="1"/>
    <col min="19" max="19" width="13.140625" bestFit="1" customWidth="1"/>
    <col min="20" max="20" width="16.140625" bestFit="1" customWidth="1"/>
    <col min="22" max="22" width="13.140625" bestFit="1" customWidth="1"/>
    <col min="23" max="23" width="15.42578125" bestFit="1" customWidth="1"/>
  </cols>
  <sheetData>
    <row r="4" spans="1:23" x14ac:dyDescent="0.25">
      <c r="A4" s="3" t="s">
        <v>2923</v>
      </c>
      <c r="B4" t="s">
        <v>2925</v>
      </c>
      <c r="D4" s="3" t="s">
        <v>2923</v>
      </c>
      <c r="E4" t="s">
        <v>2925</v>
      </c>
      <c r="J4" s="3" t="s">
        <v>2923</v>
      </c>
      <c r="K4" t="s">
        <v>2925</v>
      </c>
      <c r="M4" s="3" t="s">
        <v>2923</v>
      </c>
      <c r="N4" t="s">
        <v>2925</v>
      </c>
      <c r="P4" s="3" t="s">
        <v>2923</v>
      </c>
      <c r="Q4" t="s">
        <v>2926</v>
      </c>
      <c r="S4" s="3" t="s">
        <v>2923</v>
      </c>
      <c r="T4" t="s">
        <v>2927</v>
      </c>
      <c r="V4" s="3" t="s">
        <v>2923</v>
      </c>
      <c r="W4" t="s">
        <v>2926</v>
      </c>
    </row>
    <row r="5" spans="1:23" x14ac:dyDescent="0.25">
      <c r="A5" s="4" t="s">
        <v>40</v>
      </c>
      <c r="B5" s="2">
        <v>847086</v>
      </c>
      <c r="D5" s="4" t="s">
        <v>30</v>
      </c>
      <c r="E5" s="2">
        <v>786110</v>
      </c>
      <c r="J5" s="4" t="s">
        <v>59</v>
      </c>
      <c r="K5" s="2">
        <v>950355</v>
      </c>
      <c r="M5" s="4" t="s">
        <v>2928</v>
      </c>
      <c r="N5" s="2">
        <v>1445525</v>
      </c>
      <c r="P5" s="4" t="s">
        <v>41</v>
      </c>
      <c r="Q5" s="2">
        <v>2122</v>
      </c>
      <c r="S5" s="4" t="s">
        <v>41</v>
      </c>
      <c r="T5" s="2">
        <v>209</v>
      </c>
      <c r="V5" s="4" t="s">
        <v>28</v>
      </c>
      <c r="W5" s="2">
        <v>3945</v>
      </c>
    </row>
    <row r="6" spans="1:23" x14ac:dyDescent="0.25">
      <c r="A6" s="4" t="s">
        <v>17</v>
      </c>
      <c r="B6" s="2">
        <v>883675</v>
      </c>
      <c r="D6" s="4" t="s">
        <v>62</v>
      </c>
      <c r="E6" s="2">
        <v>796757</v>
      </c>
      <c r="J6" s="4" t="s">
        <v>53</v>
      </c>
      <c r="K6" s="2">
        <v>866453</v>
      </c>
      <c r="M6" s="4" t="s">
        <v>2929</v>
      </c>
      <c r="N6" s="2">
        <v>1279905</v>
      </c>
      <c r="P6" s="4" t="s">
        <v>36</v>
      </c>
      <c r="Q6" s="2">
        <v>2026</v>
      </c>
      <c r="S6" s="4" t="s">
        <v>36</v>
      </c>
      <c r="T6" s="2">
        <v>207</v>
      </c>
      <c r="V6" s="4" t="s">
        <v>19</v>
      </c>
      <c r="W6" s="2">
        <v>3681</v>
      </c>
    </row>
    <row r="7" spans="1:23" x14ac:dyDescent="0.25">
      <c r="A7" s="4" t="s">
        <v>35</v>
      </c>
      <c r="B7" s="2">
        <v>967874</v>
      </c>
      <c r="D7" s="4" t="s">
        <v>47</v>
      </c>
      <c r="E7" s="2">
        <v>707130</v>
      </c>
      <c r="J7" s="4" t="s">
        <v>56</v>
      </c>
      <c r="K7" s="2">
        <v>770391</v>
      </c>
      <c r="M7" s="4" t="s">
        <v>2930</v>
      </c>
      <c r="N7" s="2">
        <v>851813</v>
      </c>
      <c r="P7" s="4" t="s">
        <v>18</v>
      </c>
      <c r="Q7" s="2">
        <v>2408</v>
      </c>
      <c r="S7" s="4" t="s">
        <v>18</v>
      </c>
      <c r="T7" s="2">
        <v>226</v>
      </c>
      <c r="V7" s="4" t="s">
        <v>46</v>
      </c>
      <c r="W7" s="2">
        <v>3851</v>
      </c>
    </row>
    <row r="8" spans="1:23" x14ac:dyDescent="0.25">
      <c r="A8" s="4" t="s">
        <v>26</v>
      </c>
      <c r="B8" s="2">
        <v>827692</v>
      </c>
      <c r="D8" s="4" t="s">
        <v>52</v>
      </c>
      <c r="E8" s="2">
        <v>676474</v>
      </c>
      <c r="J8" s="4" t="s">
        <v>31</v>
      </c>
      <c r="K8" s="2">
        <v>821599</v>
      </c>
      <c r="M8" s="4" t="s">
        <v>2931</v>
      </c>
      <c r="N8" s="2">
        <v>802535</v>
      </c>
      <c r="P8" s="4" t="s">
        <v>50</v>
      </c>
      <c r="Q8" s="2">
        <v>2177</v>
      </c>
      <c r="S8" s="4" t="s">
        <v>50</v>
      </c>
      <c r="T8" s="2">
        <v>212</v>
      </c>
      <c r="V8" s="4" t="s">
        <v>51</v>
      </c>
      <c r="W8" s="2">
        <v>4139</v>
      </c>
    </row>
    <row r="9" spans="1:23" x14ac:dyDescent="0.25">
      <c r="A9" s="4" t="s">
        <v>65</v>
      </c>
      <c r="B9" s="2">
        <v>853451</v>
      </c>
      <c r="D9" s="4" t="s">
        <v>21</v>
      </c>
      <c r="E9" s="2">
        <v>698639</v>
      </c>
      <c r="J9" s="4" t="s">
        <v>22</v>
      </c>
      <c r="K9" s="2">
        <v>970980</v>
      </c>
      <c r="M9" s="4" t="s">
        <v>2924</v>
      </c>
      <c r="N9" s="2">
        <v>4379778</v>
      </c>
      <c r="P9" s="4" t="s">
        <v>27</v>
      </c>
      <c r="Q9" s="2">
        <v>1970</v>
      </c>
      <c r="S9" s="4" t="s">
        <v>27</v>
      </c>
      <c r="T9" s="2">
        <v>195</v>
      </c>
      <c r="V9" s="4" t="s">
        <v>2924</v>
      </c>
      <c r="W9" s="2">
        <v>15616</v>
      </c>
    </row>
    <row r="10" spans="1:23" x14ac:dyDescent="0.25">
      <c r="A10" s="4" t="s">
        <v>2924</v>
      </c>
      <c r="B10" s="2">
        <v>4379778</v>
      </c>
      <c r="D10" s="4" t="s">
        <v>42</v>
      </c>
      <c r="E10" s="2">
        <v>714668</v>
      </c>
      <c r="J10" s="4" t="s">
        <v>2924</v>
      </c>
      <c r="K10" s="2">
        <v>4379778</v>
      </c>
      <c r="P10" s="4" t="s">
        <v>126</v>
      </c>
      <c r="Q10" s="2">
        <v>2336</v>
      </c>
      <c r="S10" s="4" t="s">
        <v>126</v>
      </c>
      <c r="T10" s="2">
        <v>211</v>
      </c>
    </row>
    <row r="11" spans="1:23" x14ac:dyDescent="0.25">
      <c r="D11" s="4" t="s">
        <v>2924</v>
      </c>
      <c r="E11" s="2">
        <v>4379778</v>
      </c>
      <c r="P11" s="4" t="s">
        <v>75</v>
      </c>
      <c r="Q11" s="2">
        <v>2577</v>
      </c>
      <c r="S11" s="4" t="s">
        <v>75</v>
      </c>
      <c r="T11" s="2">
        <v>240</v>
      </c>
    </row>
    <row r="12" spans="1:23" x14ac:dyDescent="0.25">
      <c r="B12">
        <f>GETPIVOTDATA("Sales",$A$4)</f>
        <v>4379778</v>
      </c>
      <c r="P12" s="4" t="s">
        <v>2924</v>
      </c>
      <c r="Q12" s="2">
        <v>15616</v>
      </c>
      <c r="S12" s="4" t="s">
        <v>2924</v>
      </c>
      <c r="T12" s="2">
        <v>1500</v>
      </c>
    </row>
    <row r="13" spans="1:23" x14ac:dyDescent="0.25">
      <c r="H13" s="5"/>
      <c r="Q13">
        <f>GETPIVOTDATA("Quantity",$P$4)</f>
        <v>15616</v>
      </c>
    </row>
    <row r="14" spans="1:23" x14ac:dyDescent="0.25">
      <c r="T14">
        <f>GETPIVOTDATA("OrderID",$S$4)</f>
        <v>1500</v>
      </c>
    </row>
    <row r="16" spans="1:23" x14ac:dyDescent="0.25">
      <c r="Q16" s="6">
        <f>GETPIVOTDATA("Sales",$A$4)/GETPIVOTDATA("Quantity",$P$4)</f>
        <v>280.46734118852459</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2B399-FEC2-4ACB-B2B5-E70C66DF6F2B}">
  <dimension ref="A1"/>
  <sheetViews>
    <sheetView zoomScale="90" zoomScaleNormal="90" workbookViewId="0">
      <selection activeCell="B21" sqref="A21:XFD2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FF32FDC-CFF8-4BCB-ADB6-460931CB755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 tiwary</dc:creator>
  <cp:lastModifiedBy>ayush tiwary</cp:lastModifiedBy>
  <dcterms:created xsi:type="dcterms:W3CDTF">2026-03-19T13:43:09Z</dcterms:created>
  <dcterms:modified xsi:type="dcterms:W3CDTF">2026-04-13T10:29:52Z</dcterms:modified>
</cp:coreProperties>
</file>